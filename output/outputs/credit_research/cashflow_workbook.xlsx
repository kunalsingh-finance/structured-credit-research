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d35574f3e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f1f412e6b24019"/>
    <x:sheet xmlns:r="http://schemas.openxmlformats.org/officeDocument/2006/relationships" name="Controls" sheetId="2" r:id="Rf583b5954d2d43b2"/>
    <x:sheet xmlns:r="http://schemas.openxmlformats.org/officeDocument/2006/relationships" name="Cashflow" sheetId="3" r:id="R4ebdc0a795454e42"/>
    <x:sheet xmlns:r="http://schemas.openxmlformats.org/officeDocument/2006/relationships" name="Exported CF" sheetId="4" r:id="Rb70f691d2d0340b0"/>
    <x:sheet xmlns:r="http://schemas.openxmlformats.org/officeDocument/2006/relationships" name="Actuals" sheetId="5" r:id="Re7e03bad38994a3f"/>
    <x:sheet xmlns:r="http://schemas.openxmlformats.org/officeDocument/2006/relationships" name="Loan tape" sheetId="6" r:id="R4e84fd6d45f3422c"/>
    <x:sheet xmlns:r="http://schemas.openxmlformats.org/officeDocument/2006/relationships" name="Sources" sheetId="7" r:id="Ra42b87afc488468f"/>
    <x:sheet xmlns:r="http://schemas.openxmlformats.org/officeDocument/2006/relationships" name="Forecast checks" sheetId="8" r:id="Rd61f586d7d0b42d0"/>
    <x:sheet xmlns:r="http://schemas.openxmlformats.org/officeDocument/2006/relationships" name="Audit" sheetId="9" r:id="R796461cda968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mm/dd/yyyy"/>
    <x:numFmt numFmtId="201" formatCode="yyyy-mm-dd hh:mm:ss"/>
    <x:numFmt numFmtId="202" formatCode="0.00%"/>
    <x:numFmt numFmtId="203" formatCode="0.00;(0.00);&quot;-&quot;"/>
    <x:numFmt numFmtId="204" formatCode="mm/dd/yy"/>
    <x:numFmt numFmtId="205" formatCode="#,##0.00;(#,##0.00);&quot;-&quot;"/>
    <x:numFmt numFmtId="206" formatCode="0.000000"/>
    <x:numFmt numFmtId="207" formatCode="#,##0.00;(#,##0.00);0.00"/>
    <x:numFmt numFmtId="208" formatCode="0.0%;(0.0%);0.0%"/>
    <x:numFmt numFmtId="209" formatCode="#,##0"/>
    <x:numFmt numFmtId="210" formatCode="0.00"/>
  </x:numFmts>
  <x:fonts count="13">
    <x:font>
      <x:sz val="11"/>
      <x:name val="Carlito"/>
    </x:font>
    <x:font>
      <x:sz val="10"/>
      <x:color rgb="FF17334A"/>
      <x:name val="Arial"/>
    </x:font>
    <x:font>
      <x:b/>
      <x:sz val="16"/>
      <x:color rgb="FF102537"/>
      <x:name val="Arial"/>
    </x:font>
    <x:font>
      <x:sz val="9"/>
      <x:color rgb="FF657582"/>
      <x:name val="Arial"/>
    </x:font>
    <x:font>
      <x:b/>
      <x:sz val="10"/>
      <x:color rgb="FFFFFFFF"/>
      <x:name val="Arial"/>
    </x:font>
    <x:font>
      <x:sz val="10"/>
      <x:color rgb="FF2457AE"/>
      <x:name val="Arial"/>
    </x:font>
    <x:font>
      <x:sz val="10"/>
      <x:color rgb="FF657582"/>
      <x:name val="Arial"/>
    </x:font>
    <x:font>
      <x:b/>
      <x:sz val="10"/>
      <x:color rgb="FF267346"/>
      <x:name val="Arial"/>
    </x:font>
    <x:font>
      <x:sz val="9"/>
      <x:color rgb="FF17334A"/>
      <x:name val="Arial"/>
    </x:font>
    <x:font>
      <x:sz val="10"/>
      <x:color rgb="FF267346"/>
      <x:name val="Arial"/>
    </x:font>
    <x:font>
      <x:sz val="11"/>
      <x:color rgb="FF2457AE"/>
      <x:name val="Carlito"/>
    </x:font>
    <x:font>
      <x:sz val="10"/>
      <x:color rgb="FF000000"/>
      <x:name val="Arial"/>
    </x:font>
    <x:font>
      <x:b/>
      <x:sz val="10"/>
      <x:color rgb="FF1025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537"/>
      </x:patternFill>
    </x:fill>
    <x:fill>
      <x:patternFill patternType="solid">
        <x:fgColor rgb="FFFFF0C7"/>
      </x:patternFill>
    </x:fill>
    <x:fill>
      <x:patternFill patternType="solid">
        <x:fgColor rgb="FFF4F1E8"/>
      </x:patternFill>
    </x:fill>
  </x:fills>
  <x:borders count="6">
    <x:border/>
    <x:border>
      <x:bottom style="thin">
        <x:color rgb="FFDDE3E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dotted">
        <x:color rgb="FFDDE3E4"/>
      </x:left>
      <x:right style="dotted">
        <x:color rgb="FFDDE3E4"/>
      </x:right>
      <x:top style="dotted">
        <x:color rgb="FFDDE3E4"/>
      </x:top>
      <x:bottom style="dotted">
        <x:color rgb="FFDDE3E4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5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/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7" fontId="9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10" fillId="0" borderId="0" xfId="0" applyNumberFormat="1" applyFont="1" applyFill="1" applyBorder="1"/>
    <x:xf numFmtId="205" fontId="10" fillId="0" borderId="0" xfId="0" applyNumberFormat="1" applyFont="1" applyFill="1" applyBorder="1"/>
    <x:xf numFmtId="209" fontId="5" fillId="0" borderId="0" xfId="0" applyNumberFormat="1" applyFont="1" applyFill="1" applyBorder="1" applyAlignment="1">
      <x:alignment vertical="center"/>
    </x:xf>
    <x:xf numFmtId="209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207" fontId="11" fillId="0" borderId="0" xfId="0" applyNumberFormat="1" applyFont="1" applyFill="1" applyBorder="1" applyAlignment="1">
      <x:alignment vertical="center"/>
    </x:xf>
    <x:xf numFmtId="206" fontId="11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1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209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B64832"/>
      </x:font>
      <x:fill>
        <x:patternFill patternType="solid">
          <x:bgColor rgb="FFFCE6DF"/>
        </x:patternFill>
      </x:fill>
    </x:dxf>
    <x:dxf>
      <x:font>
        <x:b/>
        <x:color rgb="FFB64832"/>
      </x:font>
      <x:fill>
        <x:patternFill patternType="solid">
          <x:bgColor rgb="FFFCE6DF"/>
        </x:patternFill>
      </x:fill>
    </x:dxf>
    <x:dxf>
      <x:font>
        <x:b/>
        <x:color rgb="FFB64832"/>
      </x:font>
      <x:fill>
        <x:patternFill patternType="solid">
          <x:bgColor rgb="FFFCE6DF"/>
        </x:patternFill>
      </x:fill>
    </x:dxf>
    <x:dxf>
      <x:font>
        <x:b/>
        <x:color rgb="FFB64832"/>
      </x:font>
      <x:fill>
        <x:patternFill patternType="solid">
          <x:bgColor rgb="FFFCE6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e7758c04b414a" /><Relationship Type="http://schemas.openxmlformats.org/officeDocument/2006/relationships/theme" Target="/xl/theme/theme1.xml" Id="R2bc330ce22644ff4" /><Relationship Type="http://schemas.openxmlformats.org/officeDocument/2006/relationships/sharedStrings" Target="/xl/sharedStrings.xml" Id="Rae26d74b4f6043e5" /><Relationship Type="http://schemas.openxmlformats.org/officeDocument/2006/relationships/worksheet" Target="/xl/worksheets/sheet1.xml" Id="R6df1f412e6b24019" /><Relationship Type="http://schemas.openxmlformats.org/officeDocument/2006/relationships/worksheet" Target="/xl/worksheets/sheet2.xml" Id="Rf583b5954d2d43b2" /><Relationship Type="http://schemas.openxmlformats.org/officeDocument/2006/relationships/worksheet" Target="/xl/worksheets/sheet3.xml" Id="R4ebdc0a795454e42" /><Relationship Type="http://schemas.openxmlformats.org/officeDocument/2006/relationships/worksheet" Target="/xl/worksheets/sheet4.xml" Id="Rb70f691d2d0340b0" /><Relationship Type="http://schemas.openxmlformats.org/officeDocument/2006/relationships/worksheet" Target="/xl/worksheets/sheet5.xml" Id="Re7e03bad38994a3f" /><Relationship Type="http://schemas.openxmlformats.org/officeDocument/2006/relationships/worksheet" Target="/xl/worksheets/sheet6.xml" Id="R4e84fd6d45f3422c" /><Relationship Type="http://schemas.openxmlformats.org/officeDocument/2006/relationships/worksheet" Target="/xl/worksheets/sheet7.xml" Id="Ra42b87afc488468f" /><Relationship Type="http://schemas.openxmlformats.org/officeDocument/2006/relationships/worksheet" Target="/xl/worksheets/sheet8.xml" Id="Rd61f586d7d0b42d0" /><Relationship Type="http://schemas.openxmlformats.org/officeDocument/2006/relationships/worksheet" Target="/xl/worksheets/sheet9.xml" Id="R796461cda96843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803f21b8d346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Economic note principal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Closing</c:v>
          </c:tx>
          <c:spPr>
            <a:ln xmlns:a="http://schemas.openxmlformats.org/drawingml/2006/main" w="19050">
              <a:solidFill>
                <a:srgbClr val="102537"/>
              </a:solidFill>
              <a:prstDash val="solid"/>
            </a:ln>
          </c:spPr>
          <c:marker>
            <c:symbol val="none"/>
          </c:marker>
          <c:cat>
            <c:strRef>
              <c:f>'Cashflow'!$D$8:$D$74</c:f>
              <c:strCache>
                <c:ptCount val="0"/>
              </c:strCache>
            </c:strRef>
          </c:cat>
          <c:val>
            <c:numRef>
              <c:f>'Cashflow'!$I$8:$I$74</c:f>
              <c:numCache>
                <c:formatCode>#,##0.00;(#,##0.00);"-"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6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803f21b8d346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876451af054b6c" /></Relationships>
</file>

<file path=xl/worksheets/sheet1.xml><?xml version="1.0" encoding="utf-8"?>
<x:worksheet xmlns:x="http://schemas.openxmlformats.org/spreadsheetml/2006/main">
  <x:sheetPr>
    <x:tabColor rgb="FF102537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CarMax Auto Owner Trust 2025-2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 t="str">
        <x:v>Case selected:</x:v>
      </x:c>
      <x:c r="D4" s="30" t="str">
        <x:f>Controls!D6</x:f>
        <x:v>Central</x:v>
      </x:c>
      <x:c r="E4" s="2"/>
      <x:c r="F4" s="2" t="str">
        <x:v>Class selected:</x:v>
      </x:c>
      <x:c r="G4" s="41" t="str">
        <x:f>Controls!D8</x:f>
        <x:v>D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5" customHeight="1">
      <x:c r="A6" s="2"/>
      <x:c r="B6" s="2"/>
      <x:c r="C6" s="67" t="str">
        <x:v>Pricing from forecast cash flows (USD)</x:v>
      </x:c>
      <x:c r="D6" s="67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0" customHeight="1">
      <x:c r="A7" s="2"/>
      <x:c r="B7" s="2"/>
      <x:c r="C7" s="2" t="str">
        <x:v>Opening principal</x:v>
      </x:c>
      <x:c r="D7" s="64" t="n">
        <x:f>Cashflow!E8</x:f>
        <x:v>14110000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0" customHeight="1">
      <x:c r="A8" s="2"/>
      <x:c r="B8" s="2"/>
      <x:c r="C8" s="2" t="str">
        <x:v>Paid principal</x:v>
      </x:c>
      <x:c r="D8" s="64" t="n">
        <x:f>SUM(Cashflow!G8:G74)</x:f>
        <x:v>14110000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0" customHeight="1">
      <x:c r="A9" s="2"/>
      <x:c r="B9" s="2"/>
      <x:c r="C9" s="2" t="str">
        <x:v>Principal loss</x:v>
      </x:c>
      <x:c r="D9" s="64" t="n">
        <x:f>SUM(Cashflow!H8:H74)</x:f>
        <x:v>0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0" customHeight="1">
      <x:c r="A10" s="2"/>
      <x:c r="B10" s="2"/>
      <x:c r="C10" s="2" t="str">
        <x:v>Economic principal at horizon</x:v>
      </x:c>
      <x:c r="D10" s="64" t="n">
        <x:f>Cashflow!I74</x:f>
        <x:v>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0" customHeight="1">
      <x:c r="A11" s="2"/>
      <x:c r="B11" s="2"/>
      <x:c r="C11" s="2" t="str">
        <x:v>Interest paid</x:v>
      </x:c>
      <x:c r="D11" s="64" t="n">
        <x:f>SUM(Cashflow!F8:F74)</x:f>
        <x:v>3231867.410000002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0" customHeight="1">
      <x:c r="A12" s="2"/>
      <x:c r="B12" s="2"/>
      <x:c r="C12" s="2" t="str">
        <x:v>Unpaid interest at horizon</x:v>
      </x:c>
      <x:c r="D12" s="64" t="n">
        <x:f>INDEX(Cashflow!J8:J74,Controls!D12)</x:f>
        <x:v>0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0" customHeight="1">
      <x:c r="A13" s="2"/>
      <x:c r="B13" s="2"/>
      <x:c r="C13" s="2" t="str">
        <x:v>WAL (years)</x:v>
      </x:c>
      <x:c r="D13" s="63" t="n">
        <x:f>IF(OR(D7=0,D9&gt;0,D10&gt;0),"n.a.",SUM(Cashflow!N8:N74)/D8)</x:f>
        <x:v>3.9901946300054667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0" customHeight="1">
      <x:c r="A14" s="2"/>
      <x:c r="B14" s="2"/>
      <x:c r="C14" s="2" t="str">
        <x:v>Discounted cash-flow value</x:v>
      </x:c>
      <x:c r="D14" s="64" t="n">
        <x:f>SUM(Cashflow!M8:M74)</x:f>
        <x:v>13152885.710422017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0" customHeight="1">
      <x:c r="A15" s="2"/>
      <x:c r="B15" s="2"/>
      <x:c r="C15" s="2" t="str">
        <x:v>Model value / $100</x:v>
      </x:c>
      <x:c r="D15" s="65" t="n">
        <x:f>IF(D7=0,"n.a.",100*D14/D7)</x:f>
        <x:v>93.21676619717942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0" customHeight="1">
      <x:c r="A16" s="2"/>
      <x:c r="B16" s="2"/>
      <x:c r="C16" s="2" t="str">
        <x:v>Assumed purchase price / $100</x:v>
      </x:c>
      <x:c r="D16" s="65" t="n">
        <x:f>Controls!D10</x:f>
        <x:v>100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0" customHeight="1">
      <x:c r="A17" s="2"/>
      <x:c r="B17" s="2"/>
      <x:c r="C17" s="2" t="str">
        <x:v>Value minus purchase assumption / $100</x:v>
      </x:c>
      <x:c r="D17" s="65" t="n">
        <x:f>IF(D7=0,"n.a.",D15-D16)</x:f>
        <x:v>-6.783233802820575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0" customHeight="1">
      <x:c r="A18" s="2"/>
      <x:c r="B18" s="2"/>
      <x:c r="C18" s="2" t="str">
        <x:v>Repaid-principal WAL (years)</x:v>
      </x:c>
      <x:c r="D18" s="63" t="n">
        <x:f>IF(D8=0,"n.a.",SUM(Cashflow!N8:N74)/D8)</x:f>
        <x:v>3.9901946300054667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0" customHeight="1">
      <x:c r="A19" s="2"/>
      <x:c r="B19" s="2"/>
      <x:c r="C19" s="2" t="str">
        <x:v>Contractual principal remaining</x:v>
      </x:c>
      <x:c r="D19" s="64" t="n">
        <x:f>SUMIFS('Exported CF'!$N$9:$N$1544,'Exported CF'!$C$9:$C$1544,Controls!$D$5,'Exported CF'!$D$9:$D$1544,Controls!$D$7,'Exported CF'!$E$9:$E$1544,Controls!$D$12)</x:f>
        <x:v>0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8" customHeight="1">
      <x:c r="A20" s="2"/>
      <x:c r="B20" s="2"/>
      <x:c r="C20" s="19" t="str">
        <x:v>Yield case</x:v>
      </x:c>
      <x:c r="D20" s="20" t="str">
        <x:v>Effective annual yield</x:v>
      </x:c>
      <x:c r="E20" s="20" t="str">
        <x:v>Value / $100</x:v>
      </x:c>
      <x:c r="F20" s="21" t="str">
        <x:v>Value gap / $100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0" customHeight="1">
      <x:c r="A21" s="2"/>
      <x:c r="B21" s="2"/>
      <x:c r="C21" s="2" t="str">
        <x:v>Lower yield</x:v>
      </x:c>
      <x:c r="D21" s="68" t="n">
        <x:f>MAX(0,Controls!D9-Controls!D11)</x:f>
        <x:v>0.07</x:v>
      </x:c>
      <x:c r="E21" s="65" t="n">
        <x:f>IF(D7=0,"n.a.",100*SUM(Cashflow!Q8:Q74)/D7)</x:f>
        <x:v>96.35653187864567</x:v>
      </x:c>
      <x:c r="F21" s="65" t="n">
        <x:f>IF($D$7=0,"n.a.",E21-$D$16)</x:f>
        <x:v>-3.6434681213543314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0" customHeight="1">
      <x:c r="A22" s="2"/>
      <x:c r="B22" s="2"/>
      <x:c r="C22" s="2" t="str">
        <x:v>Selected yield</x:v>
      </x:c>
      <x:c r="D22" s="68" t="n">
        <x:f>Controls!D9</x:f>
        <x:v>0.08</x:v>
      </x:c>
      <x:c r="E22" s="65" t="n">
        <x:f>D15</x:f>
        <x:v>93.21676619717942</x:v>
      </x:c>
      <x:c r="F22" s="65" t="n">
        <x:f>IF($D$7=0,"n.a.",E22-$D$16)</x:f>
        <x:v>-6.783233802820575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0" customHeight="1">
      <x:c r="A23" s="2"/>
      <x:c r="B23" s="2"/>
      <x:c r="C23" s="2" t="str">
        <x:v>Higher yield</x:v>
      </x:c>
      <x:c r="D23" s="68" t="n">
        <x:f>Controls!D9+Controls!D11</x:f>
        <x:v>0.09</x:v>
      </x:c>
      <x:c r="E23" s="65" t="n">
        <x:f>IF(D7=0,"n.a.",100*SUM(Cashflow!R8:R74)/D7)</x:f>
        <x:v>90.2144338406933</x:v>
      </x:c>
      <x:c r="F23" s="65" t="n">
        <x:f>IF($D$7=0,"n.a.",E23-$D$16)</x:f>
        <x:v>-9.785566159306697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0" customHeight="1">
      <x:c r="A27" s="2"/>
      <x:c r="B27" s="2"/>
      <x:c r="C27" s="26" t="str">
        <x:v>Change the scenario, class, yield and price in Controls.</x:v>
      </x:c>
      <x:c r="D27" s="26"/>
      <x:c r="E27" s="26"/>
      <x:c r="F27" s="26"/>
      <x:c r="G27" s="26"/>
      <x:c r="H27" s="26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0" customHeight="1">
      <x:c r="A28" s="2"/>
      <x:c r="B28" s="2"/>
      <x:c r="C28" s="26" t="str">
        <x:v>Scenario cash flows are saved Python calculations.</x:v>
      </x:c>
      <x:c r="D28" s="26"/>
      <x:c r="E28" s="26"/>
      <x:c r="F28" s="26"/>
      <x:c r="G28" s="26"/>
      <x:c r="H28" s="26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0" customHeight="1">
      <x:c r="A29" s="2"/>
      <x:c r="B29" s="2"/>
      <x:c r="C29" s="26" t="str">
        <x:v>Credit assumptions require rerunning the research pipeline.</x:v>
      </x:c>
      <x:c r="D29" s="26"/>
      <x:c r="E29" s="26"/>
      <x:c r="F29" s="26"/>
      <x:c r="G29" s="26"/>
      <x:c r="H29" s="26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0" customHeight="1">
      <x:c r="A30" s="2"/>
      <x:c r="B30" s="2"/>
      <x:c r="C30" s="26" t="str">
        <x:v>Unresolved source exceptions remain. See Loan tape, Sources and Audit.</x:v>
      </x:c>
      <x:c r="D30" s="26"/>
      <x:c r="E30" s="26"/>
      <x:c r="F30" s="26"/>
      <x:c r="G30" s="26"/>
      <x:c r="H30" s="26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0" customHeight="1">
      <x:c r="A31" s="2"/>
      <x:c r="B31" s="2"/>
      <x:c r="C31" s="26" t="str">
        <x:v>Observed through 2026-08-31. Dollar amounts are unscaled.</x:v>
      </x:c>
      <x:c r="D31" s="26"/>
      <x:c r="E31" s="26"/>
      <x:c r="F31" s="26"/>
      <x:c r="G31" s="26"/>
      <x:c r="H31" s="26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0" customHeight="1">
      <x:c r="A33" s="2"/>
      <x:c r="B33" s="2"/>
      <x:c r="C33" s="26" t="str">
        <x:v>Valuation date: 2026-09-15. See Forecast checks for mixed holdout results.</x:v>
      </x:c>
      <x:c r="D33" s="26"/>
      <x:c r="E33" s="26"/>
      <x:c r="F33" s="26"/>
      <x:c r="G33" s="26"/>
      <x:c r="H33" s="26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</x:sheetData>
  <x:pageMargins left="0.7" right="0.7" top="0.75" bottom="0.75" header="0.3" footer="0.3"/>
  <x:drawing xmlns:r="http://schemas.openxmlformats.org/officeDocument/2006/relationships" r:id="R86876451af054b6c"/>
</x:worksheet>
</file>

<file path=xl/worksheets/sheet2.xml><?xml version="1.0" encoding="utf-8"?>
<x:worksheet xmlns:x="http://schemas.openxmlformats.org/spreadsheetml/2006/main">
  <x:sheetPr>
    <x:tabColor rgb="FF547084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Pricing controls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2"/>
      <x:c r="B5" s="2"/>
      <x:c r="C5" s="2" t="str">
        <x:v>Scenario number</x:v>
      </x:c>
      <x:c r="D5" s="23" t="n">
        <x:v>1</x:v>
      </x:c>
      <x:c r="E5" s="2"/>
      <x:c r="F5" s="2"/>
      <x:c r="G5" s="19" t="str">
        <x:v>Scenario number</x:v>
      </x:c>
      <x:c r="H5" s="20" t="str">
        <x:v>Saved model scenario</x:v>
      </x:c>
      <x:c r="I5" s="21" t="str">
        <x:v>Modeled months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0" customHeight="1">
      <x:c r="A6" s="2"/>
      <x:c r="B6" s="2"/>
      <x:c r="C6" s="2" t="str">
        <x:v>Scenario selected</x:v>
      </x:c>
      <x:c r="D6" s="2" t="str">
        <x:f>INDEX(H6:H8,D5)</x:f>
        <x:v>Central</x:v>
      </x:c>
      <x:c r="E6" s="2"/>
      <x:c r="F6" s="2"/>
      <x:c r="G6" s="2" t="n">
        <x:v>1</x:v>
      </x:c>
      <x:c r="H6" s="2" t="str">
        <x:v>Central</x:v>
      </x:c>
      <x:c r="I6" s="2" t="n">
        <x:v>61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0" customHeight="1">
      <x:c r="A7" s="2"/>
      <x:c r="B7" s="2"/>
      <x:c r="C7" s="2" t="str">
        <x:v>Class number</x:v>
      </x:c>
      <x:c r="D7" s="23" t="n">
        <x:v>8</x:v>
      </x:c>
      <x:c r="E7" s="2"/>
      <x:c r="F7" s="2"/>
      <x:c r="G7" s="2" t="n">
        <x:v>2</x:v>
      </x:c>
      <x:c r="H7" s="2" t="str">
        <x:v>Downside</x:v>
      </x:c>
      <x:c r="I7" s="2" t="n">
        <x:v>64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0" customHeight="1">
      <x:c r="A8" s="2"/>
      <x:c r="B8" s="2"/>
      <x:c r="C8" s="2" t="str">
        <x:v>Class selected</x:v>
      </x:c>
      <x:c r="D8" s="2" t="str">
        <x:f>INDEX(H14:H21,D7)</x:f>
        <x:v>D</x:v>
      </x:c>
      <x:c r="E8" s="2"/>
      <x:c r="F8" s="2"/>
      <x:c r="G8" s="2" t="n">
        <x:v>3</x:v>
      </x:c>
      <x:c r="H8" s="2" t="str">
        <x:v>Severe</x:v>
      </x:c>
      <x:c r="I8" s="2" t="n">
        <x:v>67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0" customHeight="1">
      <x:c r="A9" s="2"/>
      <x:c r="B9" s="2"/>
      <x:c r="C9" s="2" t="str">
        <x:v>Effective annual discount yield</x:v>
      </x:c>
      <x:c r="D9" s="24" t="n">
        <x:v>0.08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0" customHeight="1">
      <x:c r="A10" s="2"/>
      <x:c r="B10" s="2"/>
      <x:c r="C10" s="2" t="str">
        <x:v>Assumed purchase price / $100</x:v>
      </x:c>
      <x:c r="D10" s="25" t="n">
        <x:v>100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0" customHeight="1">
      <x:c r="A11" s="2"/>
      <x:c r="B11" s="2"/>
      <x:c r="C11" s="2" t="str">
        <x:v>Yield sensitivity step</x:v>
      </x:c>
      <x:c r="D11" s="24" t="n">
        <x:v>0.01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0" customHeight="1">
      <x:c r="A12" s="2"/>
      <x:c r="B12" s="2"/>
      <x:c r="C12" s="2" t="str">
        <x:v>Active modeled months</x:v>
      </x:c>
      <x:c r="D12" s="2" t="n">
        <x:f>INDEX(I6:I8,D5)</x:f>
        <x:v>61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8" customHeight="1">
      <x:c r="A13" s="2"/>
      <x:c r="B13" s="2"/>
      <x:c r="C13" s="2"/>
      <x:c r="D13" s="2"/>
      <x:c r="E13" s="2"/>
      <x:c r="F13" s="2"/>
      <x:c r="G13" s="19" t="str">
        <x:v>Class number</x:v>
      </x:c>
      <x:c r="H13" s="21" t="str">
        <x:v>Note class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0" customHeight="1">
      <x:c r="A14" s="2"/>
      <x:c r="B14" s="2"/>
      <x:c r="C14" s="2"/>
      <x:c r="D14" s="2"/>
      <x:c r="E14" s="2"/>
      <x:c r="F14" s="2"/>
      <x:c r="G14" s="2" t="n">
        <x:v>1</x:v>
      </x:c>
      <x:c r="H14" s="2" t="str">
        <x:v>A1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0" customHeight="1">
      <x:c r="A15" s="2"/>
      <x:c r="B15" s="2"/>
      <x:c r="C15" s="2"/>
      <x:c r="D15" s="2"/>
      <x:c r="E15" s="2"/>
      <x:c r="F15" s="2"/>
      <x:c r="G15" s="2" t="n">
        <x:v>2</x:v>
      </x:c>
      <x:c r="H15" s="2" t="str">
        <x:v>A2a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0" customHeight="1">
      <x:c r="A16" s="2"/>
      <x:c r="B16" s="2"/>
      <x:c r="C16" s="2"/>
      <x:c r="D16" s="2"/>
      <x:c r="E16" s="2"/>
      <x:c r="F16" s="2"/>
      <x:c r="G16" s="2" t="n">
        <x:v>3</x:v>
      </x:c>
      <x:c r="H16" s="2" t="str">
        <x:v>A2b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0" customHeight="1">
      <x:c r="A17" s="2"/>
      <x:c r="B17" s="2"/>
      <x:c r="C17" s="2"/>
      <x:c r="D17" s="2"/>
      <x:c r="E17" s="2"/>
      <x:c r="F17" s="2"/>
      <x:c r="G17" s="2" t="n">
        <x:v>4</x:v>
      </x:c>
      <x:c r="H17" s="2" t="str">
        <x:v>A3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0" customHeight="1">
      <x:c r="A18" s="2"/>
      <x:c r="B18" s="2"/>
      <x:c r="C18" s="2"/>
      <x:c r="D18" s="2"/>
      <x:c r="E18" s="2"/>
      <x:c r="F18" s="2"/>
      <x:c r="G18" s="2" t="n">
        <x:v>5</x:v>
      </x:c>
      <x:c r="H18" s="2" t="str">
        <x:v>A4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0" customHeight="1">
      <x:c r="A19" s="2"/>
      <x:c r="B19" s="2"/>
      <x:c r="C19" s="2"/>
      <x:c r="D19" s="2"/>
      <x:c r="E19" s="2"/>
      <x:c r="F19" s="2"/>
      <x:c r="G19" s="2" t="n">
        <x:v>6</x:v>
      </x:c>
      <x:c r="H19" s="2" t="str">
        <x:v>B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0" customHeight="1">
      <x:c r="A20" s="2"/>
      <x:c r="B20" s="2"/>
      <x:c r="C20" s="2"/>
      <x:c r="D20" s="2"/>
      <x:c r="E20" s="2"/>
      <x:c r="F20" s="2"/>
      <x:c r="G20" s="2" t="n">
        <x:v>7</x:v>
      </x:c>
      <x:c r="H20" s="2" t="str">
        <x:v>C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0" customHeight="1">
      <x:c r="A21" s="2"/>
      <x:c r="B21" s="2"/>
      <x:c r="C21" s="2"/>
      <x:c r="D21" s="2"/>
      <x:c r="E21" s="2"/>
      <x:c r="F21" s="2"/>
      <x:c r="G21" s="2" t="n">
        <x:v>8</x:v>
      </x:c>
      <x:c r="H21" s="2" t="str">
        <x:v>D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0" customHeight="1">
      <x:c r="A25" s="2"/>
      <x:c r="B25" s="2"/>
      <x:c r="C25" s="27" t="str">
        <x:v>Yellow cells are editable. Numeric inputs are blue.</x:v>
      </x:c>
      <x:c r="D25" s="27"/>
      <x:c r="E25" s="27"/>
      <x:c r="F25" s="27"/>
      <x:c r="G25" s="27"/>
      <x:c r="H25" s="27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0" customHeight="1">
      <x:c r="A26" s="2"/>
      <x:c r="B26" s="2"/>
      <x:c r="C26" s="27" t="str">
        <x:v>Scenario selection loads a saved Python credit path.</x:v>
      </x:c>
      <x:c r="D26" s="27"/>
      <x:c r="E26" s="27"/>
      <x:c r="F26" s="27"/>
      <x:c r="G26" s="27"/>
      <x:c r="H26" s="27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0" customHeight="1">
      <x:c r="A27" s="2"/>
      <x:c r="B27" s="2"/>
      <x:c r="C27" s="27" t="str">
        <x:v>Yield and assumed price recalculate the Excel valuation.</x:v>
      </x:c>
      <x:c r="D27" s="27"/>
      <x:c r="E27" s="27"/>
      <x:c r="F27" s="27"/>
      <x:c r="G27" s="27"/>
      <x:c r="H27" s="27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0" customHeight="1">
      <x:c r="A28" s="2"/>
      <x:c r="B28" s="2"/>
      <x:c r="C28" s="27" t="str">
        <x:v>Default, prepayment and recovery assumptions require a Python rerun.</x:v>
      </x:c>
      <x:c r="D28" s="27"/>
      <x:c r="E28" s="27"/>
      <x:c r="F28" s="27"/>
      <x:c r="G28" s="27"/>
      <x:c r="H28" s="27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0" customHeight="1">
      <x:c r="A29" s="2"/>
      <x:c r="B29" s="2"/>
      <x:c r="C29" s="27" t="str">
        <x:v>No independently sourced market quote is included.</x:v>
      </x:c>
      <x:c r="D29" s="27"/>
      <x:c r="E29" s="27"/>
      <x:c r="F29" s="27"/>
      <x:c r="G29" s="27"/>
      <x:c r="H29" s="27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0" customHeight="1">
      <x:c r="A30" s="2"/>
      <x:c r="B30" s="2"/>
      <x:c r="C30" s="27" t="str">
        <x:v>WAL uses actual elapsed days / 365.25 when supplied by the model.</x:v>
      </x:c>
      <x:c r="D30" s="27"/>
      <x:c r="E30" s="27"/>
      <x:c r="F30" s="27"/>
      <x:c r="G30" s="27"/>
      <x:c r="H30" s="27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0" customHeight="1">
      <x:c r="A31" s="2"/>
      <x:c r="B31" s="2"/>
      <x:c r="C31" s="27" t="str">
        <x:v>WAL is unavailable after principal loss or incomplete repayment.</x:v>
      </x:c>
      <x:c r="D31" s="27"/>
      <x:c r="E31" s="27"/>
      <x:c r="F31" s="27"/>
      <x:c r="G31" s="27"/>
      <x:c r="H31" s="27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0" customHeight="1">
      <x:c r="A32" s="2"/>
      <x:c r="B32" s="2"/>
      <x:c r="C32" s="2" t="str">
        <x:v>Repaid-principal WAL averages the timing of principal actually paid.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0" customHeight="1">
      <x:c r="A33" s="2"/>
      <x:c r="B33" s="2"/>
      <x:c r="C33" s="2" t="str">
        <x:v>Economic impairment is noncash. The contractual unpaid claim is preserved.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0" customHeight="1">
      <x:c r="A35" s="2"/>
      <x:c r="B35" s="2"/>
      <x:c r="C35" s="8" t="str">
        <x:v>Valuation date</x:v>
      </x:c>
      <x:c r="D35" s="9" t="n">
        <x:v>46280</x:v>
      </x:c>
      <x:c r="E35" s="8"/>
      <x:c r="F35" s="8"/>
      <x:c r="G35" s="8"/>
      <x:c r="H35" s="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0" customHeight="1">
      <x:c r="A36" s="2"/>
      <x:c r="B36" s="2"/>
      <x:c r="C36" s="8" t="str">
        <x:v>Model build UTC</x:v>
      </x:c>
      <x:c r="D36" s="10" t="n">
        <x:v>46297.51319427083</x:v>
      </x:c>
      <x:c r="E36" s="8"/>
      <x:c r="F36" s="8"/>
      <x:c r="G36" s="8"/>
      <x:c r="H36" s="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0" customHeight="1">
      <x:c r="A37" s="2"/>
      <x:c r="B37" s="2"/>
      <x:c r="C37" s="8" t="str">
        <x:v>Verified results SHA-256</x:v>
      </x:c>
      <x:c r="D37" s="8" t="str">
        <x:v>80394cb846a98088377fcbdc5fd6ac9471359eb20b7c3aa27cd3a6fa742c6686</x:v>
      </x:c>
      <x:c r="E37" s="8"/>
      <x:c r="F37" s="8"/>
      <x:c r="G37" s="8"/>
      <x:c r="H37" s="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</x:sheetData>
  <x:dataValidations count="5">
    <x:dataValidation type="whole" operator="between" sqref="D5">
      <x:formula1>1</x:formula1>
      <x:formula2>3</x:formula2>
    </x:dataValidation>
    <x:dataValidation type="whole" operator="between" sqref="D7">
      <x:formula1>1</x:formula1>
      <x:formula2>8</x:formula2>
    </x:dataValidation>
    <x:dataValidation type="decimal" operator="between" sqref="D9">
      <x:formula1>0</x:formula1>
      <x:formula2>1</x:formula2>
    </x:dataValidation>
    <x:dataValidation type="decimal" operator="between" sqref="D10">
      <x:formula1>0</x:formula1>
      <x:formula2>200</x:formula2>
    </x:dataValidation>
    <x:dataValidation type="decimal" operator="between" sqref="D11">
      <x:formula1>0</x:formula1>
      <x:formula2>0.5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9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3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Active note cash flows and pricing (USD)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 t="str">
        <x:v>Case selected:</x:v>
      </x:c>
      <x:c r="D4" s="2"/>
      <x:c r="E4" s="30" t="str">
        <x:f>Controls!D6</x:f>
        <x:v>Central</x:v>
      </x:c>
      <x:c r="F4" s="2"/>
      <x:c r="G4" s="2" t="str">
        <x:v>Class selected:</x:v>
      </x:c>
      <x:c r="H4" s="41" t="str">
        <x:f>Controls!D8</x:f>
        <x:v>D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8" customHeight="1">
      <x:c r="A7" s="2"/>
      <x:c r="B7" s="2"/>
      <x:c r="C7" s="19" t="str">
        <x:v>Month</x:v>
      </x:c>
      <x:c r="D7" s="20" t="str">
        <x:v>Period</x:v>
      </x:c>
      <x:c r="E7" s="20" t="str">
        <x:v>Opening</x:v>
      </x:c>
      <x:c r="F7" s="20" t="str">
        <x:v>Interest</x:v>
      </x:c>
      <x:c r="G7" s="20" t="str">
        <x:v>Principal</x:v>
      </x:c>
      <x:c r="H7" s="20" t="str">
        <x:v>Loss</x:v>
      </x:c>
      <x:c r="I7" s="20" t="str">
        <x:v>Closing</x:v>
      </x:c>
      <x:c r="J7" s="20" t="str">
        <x:v>Interest arrears</x:v>
      </x:c>
      <x:c r="K7" s="20" t="str">
        <x:v>Cash paid</x:v>
      </x:c>
      <x:c r="L7" s="20" t="str">
        <x:v>Discount factor</x:v>
      </x:c>
      <x:c r="M7" s="20" t="str">
        <x:v>Present value</x:v>
      </x:c>
      <x:c r="N7" s="20" t="str">
        <x:v>Time-weighted principal</x:v>
      </x:c>
      <x:c r="O7" s="20" t="str">
        <x:v>Expected closing</x:v>
      </x:c>
      <x:c r="P7" s="20" t="str">
        <x:v>Difference</x:v>
      </x:c>
      <x:c r="Q7" s="20" t="str">
        <x:v>PV lower yield</x:v>
      </x:c>
      <x:c r="R7" s="20" t="str">
        <x:v>PV higher yield</x:v>
      </x:c>
      <x:c r="S7" s="20" t="str">
        <x:v>Source rows</x:v>
      </x:c>
      <x:c r="T7" s="56" t="str">
        <x:v>Elapsed years</x:v>
      </x:c>
    </x:row>
    <x:row r="8" ht="20" customHeight="1">
      <x:c r="A8" s="2"/>
      <x:c r="B8" s="2"/>
      <x:c r="C8" s="2" t="n">
        <x:v>1</x:v>
      </x:c>
      <x:c r="D8" s="2" t="str">
        <x:v>2026-10</x:v>
      </x:c>
      <x:c r="E8" s="58" t="n">
        <x:f>IF(C8&gt;Controls!$D$12,0,IF(S8=1,SUMIFS('Exported CF'!$G$9:$G$1544,'Exported CF'!$C$9:$C$1544,Controls!$D$5,'Exported CF'!$D$9:$D$1544,Controls!$D$7,'Exported CF'!$E$9:$E$1544,$C8),NA()))</x:f>
        <x:v>14110000</x:v>
      </x:c>
      <x:c r="F8" s="58" t="n">
        <x:f>IF(C8&gt;Controls!$D$12,0,IF(S8=1,SUMIFS('Exported CF'!$H$9:$H$1544,'Exported CF'!$C$9:$C$1544,Controls!$D$5,'Exported CF'!$D$9:$D$1544,Controls!$D$7,'Exported CF'!$E$9:$E$1544,$C8),NA()))</x:f>
        <x:v>67492.83</x:v>
      </x:c>
      <x:c r="G8" s="58" t="n">
        <x:f>IF(C8&gt;Controls!$D$12,0,IF(S8=1,SUMIFS('Exported CF'!$I$9:$I$1544,'Exported CF'!$C$9:$C$1544,Controls!$D$5,'Exported CF'!$D$9:$D$1544,Controls!$D$7,'Exported CF'!$E$9:$E$1544,$C8),NA()))</x:f>
        <x:v>0</x:v>
      </x:c>
      <x:c r="H8" s="58" t="n">
        <x:f>IF(C8&gt;Controls!$D$12,0,IF(S8=1,SUMIFS('Exported CF'!$J$9:$J$1544,'Exported CF'!$C$9:$C$1544,Controls!$D$5,'Exported CF'!$D$9:$D$1544,Controls!$D$7,'Exported CF'!$E$9:$E$1544,$C8),NA()))</x:f>
        <x:v>0</x:v>
      </x:c>
      <x:c r="I8" s="58" t="n">
        <x:f>IF(C8&gt;Controls!$D$12,0,IF(S8=1,SUMIFS('Exported CF'!$K$9:$K$1544,'Exported CF'!$C$9:$C$1544,Controls!$D$5,'Exported CF'!$D$9:$D$1544,Controls!$D$7,'Exported CF'!$E$9:$E$1544,$C8),NA()))</x:f>
        <x:v>14110000</x:v>
      </x:c>
      <x:c r="J8" s="58" t="n">
        <x:f>IF(C8&gt;Controls!$D$12,0,IF(S8=1,SUMIFS('Exported CF'!$L$9:$L$1544,'Exported CF'!$C$9:$C$1544,Controls!$D$5,'Exported CF'!$D$9:$D$1544,Controls!$D$7,'Exported CF'!$E$9:$E$1544,$C8),NA()))</x:f>
        <x:v>0</x:v>
      </x:c>
      <x:c r="K8" s="59" t="n">
        <x:f>F8+G8</x:f>
        <x:v>67492.83</x:v>
      </x:c>
      <x:c r="L8" s="61" t="n">
        <x:f>1/(1+Controls!$D$9)^T8</x:f>
        <x:v>0.9936987015660766</x:v>
      </x:c>
      <x:c r="M8" s="59" t="n">
        <x:f>K8*L8</x:f>
        <x:v>67067.53753601994</x:v>
      </x:c>
      <x:c r="N8" s="59" t="n">
        <x:f>G8*T8</x:f>
        <x:v>0</x:v>
      </x:c>
      <x:c r="O8" s="59" t="n">
        <x:f>E8-G8-H8</x:f>
        <x:v>14110000</x:v>
      </x:c>
      <x:c r="P8" s="60" t="n">
        <x:f>O8-I8</x:f>
        <x:v>0</x:v>
      </x:c>
      <x:c r="Q8" s="59" t="n">
        <x:f>K8/(1+MAX(0,Controls!$D$9-Controls!$D$11))^T8</x:f>
        <x:v>67118.80053174474</x:v>
      </x:c>
      <x:c r="R8" s="59" t="n">
        <x:f>K8/(1+Controls!$D$9+Controls!$D$11)^T8</x:f>
        <x:v>67016.78563036966</x:v>
      </x:c>
      <x:c r="S8" s="2" t="n">
        <x:f>COUNTIFS('Exported CF'!$C$9:$C$1544,Controls!$D$5,'Exported CF'!$D$9:$D$1544,Controls!$D$7,'Exported CF'!$E$9:$E$1544,$C8)</x:f>
        <x:v>1</x:v>
      </x:c>
      <x:c r="T8" s="62" t="n">
        <x:f>IF(C8&gt;Controls!$D$12,0,IF(S8=1,SUMIFS('Exported CF'!$M$9:$M$1544,'Exported CF'!$C$9:$C$1544,Controls!$D$5,'Exported CF'!$D$9:$D$1544,Controls!$D$7,'Exported CF'!$E$9:$E$1544,$C8),NA()))</x:f>
        <x:v>0.08213552361396304</x:v>
      </x:c>
    </x:row>
    <x:row r="9" ht="20" customHeight="1">
      <x:c r="A9" s="2"/>
      <x:c r="B9" s="2"/>
      <x:c r="C9" s="2" t="n">
        <x:v>2</x:v>
      </x:c>
      <x:c r="D9" s="2" t="str">
        <x:v>2026-11</x:v>
      </x:c>
      <x:c r="E9" s="58" t="n">
        <x:f>IF(C9&gt;Controls!$D$12,0,IF(S9=1,SUMIFS('Exported CF'!$G$9:$G$1544,'Exported CF'!$C$9:$C$1544,Controls!$D$5,'Exported CF'!$D$9:$D$1544,Controls!$D$7,'Exported CF'!$E$9:$E$1544,$C9),NA()))</x:f>
        <x:v>14110000</x:v>
      </x:c>
      <x:c r="F9" s="58" t="n">
        <x:f>IF(C9&gt;Controls!$D$12,0,IF(S9=1,SUMIFS('Exported CF'!$H$9:$H$1544,'Exported CF'!$C$9:$C$1544,Controls!$D$5,'Exported CF'!$D$9:$D$1544,Controls!$D$7,'Exported CF'!$E$9:$E$1544,$C9),NA()))</x:f>
        <x:v>67492.83</x:v>
      </x:c>
      <x:c r="G9" s="58" t="n">
        <x:f>IF(C9&gt;Controls!$D$12,0,IF(S9=1,SUMIFS('Exported CF'!$I$9:$I$1544,'Exported CF'!$C$9:$C$1544,Controls!$D$5,'Exported CF'!$D$9:$D$1544,Controls!$D$7,'Exported CF'!$E$9:$E$1544,$C9),NA()))</x:f>
        <x:v>0</x:v>
      </x:c>
      <x:c r="H9" s="58" t="n">
        <x:f>IF(C9&gt;Controls!$D$12,0,IF(S9=1,SUMIFS('Exported CF'!$J$9:$J$1544,'Exported CF'!$C$9:$C$1544,Controls!$D$5,'Exported CF'!$D$9:$D$1544,Controls!$D$7,'Exported CF'!$E$9:$E$1544,$C9),NA()))</x:f>
        <x:v>0</x:v>
      </x:c>
      <x:c r="I9" s="58" t="n">
        <x:f>IF(C9&gt;Controls!$D$12,0,IF(S9=1,SUMIFS('Exported CF'!$K$9:$K$1544,'Exported CF'!$C$9:$C$1544,Controls!$D$5,'Exported CF'!$D$9:$D$1544,Controls!$D$7,'Exported CF'!$E$9:$E$1544,$C9),NA()))</x:f>
        <x:v>14110000</x:v>
      </x:c>
      <x:c r="J9" s="58" t="n">
        <x:f>IF(C9&gt;Controls!$D$12,0,IF(S9=1,SUMIFS('Exported CF'!$L$9:$L$1544,'Exported CF'!$C$9:$C$1544,Controls!$D$5,'Exported CF'!$D$9:$D$1544,Controls!$D$7,'Exported CF'!$E$9:$E$1544,$C9),NA()))</x:f>
        <x:v>0</x:v>
      </x:c>
      <x:c r="K9" s="59" t="n">
        <x:f>F9+G9</x:f>
        <x:v>67492.83</x:v>
      </x:c>
      <x:c r="L9" s="61" t="n">
        <x:f>1/(1+Controls!$D$9)^T9</x:f>
        <x:v>0.9870210756669721</x:v>
      </x:c>
      <x:c r="M9" s="59" t="n">
        <x:f>K9*L9</x:f>
        <x:v>66616.84566640809</x:v>
      </x:c>
      <x:c r="N9" s="59" t="n">
        <x:f>G9*T9</x:f>
        <x:v>0</x:v>
      </x:c>
      <x:c r="O9" s="59" t="n">
        <x:f>E9-G9-H9</x:f>
        <x:v>14110000</x:v>
      </x:c>
      <x:c r="P9" s="60" t="n">
        <x:f>O9-I9</x:f>
        <x:v>0</x:v>
      </x:c>
      <x:c r="Q9" s="59" t="n">
        <x:f>K9/(1+MAX(0,Controls!$D$9-Controls!$D$11))^T9</x:f>
        <x:v>66722.12015222492</x:v>
      </x:c>
      <x:c r="R9" s="59" t="n">
        <x:f>K9/(1+Controls!$D$9+Controls!$D$11)^T9</x:f>
        <x:v>66512.70528021424</x:v>
      </x:c>
      <x:c r="S9" s="2" t="n">
        <x:f>COUNTIFS('Exported CF'!$C$9:$C$1544,Controls!$D$5,'Exported CF'!$D$9:$D$1544,Controls!$D$7,'Exported CF'!$E$9:$E$1544,$C9)</x:f>
        <x:v>1</x:v>
      </x:c>
      <x:c r="T9" s="62" t="n">
        <x:f>IF(C9&gt;Controls!$D$12,0,IF(S9=1,SUMIFS('Exported CF'!$M$9:$M$1544,'Exported CF'!$C$9:$C$1544,Controls!$D$5,'Exported CF'!$D$9:$D$1544,Controls!$D$7,'Exported CF'!$E$9:$E$1544,$C9),NA()))</x:f>
        <x:v>0.1697467488021903</x:v>
      </x:c>
    </x:row>
    <x:row r="10" ht="20" customHeight="1">
      <x:c r="A10" s="2"/>
      <x:c r="B10" s="2"/>
      <x:c r="C10" s="2" t="n">
        <x:v>3</x:v>
      </x:c>
      <x:c r="D10" s="2" t="str">
        <x:v>2026-12</x:v>
      </x:c>
      <x:c r="E10" s="58" t="n">
        <x:f>IF(C10&gt;Controls!$D$12,0,IF(S10=1,SUMIFS('Exported CF'!$G$9:$G$1544,'Exported CF'!$C$9:$C$1544,Controls!$D$5,'Exported CF'!$D$9:$D$1544,Controls!$D$7,'Exported CF'!$E$9:$E$1544,$C10),NA()))</x:f>
        <x:v>14110000</x:v>
      </x:c>
      <x:c r="F10" s="58" t="n">
        <x:f>IF(C10&gt;Controls!$D$12,0,IF(S10=1,SUMIFS('Exported CF'!$H$9:$H$1544,'Exported CF'!$C$9:$C$1544,Controls!$D$5,'Exported CF'!$D$9:$D$1544,Controls!$D$7,'Exported CF'!$E$9:$E$1544,$C10),NA()))</x:f>
        <x:v>67492.83</x:v>
      </x:c>
      <x:c r="G10" s="58" t="n">
        <x:f>IF(C10&gt;Controls!$D$12,0,IF(S10=1,SUMIFS('Exported CF'!$I$9:$I$1544,'Exported CF'!$C$9:$C$1544,Controls!$D$5,'Exported CF'!$D$9:$D$1544,Controls!$D$7,'Exported CF'!$E$9:$E$1544,$C10),NA()))</x:f>
        <x:v>0</x:v>
      </x:c>
      <x:c r="H10" s="58" t="n">
        <x:f>IF(C10&gt;Controls!$D$12,0,IF(S10=1,SUMIFS('Exported CF'!$J$9:$J$1544,'Exported CF'!$C$9:$C$1544,Controls!$D$5,'Exported CF'!$D$9:$D$1544,Controls!$D$7,'Exported CF'!$E$9:$E$1544,$C10),NA()))</x:f>
        <x:v>0</x:v>
      </x:c>
      <x:c r="I10" s="58" t="n">
        <x:f>IF(C10&gt;Controls!$D$12,0,IF(S10=1,SUMIFS('Exported CF'!$K$9:$K$1544,'Exported CF'!$C$9:$C$1544,Controls!$D$5,'Exported CF'!$D$9:$D$1544,Controls!$D$7,'Exported CF'!$E$9:$E$1544,$C10),NA()))</x:f>
        <x:v>14110000</x:v>
      </x:c>
      <x:c r="J10" s="58" t="n">
        <x:f>IF(C10&gt;Controls!$D$12,0,IF(S10=1,SUMIFS('Exported CF'!$L$9:$L$1544,'Exported CF'!$C$9:$C$1544,Controls!$D$5,'Exported CF'!$D$9:$D$1544,Controls!$D$7,'Exported CF'!$E$9:$E$1544,$C10),NA()))</x:f>
        <x:v>0</x:v>
      </x:c>
      <x:c r="K10" s="59" t="n">
        <x:f>F10+G10</x:f>
        <x:v>67492.83</x:v>
      </x:c>
      <x:c r="L10" s="61" t="n">
        <x:f>1/(1+Controls!$D$9)^T10</x:f>
        <x:v>0.9810082456682357</x:v>
      </x:c>
      <x:c r="M10" s="59" t="n">
        <x:f>K10*L10</x:f>
        <x:v>66211.02275348447</x:v>
      </x:c>
      <x:c r="N10" s="59" t="n">
        <x:f>G10*T10</x:f>
        <x:v>0</x:v>
      </x:c>
      <x:c r="O10" s="59" t="n">
        <x:f>E10-G10-H10</x:f>
        <x:v>14110000</x:v>
      </x:c>
      <x:c r="P10" s="60" t="n">
        <x:f>O10-I10</x:f>
        <x:v>0</x:v>
      </x:c>
      <x:c r="Q10" s="59" t="n">
        <x:f>K10/(1+MAX(0,Controls!$D$9-Controls!$D$11))^T10</x:f>
        <x:v>66364.65398002417</x:v>
      </x:c>
      <x:c r="R10" s="59" t="n">
        <x:f>K10/(1+Controls!$D$9+Controls!$D$11)^T10</x:f>
        <x:v>66059.15825327518</x:v>
      </x:c>
      <x:c r="S10" s="2" t="n">
        <x:f>COUNTIFS('Exported CF'!$C$9:$C$1544,Controls!$D$5,'Exported CF'!$D$9:$D$1544,Controls!$D$7,'Exported CF'!$E$9:$E$1544,$C10)</x:f>
        <x:v>1</x:v>
      </x:c>
      <x:c r="T10" s="62" t="n">
        <x:f>IF(C10&gt;Controls!$D$12,0,IF(S10=1,SUMIFS('Exported CF'!$M$9:$M$1544,'Exported CF'!$C$9:$C$1544,Controls!$D$5,'Exported CF'!$D$9:$D$1544,Controls!$D$7,'Exported CF'!$E$9:$E$1544,$C10),NA()))</x:f>
        <x:v>0.24914442162902123</x:v>
      </x:c>
    </x:row>
    <x:row r="11" ht="20" customHeight="1">
      <x:c r="A11" s="2"/>
      <x:c r="B11" s="2"/>
      <x:c r="C11" s="2" t="n">
        <x:v>4</x:v>
      </x:c>
      <x:c r="D11" s="2" t="str">
        <x:v>2027-01</x:v>
      </x:c>
      <x:c r="E11" s="58" t="n">
        <x:f>IF(C11&gt;Controls!$D$12,0,IF(S11=1,SUMIFS('Exported CF'!$G$9:$G$1544,'Exported CF'!$C$9:$C$1544,Controls!$D$5,'Exported CF'!$D$9:$D$1544,Controls!$D$7,'Exported CF'!$E$9:$E$1544,$C11),NA()))</x:f>
        <x:v>14110000</x:v>
      </x:c>
      <x:c r="F11" s="58" t="n">
        <x:f>IF(C11&gt;Controls!$D$12,0,IF(S11=1,SUMIFS('Exported CF'!$H$9:$H$1544,'Exported CF'!$C$9:$C$1544,Controls!$D$5,'Exported CF'!$D$9:$D$1544,Controls!$D$7,'Exported CF'!$E$9:$E$1544,$C11),NA()))</x:f>
        <x:v>67492.83</x:v>
      </x:c>
      <x:c r="G11" s="58" t="n">
        <x:f>IF(C11&gt;Controls!$D$12,0,IF(S11=1,SUMIFS('Exported CF'!$I$9:$I$1544,'Exported CF'!$C$9:$C$1544,Controls!$D$5,'Exported CF'!$D$9:$D$1544,Controls!$D$7,'Exported CF'!$E$9:$E$1544,$C11),NA()))</x:f>
        <x:v>0</x:v>
      </x:c>
      <x:c r="H11" s="58" t="n">
        <x:f>IF(C11&gt;Controls!$D$12,0,IF(S11=1,SUMIFS('Exported CF'!$J$9:$J$1544,'Exported CF'!$C$9:$C$1544,Controls!$D$5,'Exported CF'!$D$9:$D$1544,Controls!$D$7,'Exported CF'!$E$9:$E$1544,$C11),NA()))</x:f>
        <x:v>0</x:v>
      </x:c>
      <x:c r="I11" s="58" t="n">
        <x:f>IF(C11&gt;Controls!$D$12,0,IF(S11=1,SUMIFS('Exported CF'!$K$9:$K$1544,'Exported CF'!$C$9:$C$1544,Controls!$D$5,'Exported CF'!$D$9:$D$1544,Controls!$D$7,'Exported CF'!$E$9:$E$1544,$C11),NA()))</x:f>
        <x:v>14110000</x:v>
      </x:c>
      <x:c r="J11" s="58" t="n">
        <x:f>IF(C11&gt;Controls!$D$12,0,IF(S11=1,SUMIFS('Exported CF'!$L$9:$L$1544,'Exported CF'!$C$9:$C$1544,Controls!$D$5,'Exported CF'!$D$9:$D$1544,Controls!$D$7,'Exported CF'!$E$9:$E$1544,$C11),NA()))</x:f>
        <x:v>0</x:v>
      </x:c>
      <x:c r="K11" s="59" t="n">
        <x:f>F11+G11</x:f>
        <x:v>67492.83</x:v>
      </x:c>
      <x:c r="L11" s="61" t="n">
        <x:f>1/(1+Controls!$D$9)^T11</x:f>
        <x:v>0.9746212379663591</x:v>
      </x:c>
      <x:c r="M11" s="59" t="n">
        <x:f>K11*L11</x:f>
        <x:v>65779.94552845303</x:v>
      </x:c>
      <x:c r="N11" s="59" t="n">
        <x:f>G11*T11</x:f>
        <x:v>0</x:v>
      </x:c>
      <x:c r="O11" s="59" t="n">
        <x:f>E11-G11-H11</x:f>
        <x:v>14110000</x:v>
      </x:c>
      <x:c r="P11" s="60" t="n">
        <x:f>O11-I11</x:f>
        <x:v>0</x:v>
      </x:c>
      <x:c r="Q11" s="59" t="n">
        <x:f>K11/(1+MAX(0,Controls!$D$9-Controls!$D$11))^T11</x:f>
        <x:v>65984.65251729914</x:v>
      </x:c>
      <x:c r="R11" s="59" t="n">
        <x:f>K11/(1+Controls!$D$9+Controls!$D$11)^T11</x:f>
        <x:v>65577.7515910204</x:v>
      </x:c>
      <x:c r="S11" s="2" t="n">
        <x:f>COUNTIFS('Exported CF'!$C$9:$C$1544,Controls!$D$5,'Exported CF'!$D$9:$D$1544,Controls!$D$7,'Exported CF'!$E$9:$E$1544,$C11)</x:f>
        <x:v>1</x:v>
      </x:c>
      <x:c r="T11" s="62" t="n">
        <x:f>IF(C11&gt;Controls!$D$12,0,IF(S11=1,SUMIFS('Exported CF'!$M$9:$M$1544,'Exported CF'!$C$9:$C$1544,Controls!$D$5,'Exported CF'!$D$9:$D$1544,Controls!$D$7,'Exported CF'!$E$9:$E$1544,$C11),NA()))</x:f>
        <x:v>0.33401779603011633</x:v>
      </x:c>
    </x:row>
    <x:row r="12" ht="20" customHeight="1">
      <x:c r="A12" s="2"/>
      <x:c r="B12" s="2"/>
      <x:c r="C12" s="2" t="n">
        <x:v>5</x:v>
      </x:c>
      <x:c r="D12" s="2" t="str">
        <x:v>2027-02</x:v>
      </x:c>
      <x:c r="E12" s="58" t="n">
        <x:f>IF(C12&gt;Controls!$D$12,0,IF(S12=1,SUMIFS('Exported CF'!$G$9:$G$1544,'Exported CF'!$C$9:$C$1544,Controls!$D$5,'Exported CF'!$D$9:$D$1544,Controls!$D$7,'Exported CF'!$E$9:$E$1544,$C12),NA()))</x:f>
        <x:v>14110000</x:v>
      </x:c>
      <x:c r="F12" s="58" t="n">
        <x:f>IF(C12&gt;Controls!$D$12,0,IF(S12=1,SUMIFS('Exported CF'!$H$9:$H$1544,'Exported CF'!$C$9:$C$1544,Controls!$D$5,'Exported CF'!$D$9:$D$1544,Controls!$D$7,'Exported CF'!$E$9:$E$1544,$C12),NA()))</x:f>
        <x:v>67492.83</x:v>
      </x:c>
      <x:c r="G12" s="58" t="n">
        <x:f>IF(C12&gt;Controls!$D$12,0,IF(S12=1,SUMIFS('Exported CF'!$I$9:$I$1544,'Exported CF'!$C$9:$C$1544,Controls!$D$5,'Exported CF'!$D$9:$D$1544,Controls!$D$7,'Exported CF'!$E$9:$E$1544,$C12),NA()))</x:f>
        <x:v>0</x:v>
      </x:c>
      <x:c r="H12" s="58" t="n">
        <x:f>IF(C12&gt;Controls!$D$12,0,IF(S12=1,SUMIFS('Exported CF'!$J$9:$J$1544,'Exported CF'!$C$9:$C$1544,Controls!$D$5,'Exported CF'!$D$9:$D$1544,Controls!$D$7,'Exported CF'!$E$9:$E$1544,$C12),NA()))</x:f>
        <x:v>0</x:v>
      </x:c>
      <x:c r="I12" s="58" t="n">
        <x:f>IF(C12&gt;Controls!$D$12,0,IF(S12=1,SUMIFS('Exported CF'!$K$9:$K$1544,'Exported CF'!$C$9:$C$1544,Controls!$D$5,'Exported CF'!$D$9:$D$1544,Controls!$D$7,'Exported CF'!$E$9:$E$1544,$C12),NA()))</x:f>
        <x:v>14110000</x:v>
      </x:c>
      <x:c r="J12" s="58" t="n">
        <x:f>IF(C12&gt;Controls!$D$12,0,IF(S12=1,SUMIFS('Exported CF'!$L$9:$L$1544,'Exported CF'!$C$9:$C$1544,Controls!$D$5,'Exported CF'!$D$9:$D$1544,Controls!$D$7,'Exported CF'!$E$9:$E$1544,$C12),NA()))</x:f>
        <x:v>0</x:v>
      </x:c>
      <x:c r="K12" s="59" t="n">
        <x:f>F12+G12</x:f>
        <x:v>67492.83</x:v>
      </x:c>
      <x:c r="L12" s="61" t="n">
        <x:f>1/(1+Controls!$D$9)^T12</x:f>
        <x:v>0.9680718120586825</x:v>
      </x:c>
      <x:c r="M12" s="59" t="n">
        <x:f>K12*L12</x:f>
        <x:v>65337.90623906861</x:v>
      </x:c>
      <x:c r="N12" s="59" t="n">
        <x:f>G12*T12</x:f>
        <x:v>0</x:v>
      </x:c>
      <x:c r="O12" s="59" t="n">
        <x:f>E12-G12-H12</x:f>
        <x:v>14110000</x:v>
      </x:c>
      <x:c r="P12" s="60" t="n">
        <x:f>O12-I12</x:f>
        <x:v>0</x:v>
      </x:c>
      <x:c r="Q12" s="59" t="n">
        <x:f>K12/(1+MAX(0,Controls!$D$9-Controls!$D$11))^T12</x:f>
        <x:v>65594.6750922606</x:v>
      </x:c>
      <x:c r="R12" s="59" t="n">
        <x:f>K12/(1+Controls!$D$9+Controls!$D$11)^T12</x:f>
        <x:v>65084.495227357584</x:v>
      </x:c>
      <x:c r="S12" s="2" t="n">
        <x:f>COUNTIFS('Exported CF'!$C$9:$C$1544,Controls!$D$5,'Exported CF'!$D$9:$D$1544,Controls!$D$7,'Exported CF'!$E$9:$E$1544,$C12)</x:f>
        <x:v>1</x:v>
      </x:c>
      <x:c r="T12" s="62" t="n">
        <x:f>IF(C12&gt;Controls!$D$12,0,IF(S12=1,SUMIFS('Exported CF'!$M$9:$M$1544,'Exported CF'!$C$9:$C$1544,Controls!$D$5,'Exported CF'!$D$9:$D$1544,Controls!$D$7,'Exported CF'!$E$9:$E$1544,$C12),NA()))</x:f>
        <x:v>0.4216290212183436</x:v>
      </x:c>
    </x:row>
    <x:row r="13" ht="20" customHeight="1">
      <x:c r="A13" s="2"/>
      <x:c r="B13" s="2"/>
      <x:c r="C13" s="2" t="n">
        <x:v>6</x:v>
      </x:c>
      <x:c r="D13" s="2" t="str">
        <x:v>2027-03</x:v>
      </x:c>
      <x:c r="E13" s="58" t="n">
        <x:f>IF(C13&gt;Controls!$D$12,0,IF(S13=1,SUMIFS('Exported CF'!$G$9:$G$1544,'Exported CF'!$C$9:$C$1544,Controls!$D$5,'Exported CF'!$D$9:$D$1544,Controls!$D$7,'Exported CF'!$E$9:$E$1544,$C13),NA()))</x:f>
        <x:v>14110000</x:v>
      </x:c>
      <x:c r="F13" s="58" t="n">
        <x:f>IF(C13&gt;Controls!$D$12,0,IF(S13=1,SUMIFS('Exported CF'!$H$9:$H$1544,'Exported CF'!$C$9:$C$1544,Controls!$D$5,'Exported CF'!$D$9:$D$1544,Controls!$D$7,'Exported CF'!$E$9:$E$1544,$C13),NA()))</x:f>
        <x:v>67492.83</x:v>
      </x:c>
      <x:c r="G13" s="58" t="n">
        <x:f>IF(C13&gt;Controls!$D$12,0,IF(S13=1,SUMIFS('Exported CF'!$I$9:$I$1544,'Exported CF'!$C$9:$C$1544,Controls!$D$5,'Exported CF'!$D$9:$D$1544,Controls!$D$7,'Exported CF'!$E$9:$E$1544,$C13),NA()))</x:f>
        <x:v>0</x:v>
      </x:c>
      <x:c r="H13" s="58" t="n">
        <x:f>IF(C13&gt;Controls!$D$12,0,IF(S13=1,SUMIFS('Exported CF'!$J$9:$J$1544,'Exported CF'!$C$9:$C$1544,Controls!$D$5,'Exported CF'!$D$9:$D$1544,Controls!$D$7,'Exported CF'!$E$9:$E$1544,$C13),NA()))</x:f>
        <x:v>0</x:v>
      </x:c>
      <x:c r="I13" s="58" t="n">
        <x:f>IF(C13&gt;Controls!$D$12,0,IF(S13=1,SUMIFS('Exported CF'!$K$9:$K$1544,'Exported CF'!$C$9:$C$1544,Controls!$D$5,'Exported CF'!$D$9:$D$1544,Controls!$D$7,'Exported CF'!$E$9:$E$1544,$C13),NA()))</x:f>
        <x:v>14110000</x:v>
      </x:c>
      <x:c r="J13" s="58" t="n">
        <x:f>IF(C13&gt;Controls!$D$12,0,IF(S13=1,SUMIFS('Exported CF'!$L$9:$L$1544,'Exported CF'!$C$9:$C$1544,Controls!$D$5,'Exported CF'!$D$9:$D$1544,Controls!$D$7,'Exported CF'!$E$9:$E$1544,$C13),NA()))</x:f>
        <x:v>0</x:v>
      </x:c>
      <x:c r="K13" s="59" t="n">
        <x:f>F13+G13</x:f>
        <x:v>67492.83</x:v>
      </x:c>
      <x:c r="L13" s="61" t="n">
        <x:f>1/(1+Controls!$D$9)^T13</x:f>
        <x:v>0.9625799798575272</x:v>
      </x:c>
      <x:c r="M13" s="59" t="n">
        <x:f>K13*L13</x:f>
        <x:v>64967.24694192751</x:v>
      </x:c>
      <x:c r="N13" s="59" t="n">
        <x:f>G13*T13</x:f>
        <x:v>0</x:v>
      </x:c>
      <x:c r="O13" s="59" t="n">
        <x:f>E13-G13-H13</x:f>
        <x:v>14110000</x:v>
      </x:c>
      <x:c r="P13" s="60" t="n">
        <x:f>O13-I13</x:f>
        <x:v>0</x:v>
      </x:c>
      <x:c r="Q13" s="59" t="n">
        <x:f>K13/(1+MAX(0,Controls!$D$9-Controls!$D$11))^T13</x:f>
        <x:v>65267.42495131467</x:v>
      </x:c>
      <x:c r="R13" s="59" t="n">
        <x:f>K13/(1+Controls!$D$9+Controls!$D$11)^T13</x:f>
        <x:v>64671.197159788215</x:v>
      </x:c>
      <x:c r="S13" s="2" t="n">
        <x:f>COUNTIFS('Exported CF'!$C$9:$C$1544,Controls!$D$5,'Exported CF'!$D$9:$D$1544,Controls!$D$7,'Exported CF'!$E$9:$E$1544,$C13)</x:f>
        <x:v>1</x:v>
      </x:c>
      <x:c r="T13" s="62" t="n">
        <x:f>IF(C13&gt;Controls!$D$12,0,IF(S13=1,SUMIFS('Exported CF'!$M$9:$M$1544,'Exported CF'!$C$9:$C$1544,Controls!$D$5,'Exported CF'!$D$9:$D$1544,Controls!$D$7,'Exported CF'!$E$9:$E$1544,$C13),NA()))</x:f>
        <x:v>0.49555099247091033</x:v>
      </x:c>
    </x:row>
    <x:row r="14" ht="20" customHeight="1">
      <x:c r="A14" s="2"/>
      <x:c r="B14" s="2"/>
      <x:c r="C14" s="2" t="n">
        <x:v>7</x:v>
      </x:c>
      <x:c r="D14" s="2" t="str">
        <x:v>2027-04</x:v>
      </x:c>
      <x:c r="E14" s="58" t="n">
        <x:f>IF(C14&gt;Controls!$D$12,0,IF(S14=1,SUMIFS('Exported CF'!$G$9:$G$1544,'Exported CF'!$C$9:$C$1544,Controls!$D$5,'Exported CF'!$D$9:$D$1544,Controls!$D$7,'Exported CF'!$E$9:$E$1544,$C14),NA()))</x:f>
        <x:v>14110000</x:v>
      </x:c>
      <x:c r="F14" s="58" t="n">
        <x:f>IF(C14&gt;Controls!$D$12,0,IF(S14=1,SUMIFS('Exported CF'!$H$9:$H$1544,'Exported CF'!$C$9:$C$1544,Controls!$D$5,'Exported CF'!$D$9:$D$1544,Controls!$D$7,'Exported CF'!$E$9:$E$1544,$C14),NA()))</x:f>
        <x:v>67492.83</x:v>
      </x:c>
      <x:c r="G14" s="58" t="n">
        <x:f>IF(C14&gt;Controls!$D$12,0,IF(S14=1,SUMIFS('Exported CF'!$I$9:$I$1544,'Exported CF'!$C$9:$C$1544,Controls!$D$5,'Exported CF'!$D$9:$D$1544,Controls!$D$7,'Exported CF'!$E$9:$E$1544,$C14),NA()))</x:f>
        <x:v>0</x:v>
      </x:c>
      <x:c r="H14" s="58" t="n">
        <x:f>IF(C14&gt;Controls!$D$12,0,IF(S14=1,SUMIFS('Exported CF'!$J$9:$J$1544,'Exported CF'!$C$9:$C$1544,Controls!$D$5,'Exported CF'!$D$9:$D$1544,Controls!$D$7,'Exported CF'!$E$9:$E$1544,$C14),NA()))</x:f>
        <x:v>0</x:v>
      </x:c>
      <x:c r="I14" s="58" t="n">
        <x:f>IF(C14&gt;Controls!$D$12,0,IF(S14=1,SUMIFS('Exported CF'!$K$9:$K$1544,'Exported CF'!$C$9:$C$1544,Controls!$D$5,'Exported CF'!$D$9:$D$1544,Controls!$D$7,'Exported CF'!$E$9:$E$1544,$C14),NA()))</x:f>
        <x:v>14110000</x:v>
      </x:c>
      <x:c r="J14" s="58" t="n">
        <x:f>IF(C14&gt;Controls!$D$12,0,IF(S14=1,SUMIFS('Exported CF'!$L$9:$L$1544,'Exported CF'!$C$9:$C$1544,Controls!$D$5,'Exported CF'!$D$9:$D$1544,Controls!$D$7,'Exported CF'!$E$9:$E$1544,$C14),NA()))</x:f>
        <x:v>0</x:v>
      </x:c>
      <x:c r="K14" s="59" t="n">
        <x:f>F14+G14</x:f>
        <x:v>67492.83</x:v>
      </x:c>
      <x:c r="L14" s="61" t="n">
        <x:f>1/(1+Controls!$D$9)^T14</x:f>
        <x:v>0.9563129522640593</x:v>
      </x:c>
      <x:c r="M14" s="59" t="n">
        <x:f>K14*L14</x:f>
        <x:v>64544.26751395627</x:v>
      </x:c>
      <x:c r="N14" s="59" t="n">
        <x:f>G14*T14</x:f>
        <x:v>0</x:v>
      </x:c>
      <x:c r="O14" s="59" t="n">
        <x:f>E14-G14-H14</x:f>
        <x:v>14110000</x:v>
      </x:c>
      <x:c r="P14" s="60" t="n">
        <x:f>O14-I14</x:f>
        <x:v>0</x:v>
      </x:c>
      <x:c r="Q14" s="59" t="n">
        <x:f>K14/(1+MAX(0,Controls!$D$9-Controls!$D$11))^T14</x:f>
        <x:v>64893.70617991474</x:v>
      </x:c>
      <x:c r="R14" s="59" t="n">
        <x:f>K14/(1+Controls!$D$9+Controls!$D$11)^T14</x:f>
        <x:v>64199.90527548433</x:v>
      </x:c>
      <x:c r="S14" s="2" t="n">
        <x:f>COUNTIFS('Exported CF'!$C$9:$C$1544,Controls!$D$5,'Exported CF'!$D$9:$D$1544,Controls!$D$7,'Exported CF'!$E$9:$E$1544,$C14)</x:f>
        <x:v>1</x:v>
      </x:c>
      <x:c r="T14" s="62" t="n">
        <x:f>IF(C14&gt;Controls!$D$12,0,IF(S14=1,SUMIFS('Exported CF'!$M$9:$M$1544,'Exported CF'!$C$9:$C$1544,Controls!$D$5,'Exported CF'!$D$9:$D$1544,Controls!$D$7,'Exported CF'!$E$9:$E$1544,$C14),NA()))</x:f>
        <x:v>0.5804243668720055</x:v>
      </x:c>
    </x:row>
    <x:row r="15" ht="20" customHeight="1">
      <x:c r="A15" s="2"/>
      <x:c r="B15" s="2"/>
      <x:c r="C15" s="2" t="n">
        <x:v>8</x:v>
      </x:c>
      <x:c r="D15" s="2" t="str">
        <x:v>2027-05</x:v>
      </x:c>
      <x:c r="E15" s="58" t="n">
        <x:f>IF(C15&gt;Controls!$D$12,0,IF(S15=1,SUMIFS('Exported CF'!$G$9:$G$1544,'Exported CF'!$C$9:$C$1544,Controls!$D$5,'Exported CF'!$D$9:$D$1544,Controls!$D$7,'Exported CF'!$E$9:$E$1544,$C15),NA()))</x:f>
        <x:v>14110000</x:v>
      </x:c>
      <x:c r="F15" s="58" t="n">
        <x:f>IF(C15&gt;Controls!$D$12,0,IF(S15=1,SUMIFS('Exported CF'!$H$9:$H$1544,'Exported CF'!$C$9:$C$1544,Controls!$D$5,'Exported CF'!$D$9:$D$1544,Controls!$D$7,'Exported CF'!$E$9:$E$1544,$C15),NA()))</x:f>
        <x:v>67492.83</x:v>
      </x:c>
      <x:c r="G15" s="58" t="n">
        <x:f>IF(C15&gt;Controls!$D$12,0,IF(S15=1,SUMIFS('Exported CF'!$I$9:$I$1544,'Exported CF'!$C$9:$C$1544,Controls!$D$5,'Exported CF'!$D$9:$D$1544,Controls!$D$7,'Exported CF'!$E$9:$E$1544,$C15),NA()))</x:f>
        <x:v>0</x:v>
      </x:c>
      <x:c r="H15" s="58" t="n">
        <x:f>IF(C15&gt;Controls!$D$12,0,IF(S15=1,SUMIFS('Exported CF'!$J$9:$J$1544,'Exported CF'!$C$9:$C$1544,Controls!$D$5,'Exported CF'!$D$9:$D$1544,Controls!$D$7,'Exported CF'!$E$9:$E$1544,$C15),NA()))</x:f>
        <x:v>0</x:v>
      </x:c>
      <x:c r="I15" s="58" t="n">
        <x:f>IF(C15&gt;Controls!$D$12,0,IF(S15=1,SUMIFS('Exported CF'!$K$9:$K$1544,'Exported CF'!$C$9:$C$1544,Controls!$D$5,'Exported CF'!$D$9:$D$1544,Controls!$D$7,'Exported CF'!$E$9:$E$1544,$C15),NA()))</x:f>
        <x:v>14110000</x:v>
      </x:c>
      <x:c r="J15" s="58" t="n">
        <x:f>IF(C15&gt;Controls!$D$12,0,IF(S15=1,SUMIFS('Exported CF'!$L$9:$L$1544,'Exported CF'!$C$9:$C$1544,Controls!$D$5,'Exported CF'!$D$9:$D$1544,Controls!$D$7,'Exported CF'!$E$9:$E$1544,$C15),NA()))</x:f>
        <x:v>0</x:v>
      </x:c>
      <x:c r="K15" s="59" t="n">
        <x:f>F15+G15</x:f>
        <x:v>67492.83</x:v>
      </x:c>
      <x:c r="L15" s="61" t="n">
        <x:f>1/(1+Controls!$D$9)^T15</x:f>
        <x:v>0.9498865574950783</x:v>
      </x:c>
      <x:c r="M15" s="59" t="n">
        <x:f>K15*L15</x:f>
        <x:v>64110.53194430055</x:v>
      </x:c>
      <x:c r="N15" s="59" t="n">
        <x:f>G15*T15</x:f>
        <x:v>0</x:v>
      </x:c>
      <x:c r="O15" s="59" t="n">
        <x:f>E15-G15-H15</x:f>
        <x:v>14110000</x:v>
      </x:c>
      <x:c r="P15" s="60" t="n">
        <x:f>O15-I15</x:f>
        <x:v>0</x:v>
      </x:c>
      <x:c r="Q15" s="59" t="n">
        <x:f>K15/(1+MAX(0,Controls!$D$9-Controls!$D$11))^T15</x:f>
        <x:v>64510.176382124024</x:v>
      </x:c>
      <x:c r="R15" s="59" t="n">
        <x:f>K15/(1+Controls!$D$9+Controls!$D$11)^T15</x:f>
        <x:v>63717.01266243508</x:v>
      </x:c>
      <x:c r="S15" s="2" t="n">
        <x:f>COUNTIFS('Exported CF'!$C$9:$C$1544,Controls!$D$5,'Exported CF'!$D$9:$D$1544,Controls!$D$7,'Exported CF'!$E$9:$E$1544,$C15)</x:f>
        <x:v>1</x:v>
      </x:c>
      <x:c r="T15" s="62" t="n">
        <x:f>IF(C15&gt;Controls!$D$12,0,IF(S15=1,SUMIFS('Exported CF'!$M$9:$M$1544,'Exported CF'!$C$9:$C$1544,Controls!$D$5,'Exported CF'!$D$9:$D$1544,Controls!$D$7,'Exported CF'!$E$9:$E$1544,$C15),NA()))</x:f>
        <x:v>0.6680355920602327</x:v>
      </x:c>
    </x:row>
    <x:row r="16" ht="20" customHeight="1">
      <x:c r="A16" s="2"/>
      <x:c r="B16" s="2"/>
      <x:c r="C16" s="2" t="n">
        <x:v>9</x:v>
      </x:c>
      <x:c r="D16" s="2" t="str">
        <x:v>2027-06</x:v>
      </x:c>
      <x:c r="E16" s="58" t="n">
        <x:f>IF(C16&gt;Controls!$D$12,0,IF(S16=1,SUMIFS('Exported CF'!$G$9:$G$1544,'Exported CF'!$C$9:$C$1544,Controls!$D$5,'Exported CF'!$D$9:$D$1544,Controls!$D$7,'Exported CF'!$E$9:$E$1544,$C16),NA()))</x:f>
        <x:v>14110000</x:v>
      </x:c>
      <x:c r="F16" s="58" t="n">
        <x:f>IF(C16&gt;Controls!$D$12,0,IF(S16=1,SUMIFS('Exported CF'!$H$9:$H$1544,'Exported CF'!$C$9:$C$1544,Controls!$D$5,'Exported CF'!$D$9:$D$1544,Controls!$D$7,'Exported CF'!$E$9:$E$1544,$C16),NA()))</x:f>
        <x:v>67492.83</x:v>
      </x:c>
      <x:c r="G16" s="58" t="n">
        <x:f>IF(C16&gt;Controls!$D$12,0,IF(S16=1,SUMIFS('Exported CF'!$I$9:$I$1544,'Exported CF'!$C$9:$C$1544,Controls!$D$5,'Exported CF'!$D$9:$D$1544,Controls!$D$7,'Exported CF'!$E$9:$E$1544,$C16),NA()))</x:f>
        <x:v>0</x:v>
      </x:c>
      <x:c r="H16" s="58" t="n">
        <x:f>IF(C16&gt;Controls!$D$12,0,IF(S16=1,SUMIFS('Exported CF'!$J$9:$J$1544,'Exported CF'!$C$9:$C$1544,Controls!$D$5,'Exported CF'!$D$9:$D$1544,Controls!$D$7,'Exported CF'!$E$9:$E$1544,$C16),NA()))</x:f>
        <x:v>0</x:v>
      </x:c>
      <x:c r="I16" s="58" t="n">
        <x:f>IF(C16&gt;Controls!$D$12,0,IF(S16=1,SUMIFS('Exported CF'!$K$9:$K$1544,'Exported CF'!$C$9:$C$1544,Controls!$D$5,'Exported CF'!$D$9:$D$1544,Controls!$D$7,'Exported CF'!$E$9:$E$1544,$C16),NA()))</x:f>
        <x:v>14110000</x:v>
      </x:c>
      <x:c r="J16" s="58" t="n">
        <x:f>IF(C16&gt;Controls!$D$12,0,IF(S16=1,SUMIFS('Exported CF'!$L$9:$L$1544,'Exported CF'!$C$9:$C$1544,Controls!$D$5,'Exported CF'!$D$9:$D$1544,Controls!$D$7,'Exported CF'!$E$9:$E$1544,$C16),NA()))</x:f>
        <x:v>0</x:v>
      </x:c>
      <x:c r="K16" s="59" t="n">
        <x:f>F16+G16</x:f>
        <x:v>67492.83</x:v>
      </x:c>
      <x:c r="L16" s="61" t="n">
        <x:f>1/(1+Controls!$D$9)^T16</x:f>
        <x:v>0.9440999471286852</x:v>
      </x:c>
      <x:c r="M16" s="59" t="n">
        <x:f>K16*L16</x:f>
        <x:v>63719.97723456534</x:v>
      </x:c>
      <x:c r="N16" s="59" t="n">
        <x:f>G16*T16</x:f>
        <x:v>0</x:v>
      </x:c>
      <x:c r="O16" s="59" t="n">
        <x:f>E16-G16-H16</x:f>
        <x:v>14110000</x:v>
      </x:c>
      <x:c r="P16" s="60" t="n">
        <x:f>O16-I16</x:f>
        <x:v>0</x:v>
      </x:c>
      <x:c r="Q16" s="59" t="n">
        <x:f>K16/(1+MAX(0,Controls!$D$9-Controls!$D$11))^T16</x:f>
        <x:v>64164.56077868245</x:v>
      </x:c>
      <x:c r="R16" s="59" t="n">
        <x:f>K16/(1+Controls!$D$9+Controls!$D$11)^T16</x:f>
        <x:v>63282.52933272029</x:v>
      </x:c>
      <x:c r="S16" s="2" t="n">
        <x:f>COUNTIFS('Exported CF'!$C$9:$C$1544,Controls!$D$5,'Exported CF'!$D$9:$D$1544,Controls!$D$7,'Exported CF'!$E$9:$E$1544,$C16)</x:f>
        <x:v>1</x:v>
      </x:c>
      <x:c r="T16" s="62" t="n">
        <x:f>IF(C16&gt;Controls!$D$12,0,IF(S16=1,SUMIFS('Exported CF'!$M$9:$M$1544,'Exported CF'!$C$9:$C$1544,Controls!$D$5,'Exported CF'!$D$9:$D$1544,Controls!$D$7,'Exported CF'!$E$9:$E$1544,$C16),NA()))</x:f>
        <x:v>0.7474332648870636</x:v>
      </x:c>
    </x:row>
    <x:row r="17" ht="20" customHeight="1">
      <x:c r="A17" s="2"/>
      <x:c r="B17" s="2"/>
      <x:c r="C17" s="2" t="n">
        <x:v>10</x:v>
      </x:c>
      <x:c r="D17" s="2" t="str">
        <x:v>2027-07</x:v>
      </x:c>
      <x:c r="E17" s="58" t="n">
        <x:f>IF(C17&gt;Controls!$D$12,0,IF(S17=1,SUMIFS('Exported CF'!$G$9:$G$1544,'Exported CF'!$C$9:$C$1544,Controls!$D$5,'Exported CF'!$D$9:$D$1544,Controls!$D$7,'Exported CF'!$E$9:$E$1544,$C17),NA()))</x:f>
        <x:v>14110000</x:v>
      </x:c>
      <x:c r="F17" s="58" t="n">
        <x:f>IF(C17&gt;Controls!$D$12,0,IF(S17=1,SUMIFS('Exported CF'!$H$9:$H$1544,'Exported CF'!$C$9:$C$1544,Controls!$D$5,'Exported CF'!$D$9:$D$1544,Controls!$D$7,'Exported CF'!$E$9:$E$1544,$C17),NA()))</x:f>
        <x:v>67492.83</x:v>
      </x:c>
      <x:c r="G17" s="58" t="n">
        <x:f>IF(C17&gt;Controls!$D$12,0,IF(S17=1,SUMIFS('Exported CF'!$I$9:$I$1544,'Exported CF'!$C$9:$C$1544,Controls!$D$5,'Exported CF'!$D$9:$D$1544,Controls!$D$7,'Exported CF'!$E$9:$E$1544,$C17),NA()))</x:f>
        <x:v>0</x:v>
      </x:c>
      <x:c r="H17" s="58" t="n">
        <x:f>IF(C17&gt;Controls!$D$12,0,IF(S17=1,SUMIFS('Exported CF'!$J$9:$J$1544,'Exported CF'!$C$9:$C$1544,Controls!$D$5,'Exported CF'!$D$9:$D$1544,Controls!$D$7,'Exported CF'!$E$9:$E$1544,$C17),NA()))</x:f>
        <x:v>0</x:v>
      </x:c>
      <x:c r="I17" s="58" t="n">
        <x:f>IF(C17&gt;Controls!$D$12,0,IF(S17=1,SUMIFS('Exported CF'!$K$9:$K$1544,'Exported CF'!$C$9:$C$1544,Controls!$D$5,'Exported CF'!$D$9:$D$1544,Controls!$D$7,'Exported CF'!$E$9:$E$1544,$C17),NA()))</x:f>
        <x:v>14110000</x:v>
      </x:c>
      <x:c r="J17" s="58" t="n">
        <x:f>IF(C17&gt;Controls!$D$12,0,IF(S17=1,SUMIFS('Exported CF'!$L$9:$L$1544,'Exported CF'!$C$9:$C$1544,Controls!$D$5,'Exported CF'!$D$9:$D$1544,Controls!$D$7,'Exported CF'!$E$9:$E$1544,$C17),NA()))</x:f>
        <x:v>0</x:v>
      </x:c>
      <x:c r="K17" s="59" t="n">
        <x:f>F17+G17</x:f>
        <x:v>67492.83</x:v>
      </x:c>
      <x:c r="L17" s="61" t="n">
        <x:f>1/(1+Controls!$D$9)^T17</x:f>
        <x:v>0.9381508916103762</x:v>
      </x:c>
      <x:c r="M17" s="59" t="n">
        <x:f>K17*L17</x:f>
        <x:v>63318.45864180755</x:v>
      </x:c>
      <x:c r="N17" s="59" t="n">
        <x:f>G17*T17</x:f>
        <x:v>0</x:v>
      </x:c>
      <x:c r="O17" s="59" t="n">
        <x:f>E17-G17-H17</x:f>
        <x:v>14110000</x:v>
      </x:c>
      <x:c r="P17" s="60" t="n">
        <x:f>O17-I17</x:f>
        <x:v>0</x:v>
      </x:c>
      <x:c r="Q17" s="59" t="n">
        <x:f>K17/(1+MAX(0,Controls!$D$9-Controls!$D$11))^T17</x:f>
        <x:v>63808.97579952416</x:v>
      </x:c>
      <x:c r="R17" s="59" t="n">
        <x:f>K17/(1+Controls!$D$9+Controls!$D$11)^T17</x:f>
        <x:v>62836.18130160634</x:v>
      </x:c>
      <x:c r="S17" s="2" t="n">
        <x:f>COUNTIFS('Exported CF'!$C$9:$C$1544,Controls!$D$5,'Exported CF'!$D$9:$D$1544,Controls!$D$7,'Exported CF'!$E$9:$E$1544,$C17)</x:f>
        <x:v>1</x:v>
      </x:c>
      <x:c r="T17" s="62" t="n">
        <x:f>IF(C17&gt;Controls!$D$12,0,IF(S17=1,SUMIFS('Exported CF'!$M$9:$M$1544,'Exported CF'!$C$9:$C$1544,Controls!$D$5,'Exported CF'!$D$9:$D$1544,Controls!$D$7,'Exported CF'!$E$9:$E$1544,$C17),NA()))</x:f>
        <x:v>0.8295687885010267</x:v>
      </x:c>
    </x:row>
    <x:row r="18" ht="20" customHeight="1">
      <x:c r="A18" s="2"/>
      <x:c r="B18" s="2"/>
      <x:c r="C18" s="2" t="n">
        <x:v>11</x:v>
      </x:c>
      <x:c r="D18" s="2" t="str">
        <x:v>2027-08</x:v>
      </x:c>
      <x:c r="E18" s="58" t="n">
        <x:f>IF(C18&gt;Controls!$D$12,0,IF(S18=1,SUMIFS('Exported CF'!$G$9:$G$1544,'Exported CF'!$C$9:$C$1544,Controls!$D$5,'Exported CF'!$D$9:$D$1544,Controls!$D$7,'Exported CF'!$E$9:$E$1544,$C18),NA()))</x:f>
        <x:v>14110000</x:v>
      </x:c>
      <x:c r="F18" s="58" t="n">
        <x:f>IF(C18&gt;Controls!$D$12,0,IF(S18=1,SUMIFS('Exported CF'!$H$9:$H$1544,'Exported CF'!$C$9:$C$1544,Controls!$D$5,'Exported CF'!$D$9:$D$1544,Controls!$D$7,'Exported CF'!$E$9:$E$1544,$C18),NA()))</x:f>
        <x:v>67492.83</x:v>
      </x:c>
      <x:c r="G18" s="58" t="n">
        <x:f>IF(C18&gt;Controls!$D$12,0,IF(S18=1,SUMIFS('Exported CF'!$I$9:$I$1544,'Exported CF'!$C$9:$C$1544,Controls!$D$5,'Exported CF'!$D$9:$D$1544,Controls!$D$7,'Exported CF'!$E$9:$E$1544,$C18),NA()))</x:f>
        <x:v>0</x:v>
      </x:c>
      <x:c r="H18" s="58" t="n">
        <x:f>IF(C18&gt;Controls!$D$12,0,IF(S18=1,SUMIFS('Exported CF'!$J$9:$J$1544,'Exported CF'!$C$9:$C$1544,Controls!$D$5,'Exported CF'!$D$9:$D$1544,Controls!$D$7,'Exported CF'!$E$9:$E$1544,$C18),NA()))</x:f>
        <x:v>0</x:v>
      </x:c>
      <x:c r="I18" s="58" t="n">
        <x:f>IF(C18&gt;Controls!$D$12,0,IF(S18=1,SUMIFS('Exported CF'!$K$9:$K$1544,'Exported CF'!$C$9:$C$1544,Controls!$D$5,'Exported CF'!$D$9:$D$1544,Controls!$D$7,'Exported CF'!$E$9:$E$1544,$C18),NA()))</x:f>
        <x:v>14110000</x:v>
      </x:c>
      <x:c r="J18" s="58" t="n">
        <x:f>IF(C18&gt;Controls!$D$12,0,IF(S18=1,SUMIFS('Exported CF'!$L$9:$L$1544,'Exported CF'!$C$9:$C$1544,Controls!$D$5,'Exported CF'!$D$9:$D$1544,Controls!$D$7,'Exported CF'!$E$9:$E$1544,$C18),NA()))</x:f>
        <x:v>0</x:v>
      </x:c>
      <x:c r="K18" s="59" t="n">
        <x:f>F18+G18</x:f>
        <x:v>67492.83</x:v>
      </x:c>
      <x:c r="L18" s="61" t="n">
        <x:f>1/(1+Controls!$D$9)^T18</x:f>
        <x:v>0.9318465453520866</x:v>
      </x:c>
      <x:c r="M18" s="59" t="n">
        <x:f>K18*L18</x:f>
        <x:v>62892.96047153567</x:v>
      </x:c>
      <x:c r="N18" s="59" t="n">
        <x:f>G18*T18</x:f>
        <x:v>0</x:v>
      </x:c>
      <x:c r="O18" s="59" t="n">
        <x:f>E18-G18-H18</x:f>
        <x:v>14110000</x:v>
      </x:c>
      <x:c r="P18" s="60" t="n">
        <x:f>O18-I18</x:f>
        <x:v>0</x:v>
      </x:c>
      <x:c r="Q18" s="59" t="n">
        <x:f>K18/(1+MAX(0,Controls!$D$9-Controls!$D$11))^T18</x:f>
        <x:v>63431.85689190968</x:v>
      </x:c>
      <x:c r="R18" s="59" t="n">
        <x:f>K18/(1+Controls!$D$9+Controls!$D$11)^T18</x:f>
        <x:v>62363.5462151126</x:v>
      </x:c>
      <x:c r="S18" s="2" t="n">
        <x:f>COUNTIFS('Exported CF'!$C$9:$C$1544,Controls!$D$5,'Exported CF'!$D$9:$D$1544,Controls!$D$7,'Exported CF'!$E$9:$E$1544,$C18)</x:f>
        <x:v>1</x:v>
      </x:c>
      <x:c r="T18" s="62" t="n">
        <x:f>IF(C18&gt;Controls!$D$12,0,IF(S18=1,SUMIFS('Exported CF'!$M$9:$M$1544,'Exported CF'!$C$9:$C$1544,Controls!$D$5,'Exported CF'!$D$9:$D$1544,Controls!$D$7,'Exported CF'!$E$9:$E$1544,$C18),NA()))</x:f>
        <x:v>0.917180013689254</x:v>
      </x:c>
    </x:row>
    <x:row r="19" ht="20" customHeight="1">
      <x:c r="A19" s="2"/>
      <x:c r="B19" s="2"/>
      <x:c r="C19" s="2" t="n">
        <x:v>12</x:v>
      </x:c>
      <x:c r="D19" s="2" t="str">
        <x:v>2027-09</x:v>
      </x:c>
      <x:c r="E19" s="58" t="n">
        <x:f>IF(C19&gt;Controls!$D$12,0,IF(S19=1,SUMIFS('Exported CF'!$G$9:$G$1544,'Exported CF'!$C$9:$C$1544,Controls!$D$5,'Exported CF'!$D$9:$D$1544,Controls!$D$7,'Exported CF'!$E$9:$E$1544,$C19),NA()))</x:f>
        <x:v>14110000</x:v>
      </x:c>
      <x:c r="F19" s="58" t="n">
        <x:f>IF(C19&gt;Controls!$D$12,0,IF(S19=1,SUMIFS('Exported CF'!$H$9:$H$1544,'Exported CF'!$C$9:$C$1544,Controls!$D$5,'Exported CF'!$D$9:$D$1544,Controls!$D$7,'Exported CF'!$E$9:$E$1544,$C19),NA()))</x:f>
        <x:v>67492.83</x:v>
      </x:c>
      <x:c r="G19" s="58" t="n">
        <x:f>IF(C19&gt;Controls!$D$12,0,IF(S19=1,SUMIFS('Exported CF'!$I$9:$I$1544,'Exported CF'!$C$9:$C$1544,Controls!$D$5,'Exported CF'!$D$9:$D$1544,Controls!$D$7,'Exported CF'!$E$9:$E$1544,$C19),NA()))</x:f>
        <x:v>0</x:v>
      </x:c>
      <x:c r="H19" s="58" t="n">
        <x:f>IF(C19&gt;Controls!$D$12,0,IF(S19=1,SUMIFS('Exported CF'!$J$9:$J$1544,'Exported CF'!$C$9:$C$1544,Controls!$D$5,'Exported CF'!$D$9:$D$1544,Controls!$D$7,'Exported CF'!$E$9:$E$1544,$C19),NA()))</x:f>
        <x:v>0</x:v>
      </x:c>
      <x:c r="I19" s="58" t="n">
        <x:f>IF(C19&gt;Controls!$D$12,0,IF(S19=1,SUMIFS('Exported CF'!$K$9:$K$1544,'Exported CF'!$C$9:$C$1544,Controls!$D$5,'Exported CF'!$D$9:$D$1544,Controls!$D$7,'Exported CF'!$E$9:$E$1544,$C19),NA()))</x:f>
        <x:v>14110000</x:v>
      </x:c>
      <x:c r="J19" s="58" t="n">
        <x:f>IF(C19&gt;Controls!$D$12,0,IF(S19=1,SUMIFS('Exported CF'!$L$9:$L$1544,'Exported CF'!$C$9:$C$1544,Controls!$D$5,'Exported CF'!$D$9:$D$1544,Controls!$D$7,'Exported CF'!$E$9:$E$1544,$C19),NA()))</x:f>
        <x:v>0</x:v>
      </x:c>
      <x:c r="K19" s="59" t="n">
        <x:f>F19+G19</x:f>
        <x:v>67492.83</x:v>
      </x:c>
      <x:c r="L19" s="61" t="n">
        <x:f>1/(1+Controls!$D$9)^T19</x:f>
        <x:v>0.9259747021752025</x:v>
      </x:c>
      <x:c r="M19" s="59" t="n">
        <x:f>K19*L19</x:f>
        <x:v>62496.65315821157</x:v>
      </x:c>
      <x:c r="N19" s="59" t="n">
        <x:f>G19*T19</x:f>
        <x:v>0</x:v>
      </x:c>
      <x:c r="O19" s="59" t="n">
        <x:f>E19-G19-H19</x:f>
        <x:v>14110000</x:v>
      </x:c>
      <x:c r="P19" s="60" t="n">
        <x:f>O19-I19</x:f>
        <x:v>0</x:v>
      </x:c>
      <x:c r="Q19" s="59" t="n">
        <x:f>K19/(1+MAX(0,Controls!$D$9-Controls!$D$11))^T19</x:f>
        <x:v>63080.33238621441</x:v>
      </x:c>
      <x:c r="R19" s="59" t="n">
        <x:f>K19/(1+Controls!$D$9+Controls!$D$11)^T19</x:f>
        <x:v>61923.68000938546</x:v>
      </x:c>
      <x:c r="S19" s="2" t="n">
        <x:f>COUNTIFS('Exported CF'!$C$9:$C$1544,Controls!$D$5,'Exported CF'!$D$9:$D$1544,Controls!$D$7,'Exported CF'!$E$9:$E$1544,$C19)</x:f>
        <x:v>1</x:v>
      </x:c>
      <x:c r="T19" s="62" t="n">
        <x:f>IF(C19&gt;Controls!$D$12,0,IF(S19=1,SUMIFS('Exported CF'!$M$9:$M$1544,'Exported CF'!$C$9:$C$1544,Controls!$D$5,'Exported CF'!$D$9:$D$1544,Controls!$D$7,'Exported CF'!$E$9:$E$1544,$C19),NA()))</x:f>
        <x:v>0.999315537303217</x:v>
      </x:c>
    </x:row>
    <x:row r="20" ht="20" customHeight="1">
      <x:c r="A20" s="2"/>
      <x:c r="B20" s="2"/>
      <x:c r="C20" s="2" t="n">
        <x:v>13</x:v>
      </x:c>
      <x:c r="D20" s="2" t="str">
        <x:v>2027-10</x:v>
      </x:c>
      <x:c r="E20" s="58" t="n">
        <x:f>IF(C20&gt;Controls!$D$12,0,IF(S20=1,SUMIFS('Exported CF'!$G$9:$G$1544,'Exported CF'!$C$9:$C$1544,Controls!$D$5,'Exported CF'!$D$9:$D$1544,Controls!$D$7,'Exported CF'!$E$9:$E$1544,$C20),NA()))</x:f>
        <x:v>14110000</x:v>
      </x:c>
      <x:c r="F20" s="58" t="n">
        <x:f>IF(C20&gt;Controls!$D$12,0,IF(S20=1,SUMIFS('Exported CF'!$H$9:$H$1544,'Exported CF'!$C$9:$C$1544,Controls!$D$5,'Exported CF'!$D$9:$D$1544,Controls!$D$7,'Exported CF'!$E$9:$E$1544,$C20),NA()))</x:f>
        <x:v>67492.83</x:v>
      </x:c>
      <x:c r="G20" s="58" t="n">
        <x:f>IF(C20&gt;Controls!$D$12,0,IF(S20=1,SUMIFS('Exported CF'!$I$9:$I$1544,'Exported CF'!$C$9:$C$1544,Controls!$D$5,'Exported CF'!$D$9:$D$1544,Controls!$D$7,'Exported CF'!$E$9:$E$1544,$C20),NA()))</x:f>
        <x:v>0</x:v>
      </x:c>
      <x:c r="H20" s="58" t="n">
        <x:f>IF(C20&gt;Controls!$D$12,0,IF(S20=1,SUMIFS('Exported CF'!$J$9:$J$1544,'Exported CF'!$C$9:$C$1544,Controls!$D$5,'Exported CF'!$D$9:$D$1544,Controls!$D$7,'Exported CF'!$E$9:$E$1544,$C20),NA()))</x:f>
        <x:v>0</x:v>
      </x:c>
      <x:c r="I20" s="58" t="n">
        <x:f>IF(C20&gt;Controls!$D$12,0,IF(S20=1,SUMIFS('Exported CF'!$K$9:$K$1544,'Exported CF'!$C$9:$C$1544,Controls!$D$5,'Exported CF'!$D$9:$D$1544,Controls!$D$7,'Exported CF'!$E$9:$E$1544,$C20),NA()))</x:f>
        <x:v>14110000</x:v>
      </x:c>
      <x:c r="J20" s="58" t="n">
        <x:f>IF(C20&gt;Controls!$D$12,0,IF(S20=1,SUMIFS('Exported CF'!$L$9:$L$1544,'Exported CF'!$C$9:$C$1544,Controls!$D$5,'Exported CF'!$D$9:$D$1544,Controls!$D$7,'Exported CF'!$E$9:$E$1544,$C20),NA()))</x:f>
        <x:v>0</x:v>
      </x:c>
      <x:c r="K20" s="59" t="n">
        <x:f>F20+G20</x:f>
        <x:v>67492.83</x:v>
      </x:c>
      <x:c r="L20" s="61" t="n">
        <x:f>1/(1+Controls!$D$9)^T20</x:f>
        <x:v>0.9201398592345335</x:v>
      </x:c>
      <x:c r="M20" s="59" t="n">
        <x:f>K20*L20</x:f>
        <x:v>62102.843095540295</x:v>
      </x:c>
      <x:c r="N20" s="59" t="n">
        <x:f>G20*T20</x:f>
        <x:v>0</x:v>
      </x:c>
      <x:c r="O20" s="59" t="n">
        <x:f>E20-G20-H20</x:f>
        <x:v>14110000</x:v>
      </x:c>
      <x:c r="P20" s="60" t="n">
        <x:f>O20-I20</x:f>
        <x:v>0</x:v>
      </x:c>
      <x:c r="Q20" s="59" t="n">
        <x:f>K20/(1+MAX(0,Controls!$D$9-Controls!$D$11))^T20</x:f>
        <x:v>62730.75594706107</x:v>
      </x:c>
      <x:c r="R20" s="59" t="n">
        <x:f>K20/(1+Controls!$D$9+Controls!$D$11)^T20</x:f>
        <x:v>61486.916293665454</x:v>
      </x:c>
      <x:c r="S20" s="2" t="n">
        <x:f>COUNTIFS('Exported CF'!$C$9:$C$1544,Controls!$D$5,'Exported CF'!$D$9:$D$1544,Controls!$D$7,'Exported CF'!$E$9:$E$1544,$C20)</x:f>
        <x:v>1</x:v>
      </x:c>
      <x:c r="T20" s="62" t="n">
        <x:f>IF(C20&gt;Controls!$D$12,0,IF(S20=1,SUMIFS('Exported CF'!$M$9:$M$1544,'Exported CF'!$C$9:$C$1544,Controls!$D$5,'Exported CF'!$D$9:$D$1544,Controls!$D$7,'Exported CF'!$E$9:$E$1544,$C20),NA()))</x:f>
        <x:v>1.08145106091718</x:v>
      </x:c>
    </x:row>
    <x:row r="21" ht="20" customHeight="1">
      <x:c r="A21" s="2"/>
      <x:c r="B21" s="2"/>
      <x:c r="C21" s="2" t="n">
        <x:v>14</x:v>
      </x:c>
      <x:c r="D21" s="2" t="str">
        <x:v>2027-11</x:v>
      </x:c>
      <x:c r="E21" s="58" t="n">
        <x:f>IF(C21&gt;Controls!$D$12,0,IF(S21=1,SUMIFS('Exported CF'!$G$9:$G$1544,'Exported CF'!$C$9:$C$1544,Controls!$D$5,'Exported CF'!$D$9:$D$1544,Controls!$D$7,'Exported CF'!$E$9:$E$1544,$C21),NA()))</x:f>
        <x:v>14110000</x:v>
      </x:c>
      <x:c r="F21" s="58" t="n">
        <x:f>IF(C21&gt;Controls!$D$12,0,IF(S21=1,SUMIFS('Exported CF'!$H$9:$H$1544,'Exported CF'!$C$9:$C$1544,Controls!$D$5,'Exported CF'!$D$9:$D$1544,Controls!$D$7,'Exported CF'!$E$9:$E$1544,$C21),NA()))</x:f>
        <x:v>67492.83</x:v>
      </x:c>
      <x:c r="G21" s="58" t="n">
        <x:f>IF(C21&gt;Controls!$D$12,0,IF(S21=1,SUMIFS('Exported CF'!$I$9:$I$1544,'Exported CF'!$C$9:$C$1544,Controls!$D$5,'Exported CF'!$D$9:$D$1544,Controls!$D$7,'Exported CF'!$E$9:$E$1544,$C21),NA()))</x:f>
        <x:v>0</x:v>
      </x:c>
      <x:c r="H21" s="58" t="n">
        <x:f>IF(C21&gt;Controls!$D$12,0,IF(S21=1,SUMIFS('Exported CF'!$J$9:$J$1544,'Exported CF'!$C$9:$C$1544,Controls!$D$5,'Exported CF'!$D$9:$D$1544,Controls!$D$7,'Exported CF'!$E$9:$E$1544,$C21),NA()))</x:f>
        <x:v>0</x:v>
      </x:c>
      <x:c r="I21" s="58" t="n">
        <x:f>IF(C21&gt;Controls!$D$12,0,IF(S21=1,SUMIFS('Exported CF'!$K$9:$K$1544,'Exported CF'!$C$9:$C$1544,Controls!$D$5,'Exported CF'!$D$9:$D$1544,Controls!$D$7,'Exported CF'!$E$9:$E$1544,$C21),NA()))</x:f>
        <x:v>14110000</x:v>
      </x:c>
      <x:c r="J21" s="58" t="n">
        <x:f>IF(C21&gt;Controls!$D$12,0,IF(S21=1,SUMIFS('Exported CF'!$L$9:$L$1544,'Exported CF'!$C$9:$C$1544,Controls!$D$5,'Exported CF'!$D$9:$D$1544,Controls!$D$7,'Exported CF'!$E$9:$E$1544,$C21),NA()))</x:f>
        <x:v>0</x:v>
      </x:c>
      <x:c r="K21" s="59" t="n">
        <x:f>F21+G21</x:f>
        <x:v>67492.83</x:v>
      </x:c>
      <x:c r="L21" s="61" t="n">
        <x:f>1/(1+Controls!$D$9)^T21</x:f>
        <x:v>0.9141491446878564</x:v>
      </x:c>
      <x:c r="M21" s="59" t="n">
        <x:f>K21*L21</x:f>
        <x:v>61698.512817062896</x:v>
      </x:c>
      <x:c r="N21" s="59" t="n">
        <x:f>G21*T21</x:f>
        <x:v>0</x:v>
      </x:c>
      <x:c r="O21" s="59" t="n">
        <x:f>E21-G21-H21</x:f>
        <x:v>14110000</x:v>
      </x:c>
      <x:c r="P21" s="60" t="n">
        <x:f>O21-I21</x:f>
        <x:v>0</x:v>
      </x:c>
      <x:c r="Q21" s="59" t="n">
        <x:f>K21/(1+MAX(0,Controls!$D$9-Controls!$D$11))^T21</x:f>
        <x:v>62371.5620450646</x:v>
      </x:c>
      <x:c r="R21" s="59" t="n">
        <x:f>K21/(1+Controls!$D$9+Controls!$D$11)^T21</x:f>
        <x:v>61038.82988251587</x:v>
      </x:c>
      <x:c r="S21" s="2" t="n">
        <x:f>COUNTIFS('Exported CF'!$C$9:$C$1544,Controls!$D$5,'Exported CF'!$D$9:$D$1544,Controls!$D$7,'Exported CF'!$E$9:$E$1544,$C21)</x:f>
        <x:v>1</x:v>
      </x:c>
      <x:c r="T21" s="62" t="n">
        <x:f>IF(C21&gt;Controls!$D$12,0,IF(S21=1,SUMIFS('Exported CF'!$M$9:$M$1544,'Exported CF'!$C$9:$C$1544,Controls!$D$5,'Exported CF'!$D$9:$D$1544,Controls!$D$7,'Exported CF'!$E$9:$E$1544,$C21),NA()))</x:f>
        <x:v>1.1663244353182751</x:v>
      </x:c>
    </x:row>
    <x:row r="22" ht="20" customHeight="1">
      <x:c r="A22" s="2"/>
      <x:c r="B22" s="2"/>
      <x:c r="C22" s="2" t="n">
        <x:v>15</x:v>
      </x:c>
      <x:c r="D22" s="2" t="str">
        <x:v>2027-12</x:v>
      </x:c>
      <x:c r="E22" s="58" t="n">
        <x:f>IF(C22&gt;Controls!$D$12,0,IF(S22=1,SUMIFS('Exported CF'!$G$9:$G$1544,'Exported CF'!$C$9:$C$1544,Controls!$D$5,'Exported CF'!$D$9:$D$1544,Controls!$D$7,'Exported CF'!$E$9:$E$1544,$C22),NA()))</x:f>
        <x:v>14110000</x:v>
      </x:c>
      <x:c r="F22" s="58" t="n">
        <x:f>IF(C22&gt;Controls!$D$12,0,IF(S22=1,SUMIFS('Exported CF'!$H$9:$H$1544,'Exported CF'!$C$9:$C$1544,Controls!$D$5,'Exported CF'!$D$9:$D$1544,Controls!$D$7,'Exported CF'!$E$9:$E$1544,$C22),NA()))</x:f>
        <x:v>67492.83</x:v>
      </x:c>
      <x:c r="G22" s="58" t="n">
        <x:f>IF(C22&gt;Controls!$D$12,0,IF(S22=1,SUMIFS('Exported CF'!$I$9:$I$1544,'Exported CF'!$C$9:$C$1544,Controls!$D$5,'Exported CF'!$D$9:$D$1544,Controls!$D$7,'Exported CF'!$E$9:$E$1544,$C22),NA()))</x:f>
        <x:v>0</x:v>
      </x:c>
      <x:c r="H22" s="58" t="n">
        <x:f>IF(C22&gt;Controls!$D$12,0,IF(S22=1,SUMIFS('Exported CF'!$J$9:$J$1544,'Exported CF'!$C$9:$C$1544,Controls!$D$5,'Exported CF'!$D$9:$D$1544,Controls!$D$7,'Exported CF'!$E$9:$E$1544,$C22),NA()))</x:f>
        <x:v>0</x:v>
      </x:c>
      <x:c r="I22" s="58" t="n">
        <x:f>IF(C22&gt;Controls!$D$12,0,IF(S22=1,SUMIFS('Exported CF'!$K$9:$K$1544,'Exported CF'!$C$9:$C$1544,Controls!$D$5,'Exported CF'!$D$9:$D$1544,Controls!$D$7,'Exported CF'!$E$9:$E$1544,$C22),NA()))</x:f>
        <x:v>14110000</x:v>
      </x:c>
      <x:c r="J22" s="58" t="n">
        <x:f>IF(C22&gt;Controls!$D$12,0,IF(S22=1,SUMIFS('Exported CF'!$L$9:$L$1544,'Exported CF'!$C$9:$C$1544,Controls!$D$5,'Exported CF'!$D$9:$D$1544,Controls!$D$7,'Exported CF'!$E$9:$E$1544,$C22),NA()))</x:f>
        <x:v>0</x:v>
      </x:c>
      <x:c r="K22" s="59" t="n">
        <x:f>F22+G22</x:f>
        <x:v>67492.83</x:v>
      </x:c>
      <x:c r="L22" s="61" t="n">
        <x:f>1/(1+Controls!$D$9)^T22</x:f>
        <x:v>0.9083888181140625</x:v>
      </x:c>
      <x:c r="M22" s="59" t="n">
        <x:f>K22*L22</x:f>
        <x:v>61309.73207487334</x:v>
      </x:c>
      <x:c r="N22" s="59" t="n">
        <x:f>G22*T22</x:f>
        <x:v>0</x:v>
      </x:c>
      <x:c r="O22" s="59" t="n">
        <x:f>E22-G22-H22</x:f>
        <x:v>14110000</x:v>
      </x:c>
      <x:c r="P22" s="60" t="n">
        <x:f>O22-I22</x:f>
        <x:v>0</x:v>
      </x:c>
      <x:c r="Q22" s="59" t="n">
        <x:f>K22/(1+MAX(0,Controls!$D$9-Controls!$D$11))^T22</x:f>
        <x:v>62025.91344526569</x:v>
      </x:c>
      <x:c r="R22" s="59" t="n">
        <x:f>K22/(1+Controls!$D$9+Controls!$D$11)^T22</x:f>
        <x:v>60608.30724337929</x:v>
      </x:c>
      <x:c r="S22" s="2" t="n">
        <x:f>COUNTIFS('Exported CF'!$C$9:$C$1544,Controls!$D$5,'Exported CF'!$D$9:$D$1544,Controls!$D$7,'Exported CF'!$E$9:$E$1544,$C22)</x:f>
        <x:v>1</x:v>
      </x:c>
      <x:c r="T22" s="62" t="n">
        <x:f>IF(C22&gt;Controls!$D$12,0,IF(S22=1,SUMIFS('Exported CF'!$M$9:$M$1544,'Exported CF'!$C$9:$C$1544,Controls!$D$5,'Exported CF'!$D$9:$D$1544,Controls!$D$7,'Exported CF'!$E$9:$E$1544,$C22),NA()))</x:f>
        <x:v>1.2484599589322383</x:v>
      </x:c>
    </x:row>
    <x:row r="23" ht="20" customHeight="1">
      <x:c r="A23" s="2"/>
      <x:c r="B23" s="2"/>
      <x:c r="C23" s="2" t="n">
        <x:v>16</x:v>
      </x:c>
      <x:c r="D23" s="2" t="str">
        <x:v>2028-01</x:v>
      </x:c>
      <x:c r="E23" s="58" t="n">
        <x:f>IF(C23&gt;Controls!$D$12,0,IF(S23=1,SUMIFS('Exported CF'!$G$9:$G$1544,'Exported CF'!$C$9:$C$1544,Controls!$D$5,'Exported CF'!$D$9:$D$1544,Controls!$D$7,'Exported CF'!$E$9:$E$1544,$C23),NA()))</x:f>
        <x:v>14110000</x:v>
      </x:c>
      <x:c r="F23" s="58" t="n">
        <x:f>IF(C23&gt;Controls!$D$12,0,IF(S23=1,SUMIFS('Exported CF'!$H$9:$H$1544,'Exported CF'!$C$9:$C$1544,Controls!$D$5,'Exported CF'!$D$9:$D$1544,Controls!$D$7,'Exported CF'!$E$9:$E$1544,$C23),NA()))</x:f>
        <x:v>67492.83</x:v>
      </x:c>
      <x:c r="G23" s="58" t="n">
        <x:f>IF(C23&gt;Controls!$D$12,0,IF(S23=1,SUMIFS('Exported CF'!$I$9:$I$1544,'Exported CF'!$C$9:$C$1544,Controls!$D$5,'Exported CF'!$D$9:$D$1544,Controls!$D$7,'Exported CF'!$E$9:$E$1544,$C23),NA()))</x:f>
        <x:v>0</x:v>
      </x:c>
      <x:c r="H23" s="58" t="n">
        <x:f>IF(C23&gt;Controls!$D$12,0,IF(S23=1,SUMIFS('Exported CF'!$J$9:$J$1544,'Exported CF'!$C$9:$C$1544,Controls!$D$5,'Exported CF'!$D$9:$D$1544,Controls!$D$7,'Exported CF'!$E$9:$E$1544,$C23),NA()))</x:f>
        <x:v>0</x:v>
      </x:c>
      <x:c r="I23" s="58" t="n">
        <x:f>IF(C23&gt;Controls!$D$12,0,IF(S23=1,SUMIFS('Exported CF'!$K$9:$K$1544,'Exported CF'!$C$9:$C$1544,Controls!$D$5,'Exported CF'!$D$9:$D$1544,Controls!$D$7,'Exported CF'!$E$9:$E$1544,$C23),NA()))</x:f>
        <x:v>14110000</x:v>
      </x:c>
      <x:c r="J23" s="58" t="n">
        <x:f>IF(C23&gt;Controls!$D$12,0,IF(S23=1,SUMIFS('Exported CF'!$L$9:$L$1544,'Exported CF'!$C$9:$C$1544,Controls!$D$5,'Exported CF'!$D$9:$D$1544,Controls!$D$7,'Exported CF'!$E$9:$E$1544,$C23),NA()))</x:f>
        <x:v>0</x:v>
      </x:c>
      <x:c r="K23" s="59" t="n">
        <x:f>F23+G23</x:f>
        <x:v>67492.83</x:v>
      </x:c>
      <x:c r="L23" s="61" t="n">
        <x:f>1/(1+Controls!$D$9)^T23</x:f>
        <x:v>0.9019043153803873</x:v>
      </x:c>
      <x:c r="M23" s="59" t="n">
        <x:f>K23*L23</x:f>
        <x:v>60872.074634234865</x:v>
      </x:c>
      <x:c r="N23" s="59" t="n">
        <x:f>G23*T23</x:f>
        <x:v>0</x:v>
      </x:c>
      <x:c r="O23" s="59" t="n">
        <x:f>E23-G23-H23</x:f>
        <x:v>14110000</x:v>
      </x:c>
      <x:c r="P23" s="60" t="n">
        <x:f>O23-I23</x:f>
        <x:v>0</x:v>
      </x:c>
      <x:c r="Q23" s="59" t="n">
        <x:f>K23/(1+MAX(0,Controls!$D$9-Controls!$D$11))^T23</x:f>
        <x:v>61636.49342554081</x:v>
      </x:c>
      <x:c r="R23" s="59" t="n">
        <x:f>K23/(1+Controls!$D$9+Controls!$D$11)^T23</x:f>
        <x:v>60124.05132997136</x:v>
      </x:c>
      <x:c r="S23" s="2" t="n">
        <x:f>COUNTIFS('Exported CF'!$C$9:$C$1544,Controls!$D$5,'Exported CF'!$D$9:$D$1544,Controls!$D$7,'Exported CF'!$E$9:$E$1544,$C23)</x:f>
        <x:v>1</x:v>
      </x:c>
      <x:c r="T23" s="62" t="n">
        <x:f>IF(C23&gt;Controls!$D$12,0,IF(S23=1,SUMIFS('Exported CF'!$M$9:$M$1544,'Exported CF'!$C$9:$C$1544,Controls!$D$5,'Exported CF'!$D$9:$D$1544,Controls!$D$7,'Exported CF'!$E$9:$E$1544,$C23),NA()))</x:f>
        <x:v>1.3415468856947297</x:v>
      </x:c>
    </x:row>
    <x:row r="24" ht="20" customHeight="1">
      <x:c r="A24" s="2"/>
      <x:c r="B24" s="2"/>
      <x:c r="C24" s="2" t="n">
        <x:v>17</x:v>
      </x:c>
      <x:c r="D24" s="2" t="str">
        <x:v>2028-02</x:v>
      </x:c>
      <x:c r="E24" s="58" t="n">
        <x:f>IF(C24&gt;Controls!$D$12,0,IF(S24=1,SUMIFS('Exported CF'!$G$9:$G$1544,'Exported CF'!$C$9:$C$1544,Controls!$D$5,'Exported CF'!$D$9:$D$1544,Controls!$D$7,'Exported CF'!$E$9:$E$1544,$C24),NA()))</x:f>
        <x:v>14110000</x:v>
      </x:c>
      <x:c r="F24" s="58" t="n">
        <x:f>IF(C24&gt;Controls!$D$12,0,IF(S24=1,SUMIFS('Exported CF'!$H$9:$H$1544,'Exported CF'!$C$9:$C$1544,Controls!$D$5,'Exported CF'!$D$9:$D$1544,Controls!$D$7,'Exported CF'!$E$9:$E$1544,$C24),NA()))</x:f>
        <x:v>67492.83</x:v>
      </x:c>
      <x:c r="G24" s="58" t="n">
        <x:f>IF(C24&gt;Controls!$D$12,0,IF(S24=1,SUMIFS('Exported CF'!$I$9:$I$1544,'Exported CF'!$C$9:$C$1544,Controls!$D$5,'Exported CF'!$D$9:$D$1544,Controls!$D$7,'Exported CF'!$E$9:$E$1544,$C24),NA()))</x:f>
        <x:v>0</x:v>
      </x:c>
      <x:c r="H24" s="58" t="n">
        <x:f>IF(C24&gt;Controls!$D$12,0,IF(S24=1,SUMIFS('Exported CF'!$J$9:$J$1544,'Exported CF'!$C$9:$C$1544,Controls!$D$5,'Exported CF'!$D$9:$D$1544,Controls!$D$7,'Exported CF'!$E$9:$E$1544,$C24),NA()))</x:f>
        <x:v>0</x:v>
      </x:c>
      <x:c r="I24" s="58" t="n">
        <x:f>IF(C24&gt;Controls!$D$12,0,IF(S24=1,SUMIFS('Exported CF'!$K$9:$K$1544,'Exported CF'!$C$9:$C$1544,Controls!$D$5,'Exported CF'!$D$9:$D$1544,Controls!$D$7,'Exported CF'!$E$9:$E$1544,$C24),NA()))</x:f>
        <x:v>14110000</x:v>
      </x:c>
      <x:c r="J24" s="58" t="n">
        <x:f>IF(C24&gt;Controls!$D$12,0,IF(S24=1,SUMIFS('Exported CF'!$L$9:$L$1544,'Exported CF'!$C$9:$C$1544,Controls!$D$5,'Exported CF'!$D$9:$D$1544,Controls!$D$7,'Exported CF'!$E$9:$E$1544,$C24),NA()))</x:f>
        <x:v>0</x:v>
      </x:c>
      <x:c r="K24" s="59" t="n">
        <x:f>F24+G24</x:f>
        <x:v>67492.83</x:v>
      </x:c>
      <x:c r="L24" s="61" t="n">
        <x:f>1/(1+Controls!$D$9)^T24</x:f>
        <x:v>0.8965989083787914</x:v>
      </x:c>
      <x:c r="M24" s="59" t="n">
        <x:f>K24*L24</x:f>
        <x:v>60513.99770139535</x:v>
      </x:c>
      <x:c r="N24" s="59" t="n">
        <x:f>G24*T24</x:f>
        <x:v>0</x:v>
      </x:c>
      <x:c r="O24" s="59" t="n">
        <x:f>E24-G24-H24</x:f>
        <x:v>14110000</x:v>
      </x:c>
      <x:c r="P24" s="60" t="n">
        <x:f>O24-I24</x:f>
        <x:v>0</x:v>
      </x:c>
      <x:c r="Q24" s="59" t="n">
        <x:f>K24/(1+MAX(0,Controls!$D$9-Controls!$D$11))^T24</x:f>
        <x:v>61317.63106461117</x:v>
      </x:c>
      <x:c r="R24" s="59" t="n">
        <x:f>K24/(1+Controls!$D$9+Controls!$D$11)^T24</x:f>
        <x:v>59728.15893497963</x:v>
      </x:c>
      <x:c r="S24" s="2" t="n">
        <x:f>COUNTIFS('Exported CF'!$C$9:$C$1544,Controls!$D$5,'Exported CF'!$D$9:$D$1544,Controls!$D$7,'Exported CF'!$E$9:$E$1544,$C24)</x:f>
        <x:v>1</x:v>
      </x:c>
      <x:c r="T24" s="62" t="n">
        <x:f>IF(C24&gt;Controls!$D$12,0,IF(S24=1,SUMIFS('Exported CF'!$M$9:$M$1544,'Exported CF'!$C$9:$C$1544,Controls!$D$5,'Exported CF'!$D$9:$D$1544,Controls!$D$7,'Exported CF'!$E$9:$E$1544,$C24),NA()))</x:f>
        <x:v>1.4182067077344285</x:v>
      </x:c>
    </x:row>
    <x:row r="25" ht="20" customHeight="1">
      <x:c r="A25" s="2"/>
      <x:c r="B25" s="2"/>
      <x:c r="C25" s="2" t="n">
        <x:v>18</x:v>
      </x:c>
      <x:c r="D25" s="2" t="str">
        <x:v>2028-03</x:v>
      </x:c>
      <x:c r="E25" s="58" t="n">
        <x:f>IF(C25&gt;Controls!$D$12,0,IF(S25=1,SUMIFS('Exported CF'!$G$9:$G$1544,'Exported CF'!$C$9:$C$1544,Controls!$D$5,'Exported CF'!$D$9:$D$1544,Controls!$D$7,'Exported CF'!$E$9:$E$1544,$C25),NA()))</x:f>
        <x:v>14110000</x:v>
      </x:c>
      <x:c r="F25" s="58" t="n">
        <x:f>IF(C25&gt;Controls!$D$12,0,IF(S25=1,SUMIFS('Exported CF'!$H$9:$H$1544,'Exported CF'!$C$9:$C$1544,Controls!$D$5,'Exported CF'!$D$9:$D$1544,Controls!$D$7,'Exported CF'!$E$9:$E$1544,$C25),NA()))</x:f>
        <x:v>67492.83</x:v>
      </x:c>
      <x:c r="G25" s="58" t="n">
        <x:f>IF(C25&gt;Controls!$D$12,0,IF(S25=1,SUMIFS('Exported CF'!$I$9:$I$1544,'Exported CF'!$C$9:$C$1544,Controls!$D$5,'Exported CF'!$D$9:$D$1544,Controls!$D$7,'Exported CF'!$E$9:$E$1544,$C25),NA()))</x:f>
        <x:v>0</x:v>
      </x:c>
      <x:c r="H25" s="58" t="n">
        <x:f>IF(C25&gt;Controls!$D$12,0,IF(S25=1,SUMIFS('Exported CF'!$J$9:$J$1544,'Exported CF'!$C$9:$C$1544,Controls!$D$5,'Exported CF'!$D$9:$D$1544,Controls!$D$7,'Exported CF'!$E$9:$E$1544,$C25),NA()))</x:f>
        <x:v>0</x:v>
      </x:c>
      <x:c r="I25" s="58" t="n">
        <x:f>IF(C25&gt;Controls!$D$12,0,IF(S25=1,SUMIFS('Exported CF'!$K$9:$K$1544,'Exported CF'!$C$9:$C$1544,Controls!$D$5,'Exported CF'!$D$9:$D$1544,Controls!$D$7,'Exported CF'!$E$9:$E$1544,$C25),NA()))</x:f>
        <x:v>14110000</x:v>
      </x:c>
      <x:c r="J25" s="58" t="n">
        <x:f>IF(C25&gt;Controls!$D$12,0,IF(S25=1,SUMIFS('Exported CF'!$L$9:$L$1544,'Exported CF'!$C$9:$C$1544,Controls!$D$5,'Exported CF'!$D$9:$D$1544,Controls!$D$7,'Exported CF'!$E$9:$E$1544,$C25),NA()))</x:f>
        <x:v>0</x:v>
      </x:c>
      <x:c r="K25" s="59" t="n">
        <x:f>F25+G25</x:f>
        <x:v>67492.83</x:v>
      </x:c>
      <x:c r="L25" s="61" t="n">
        <x:f>1/(1+Controls!$D$9)^T25</x:f>
        <x:v>0.8911369208427186</x:v>
      </x:c>
      <x:c r="M25" s="59" t="n">
        <x:f>K25*L25</x:f>
        <x:v>60145.352705161065</x:v>
      </x:c>
      <x:c r="N25" s="59" t="n">
        <x:f>G25*T25</x:f>
        <x:v>0</x:v>
      </x:c>
      <x:c r="O25" s="59" t="n">
        <x:f>E25-G25-H25</x:f>
        <x:v>14110000</x:v>
      </x:c>
      <x:c r="P25" s="60" t="n">
        <x:f>O25-I25</x:f>
        <x:v>0</x:v>
      </x:c>
      <x:c r="Q25" s="59" t="n">
        <x:f>K25/(1+MAX(0,Controls!$D$9-Controls!$D$11))^T25</x:f>
        <x:v>60989.11963818951</x:v>
      </x:c>
      <x:c r="R25" s="59" t="n">
        <x:f>K25/(1+Controls!$D$9+Controls!$D$11)^T25</x:f>
        <x:v>59320.87541229962</x:v>
      </x:c>
      <x:c r="S25" s="2" t="n">
        <x:f>COUNTIFS('Exported CF'!$C$9:$C$1544,Controls!$D$5,'Exported CF'!$D$9:$D$1544,Controls!$D$7,'Exported CF'!$E$9:$E$1544,$C25)</x:f>
        <x:v>1</x:v>
      </x:c>
      <x:c r="T25" s="62" t="n">
        <x:f>IF(C25&gt;Controls!$D$12,0,IF(S25=1,SUMIFS('Exported CF'!$M$9:$M$1544,'Exported CF'!$C$9:$C$1544,Controls!$D$5,'Exported CF'!$D$9:$D$1544,Controls!$D$7,'Exported CF'!$E$9:$E$1544,$C25),NA()))</x:f>
        <x:v>1.4976043805612593</x:v>
      </x:c>
    </x:row>
    <x:row r="26" ht="20" customHeight="1">
      <x:c r="A26" s="2"/>
      <x:c r="B26" s="2"/>
      <x:c r="C26" s="2" t="n">
        <x:v>19</x:v>
      </x:c>
      <x:c r="D26" s="2" t="str">
        <x:v>2028-04</x:v>
      </x:c>
      <x:c r="E26" s="58" t="n">
        <x:f>IF(C26&gt;Controls!$D$12,0,IF(S26=1,SUMIFS('Exported CF'!$G$9:$G$1544,'Exported CF'!$C$9:$C$1544,Controls!$D$5,'Exported CF'!$D$9:$D$1544,Controls!$D$7,'Exported CF'!$E$9:$E$1544,$C26),NA()))</x:f>
        <x:v>14110000</x:v>
      </x:c>
      <x:c r="F26" s="58" t="n">
        <x:f>IF(C26&gt;Controls!$D$12,0,IF(S26=1,SUMIFS('Exported CF'!$H$9:$H$1544,'Exported CF'!$C$9:$C$1544,Controls!$D$5,'Exported CF'!$D$9:$D$1544,Controls!$D$7,'Exported CF'!$E$9:$E$1544,$C26),NA()))</x:f>
        <x:v>67492.83</x:v>
      </x:c>
      <x:c r="G26" s="58" t="n">
        <x:f>IF(C26&gt;Controls!$D$12,0,IF(S26=1,SUMIFS('Exported CF'!$I$9:$I$1544,'Exported CF'!$C$9:$C$1544,Controls!$D$5,'Exported CF'!$D$9:$D$1544,Controls!$D$7,'Exported CF'!$E$9:$E$1544,$C26),NA()))</x:f>
        <x:v>0</x:v>
      </x:c>
      <x:c r="H26" s="58" t="n">
        <x:f>IF(C26&gt;Controls!$D$12,0,IF(S26=1,SUMIFS('Exported CF'!$J$9:$J$1544,'Exported CF'!$C$9:$C$1544,Controls!$D$5,'Exported CF'!$D$9:$D$1544,Controls!$D$7,'Exported CF'!$E$9:$E$1544,$C26),NA()))</x:f>
        <x:v>0</x:v>
      </x:c>
      <x:c r="I26" s="58" t="n">
        <x:f>IF(C26&gt;Controls!$D$12,0,IF(S26=1,SUMIFS('Exported CF'!$K$9:$K$1544,'Exported CF'!$C$9:$C$1544,Controls!$D$5,'Exported CF'!$D$9:$D$1544,Controls!$D$7,'Exported CF'!$E$9:$E$1544,$C26),NA()))</x:f>
        <x:v>14110000</x:v>
      </x:c>
      <x:c r="J26" s="58" t="n">
        <x:f>IF(C26&gt;Controls!$D$12,0,IF(S26=1,SUMIFS('Exported CF'!$L$9:$L$1544,'Exported CF'!$C$9:$C$1544,Controls!$D$5,'Exported CF'!$D$9:$D$1544,Controls!$D$7,'Exported CF'!$E$9:$E$1544,$C26),NA()))</x:f>
        <x:v>0</x:v>
      </x:c>
      <x:c r="K26" s="59" t="n">
        <x:f>F26+G26</x:f>
        <x:v>67492.83</x:v>
      </x:c>
      <x:c r="L26" s="61" t="n">
        <x:f>1/(1+Controls!$D$9)^T26</x:f>
        <x:v>0.8849620189898678</x:v>
      </x:c>
      <x:c r="M26" s="59" t="n">
        <x:f>K26*L26</x:f>
        <x:v>59728.59110413992</x:v>
      </x:c>
      <x:c r="N26" s="59" t="n">
        <x:f>G26*T26</x:f>
        <x:v>0</x:v>
      </x:c>
      <x:c r="O26" s="59" t="n">
        <x:f>E26-G26-H26</x:f>
        <x:v>14110000</x:v>
      </x:c>
      <x:c r="P26" s="60" t="n">
        <x:f>O26-I26</x:f>
        <x:v>0</x:v>
      </x:c>
      <x:c r="Q26" s="59" t="n">
        <x:f>K26/(1+MAX(0,Controls!$D$9-Controls!$D$11))^T26</x:f>
        <x:v>60617.43665723878</x:v>
      </x:c>
      <x:c r="R26" s="59" t="n">
        <x:f>K26/(1+Controls!$D$9+Controls!$D$11)^T26</x:f>
        <x:v>58860.792060017266</x:v>
      </x:c>
      <x:c r="S26" s="2" t="n">
        <x:f>COUNTIFS('Exported CF'!$C$9:$C$1544,Controls!$D$5,'Exported CF'!$D$9:$D$1544,Controls!$D$7,'Exported CF'!$E$9:$E$1544,$C26)</x:f>
        <x:v>1</x:v>
      </x:c>
      <x:c r="T26" s="62" t="n">
        <x:f>IF(C26&gt;Controls!$D$12,0,IF(S26=1,SUMIFS('Exported CF'!$M$9:$M$1544,'Exported CF'!$C$9:$C$1544,Controls!$D$5,'Exported CF'!$D$9:$D$1544,Controls!$D$7,'Exported CF'!$E$9:$E$1544,$C26),NA()))</x:f>
        <x:v>1.5879534565366187</x:v>
      </x:c>
    </x:row>
    <x:row r="27" ht="20" customHeight="1">
      <x:c r="A27" s="2"/>
      <x:c r="B27" s="2"/>
      <x:c r="C27" s="2" t="n">
        <x:v>20</x:v>
      </x:c>
      <x:c r="D27" s="2" t="str">
        <x:v>2028-05</x:v>
      </x:c>
      <x:c r="E27" s="58" t="n">
        <x:f>IF(C27&gt;Controls!$D$12,0,IF(S27=1,SUMIFS('Exported CF'!$G$9:$G$1544,'Exported CF'!$C$9:$C$1544,Controls!$D$5,'Exported CF'!$D$9:$D$1544,Controls!$D$7,'Exported CF'!$E$9:$E$1544,$C27),NA()))</x:f>
        <x:v>14110000</x:v>
      </x:c>
      <x:c r="F27" s="58" t="n">
        <x:f>IF(C27&gt;Controls!$D$12,0,IF(S27=1,SUMIFS('Exported CF'!$H$9:$H$1544,'Exported CF'!$C$9:$C$1544,Controls!$D$5,'Exported CF'!$D$9:$D$1544,Controls!$D$7,'Exported CF'!$E$9:$E$1544,$C27),NA()))</x:f>
        <x:v>67492.83</x:v>
      </x:c>
      <x:c r="G27" s="58" t="n">
        <x:f>IF(C27&gt;Controls!$D$12,0,IF(S27=1,SUMIFS('Exported CF'!$I$9:$I$1544,'Exported CF'!$C$9:$C$1544,Controls!$D$5,'Exported CF'!$D$9:$D$1544,Controls!$D$7,'Exported CF'!$E$9:$E$1544,$C27),NA()))</x:f>
        <x:v>0</x:v>
      </x:c>
      <x:c r="H27" s="58" t="n">
        <x:f>IF(C27&gt;Controls!$D$12,0,IF(S27=1,SUMIFS('Exported CF'!$J$9:$J$1544,'Exported CF'!$C$9:$C$1544,Controls!$D$5,'Exported CF'!$D$9:$D$1544,Controls!$D$7,'Exported CF'!$E$9:$E$1544,$C27),NA()))</x:f>
        <x:v>0</x:v>
      </x:c>
      <x:c r="I27" s="58" t="n">
        <x:f>IF(C27&gt;Controls!$D$12,0,IF(S27=1,SUMIFS('Exported CF'!$K$9:$K$1544,'Exported CF'!$C$9:$C$1544,Controls!$D$5,'Exported CF'!$D$9:$D$1544,Controls!$D$7,'Exported CF'!$E$9:$E$1544,$C27),NA()))</x:f>
        <x:v>14110000</x:v>
      </x:c>
      <x:c r="J27" s="58" t="n">
        <x:f>IF(C27&gt;Controls!$D$12,0,IF(S27=1,SUMIFS('Exported CF'!$L$9:$L$1544,'Exported CF'!$C$9:$C$1544,Controls!$D$5,'Exported CF'!$D$9:$D$1544,Controls!$D$7,'Exported CF'!$E$9:$E$1544,$C27),NA()))</x:f>
        <x:v>0</x:v>
      </x:c>
      <x:c r="K27" s="59" t="n">
        <x:f>F27+G27</x:f>
        <x:v>67492.83</x:v>
      </x:c>
      <x:c r="L27" s="61" t="n">
        <x:f>1/(1+Controls!$D$9)^T27</x:f>
        <x:v>0.8797562741989527</x:v>
      </x:c>
      <x:c r="M27" s="59" t="n">
        <x:f>K27*L27</x:f>
        <x:v>59377.24065594331</x:v>
      </x:c>
      <x:c r="N27" s="59" t="n">
        <x:f>G27*T27</x:f>
        <x:v>0</x:v>
      </x:c>
      <x:c r="O27" s="59" t="n">
        <x:f>E27-G27-H27</x:f>
        <x:v>14110000</x:v>
      </x:c>
      <x:c r="P27" s="60" t="n">
        <x:f>O27-I27</x:f>
        <x:v>0</x:v>
      </x:c>
      <x:c r="Q27" s="59" t="n">
        <x:f>K27/(1+MAX(0,Controls!$D$9-Controls!$D$11))^T27</x:f>
        <x:v>60303.84615440818</x:v>
      </x:c>
      <x:c r="R27" s="59" t="n">
        <x:f>K27/(1+Controls!$D$9+Controls!$D$11)^T27</x:f>
        <x:v>58473.21771290847</x:v>
      </x:c>
      <x:c r="S27" s="2" t="n">
        <x:f>COUNTIFS('Exported CF'!$C$9:$C$1544,Controls!$D$5,'Exported CF'!$D$9:$D$1544,Controls!$D$7,'Exported CF'!$E$9:$E$1544,$C27)</x:f>
        <x:v>1</x:v>
      </x:c>
      <x:c r="T27" s="62" t="n">
        <x:f>IF(C27&gt;Controls!$D$12,0,IF(S27=1,SUMIFS('Exported CF'!$M$9:$M$1544,'Exported CF'!$C$9:$C$1544,Controls!$D$5,'Exported CF'!$D$9:$D$1544,Controls!$D$7,'Exported CF'!$E$9:$E$1544,$C27),NA()))</x:f>
        <x:v>1.6646132785763177</x:v>
      </x:c>
    </x:row>
    <x:row r="28" ht="20" customHeight="1">
      <x:c r="A28" s="2"/>
      <x:c r="B28" s="2"/>
      <x:c r="C28" s="2" t="n">
        <x:v>21</x:v>
      </x:c>
      <x:c r="D28" s="2" t="str">
        <x:v>2028-06</x:v>
      </x:c>
      <x:c r="E28" s="58" t="n">
        <x:f>IF(C28&gt;Controls!$D$12,0,IF(S28=1,SUMIFS('Exported CF'!$G$9:$G$1544,'Exported CF'!$C$9:$C$1544,Controls!$D$5,'Exported CF'!$D$9:$D$1544,Controls!$D$7,'Exported CF'!$E$9:$E$1544,$C28),NA()))</x:f>
        <x:v>14110000</x:v>
      </x:c>
      <x:c r="F28" s="58" t="n">
        <x:f>IF(C28&gt;Controls!$D$12,0,IF(S28=1,SUMIFS('Exported CF'!$H$9:$H$1544,'Exported CF'!$C$9:$C$1544,Controls!$D$5,'Exported CF'!$D$9:$D$1544,Controls!$D$7,'Exported CF'!$E$9:$E$1544,$C28),NA()))</x:f>
        <x:v>67492.83</x:v>
      </x:c>
      <x:c r="G28" s="58" t="n">
        <x:f>IF(C28&gt;Controls!$D$12,0,IF(S28=1,SUMIFS('Exported CF'!$I$9:$I$1544,'Exported CF'!$C$9:$C$1544,Controls!$D$5,'Exported CF'!$D$9:$D$1544,Controls!$D$7,'Exported CF'!$E$9:$E$1544,$C28),NA()))</x:f>
        <x:v>0</x:v>
      </x:c>
      <x:c r="H28" s="58" t="n">
        <x:f>IF(C28&gt;Controls!$D$12,0,IF(S28=1,SUMIFS('Exported CF'!$J$9:$J$1544,'Exported CF'!$C$9:$C$1544,Controls!$D$5,'Exported CF'!$D$9:$D$1544,Controls!$D$7,'Exported CF'!$E$9:$E$1544,$C28),NA()))</x:f>
        <x:v>0</x:v>
      </x:c>
      <x:c r="I28" s="58" t="n">
        <x:f>IF(C28&gt;Controls!$D$12,0,IF(S28=1,SUMIFS('Exported CF'!$K$9:$K$1544,'Exported CF'!$C$9:$C$1544,Controls!$D$5,'Exported CF'!$D$9:$D$1544,Controls!$D$7,'Exported CF'!$E$9:$E$1544,$C28),NA()))</x:f>
        <x:v>14110000</x:v>
      </x:c>
      <x:c r="J28" s="58" t="n">
        <x:f>IF(C28&gt;Controls!$D$12,0,IF(S28=1,SUMIFS('Exported CF'!$L$9:$L$1544,'Exported CF'!$C$9:$C$1544,Controls!$D$5,'Exported CF'!$D$9:$D$1544,Controls!$D$7,'Exported CF'!$E$9:$E$1544,$C28),NA()))</x:f>
        <x:v>0</x:v>
      </x:c>
      <x:c r="K28" s="59" t="n">
        <x:f>F28+G28</x:f>
        <x:v>67492.83</x:v>
      </x:c>
      <x:c r="L28" s="61" t="n">
        <x:f>1/(1+Controls!$D$9)^T28</x:f>
        <x:v>0.8740284833022967</x:v>
      </x:c>
      <x:c r="M28" s="59" t="n">
        <x:f>K28*L28</x:f>
        <x:v>58990.65583867975</x:v>
      </x:c>
      <x:c r="N28" s="59" t="n">
        <x:f>G28*T28</x:f>
        <x:v>0</x:v>
      </x:c>
      <x:c r="O28" s="59" t="n">
        <x:f>E28-G28-H28</x:f>
        <x:v>14110000</x:v>
      </x:c>
      <x:c r="P28" s="60" t="n">
        <x:f>O28-I28</x:f>
        <x:v>0</x:v>
      </x:c>
      <x:c r="Q28" s="59" t="n">
        <x:f>K28/(1+MAX(0,Controls!$D$9-Controls!$D$11))^T28</x:f>
        <x:v>59958.54864478027</x:v>
      </x:c>
      <x:c r="R28" s="59" t="n">
        <x:f>K28/(1+Controls!$D$9+Controls!$D$11)^T28</x:f>
        <x:v>58047.0936550974</x:v>
      </x:c>
      <x:c r="S28" s="2" t="n">
        <x:f>COUNTIFS('Exported CF'!$C$9:$C$1544,Controls!$D$5,'Exported CF'!$D$9:$D$1544,Controls!$D$7,'Exported CF'!$E$9:$E$1544,$C28)</x:f>
        <x:v>1</x:v>
      </x:c>
      <x:c r="T28" s="62" t="n">
        <x:f>IF(C28&gt;Controls!$D$12,0,IF(S28=1,SUMIFS('Exported CF'!$M$9:$M$1544,'Exported CF'!$C$9:$C$1544,Controls!$D$5,'Exported CF'!$D$9:$D$1544,Controls!$D$7,'Exported CF'!$E$9:$E$1544,$C28),NA()))</x:f>
        <x:v>1.7494866529774127</x:v>
      </x:c>
    </x:row>
    <x:row r="29" ht="20" customHeight="1">
      <x:c r="A29" s="2"/>
      <x:c r="B29" s="2"/>
      <x:c r="C29" s="2" t="n">
        <x:v>22</x:v>
      </x:c>
      <x:c r="D29" s="2" t="str">
        <x:v>2028-07</x:v>
      </x:c>
      <x:c r="E29" s="58" t="n">
        <x:f>IF(C29&gt;Controls!$D$12,0,IF(S29=1,SUMIFS('Exported CF'!$G$9:$G$1544,'Exported CF'!$C$9:$C$1544,Controls!$D$5,'Exported CF'!$D$9:$D$1544,Controls!$D$7,'Exported CF'!$E$9:$E$1544,$C29),NA()))</x:f>
        <x:v>14110000</x:v>
      </x:c>
      <x:c r="F29" s="58" t="n">
        <x:f>IF(C29&gt;Controls!$D$12,0,IF(S29=1,SUMIFS('Exported CF'!$H$9:$H$1544,'Exported CF'!$C$9:$C$1544,Controls!$D$5,'Exported CF'!$D$9:$D$1544,Controls!$D$7,'Exported CF'!$E$9:$E$1544,$C29),NA()))</x:f>
        <x:v>67492.83</x:v>
      </x:c>
      <x:c r="G29" s="58" t="n">
        <x:f>IF(C29&gt;Controls!$D$12,0,IF(S29=1,SUMIFS('Exported CF'!$I$9:$I$1544,'Exported CF'!$C$9:$C$1544,Controls!$D$5,'Exported CF'!$D$9:$D$1544,Controls!$D$7,'Exported CF'!$E$9:$E$1544,$C29),NA()))</x:f>
        <x:v>0</x:v>
      </x:c>
      <x:c r="H29" s="58" t="n">
        <x:f>IF(C29&gt;Controls!$D$12,0,IF(S29=1,SUMIFS('Exported CF'!$J$9:$J$1544,'Exported CF'!$C$9:$C$1544,Controls!$D$5,'Exported CF'!$D$9:$D$1544,Controls!$D$7,'Exported CF'!$E$9:$E$1544,$C29),NA()))</x:f>
        <x:v>0</x:v>
      </x:c>
      <x:c r="I29" s="58" t="n">
        <x:f>IF(C29&gt;Controls!$D$12,0,IF(S29=1,SUMIFS('Exported CF'!$K$9:$K$1544,'Exported CF'!$C$9:$C$1544,Controls!$D$5,'Exported CF'!$D$9:$D$1544,Controls!$D$7,'Exported CF'!$E$9:$E$1544,$C29),NA()))</x:f>
        <x:v>14110000</x:v>
      </x:c>
      <x:c r="J29" s="58" t="n">
        <x:f>IF(C29&gt;Controls!$D$12,0,IF(S29=1,SUMIFS('Exported CF'!$L$9:$L$1544,'Exported CF'!$C$9:$C$1544,Controls!$D$5,'Exported CF'!$D$9:$D$1544,Controls!$D$7,'Exported CF'!$E$9:$E$1544,$C29),NA()))</x:f>
        <x:v>0</x:v>
      </x:c>
      <x:c r="K29" s="59" t="n">
        <x:f>F29+G29</x:f>
        <x:v>67492.83</x:v>
      </x:c>
      <x:c r="L29" s="61" t="n">
        <x:f>1/(1+Controls!$D$9)^T29</x:f>
        <x:v>0.8681550377322702</x:v>
      </x:c>
      <x:c r="M29" s="59" t="n">
        <x:f>K29*L29</x:f>
        <x:v>58594.2403753077</x:v>
      </x:c>
      <x:c r="N29" s="59" t="n">
        <x:f>G29*T29</x:f>
        <x:v>0</x:v>
      </x:c>
      <x:c r="O29" s="59" t="n">
        <x:f>E29-G29-H29</x:f>
        <x:v>14110000</x:v>
      </x:c>
      <x:c r="P29" s="60" t="n">
        <x:f>O29-I29</x:f>
        <x:v>0</x:v>
      </x:c>
      <x:c r="Q29" s="59" t="n">
        <x:f>K29/(1+MAX(0,Controls!$D$9-Controls!$D$11))^T29</x:f>
        <x:v>59604.18623598513</x:v>
      </x:c>
      <x:c r="R29" s="59" t="n">
        <x:f>K29/(1+Controls!$D$9+Controls!$D$11)^T29</x:f>
        <x:v>57610.48066299493</x:v>
      </x:c>
      <x:c r="S29" s="2" t="n">
        <x:f>COUNTIFS('Exported CF'!$C$9:$C$1544,Controls!$D$5,'Exported CF'!$D$9:$D$1544,Controls!$D$7,'Exported CF'!$E$9:$E$1544,$C29)</x:f>
        <x:v>1</x:v>
      </x:c>
      <x:c r="T29" s="62" t="n">
        <x:f>IF(C29&gt;Controls!$D$12,0,IF(S29=1,SUMIFS('Exported CF'!$M$9:$M$1544,'Exported CF'!$C$9:$C$1544,Controls!$D$5,'Exported CF'!$D$9:$D$1544,Controls!$D$7,'Exported CF'!$E$9:$E$1544,$C29),NA()))</x:f>
        <x:v>1.83709787816564</x:v>
      </x:c>
    </x:row>
    <x:row r="30" ht="20" customHeight="1">
      <x:c r="A30" s="2"/>
      <x:c r="B30" s="2"/>
      <x:c r="C30" s="2" t="n">
        <x:v>23</x:v>
      </x:c>
      <x:c r="D30" s="2" t="str">
        <x:v>2028-08</x:v>
      </x:c>
      <x:c r="E30" s="58" t="n">
        <x:f>IF(C30&gt;Controls!$D$12,0,IF(S30=1,SUMIFS('Exported CF'!$G$9:$G$1544,'Exported CF'!$C$9:$C$1544,Controls!$D$5,'Exported CF'!$D$9:$D$1544,Controls!$D$7,'Exported CF'!$E$9:$E$1544,$C30),NA()))</x:f>
        <x:v>14110000</x:v>
      </x:c>
      <x:c r="F30" s="58" t="n">
        <x:f>IF(C30&gt;Controls!$D$12,0,IF(S30=1,SUMIFS('Exported CF'!$H$9:$H$1544,'Exported CF'!$C$9:$C$1544,Controls!$D$5,'Exported CF'!$D$9:$D$1544,Controls!$D$7,'Exported CF'!$E$9:$E$1544,$C30),NA()))</x:f>
        <x:v>67492.83</x:v>
      </x:c>
      <x:c r="G30" s="58" t="n">
        <x:f>IF(C30&gt;Controls!$D$12,0,IF(S30=1,SUMIFS('Exported CF'!$I$9:$I$1544,'Exported CF'!$C$9:$C$1544,Controls!$D$5,'Exported CF'!$D$9:$D$1544,Controls!$D$7,'Exported CF'!$E$9:$E$1544,$C30),NA()))</x:f>
        <x:v>0</x:v>
      </x:c>
      <x:c r="H30" s="58" t="n">
        <x:f>IF(C30&gt;Controls!$D$12,0,IF(S30=1,SUMIFS('Exported CF'!$J$9:$J$1544,'Exported CF'!$C$9:$C$1544,Controls!$D$5,'Exported CF'!$D$9:$D$1544,Controls!$D$7,'Exported CF'!$E$9:$E$1544,$C30),NA()))</x:f>
        <x:v>0</x:v>
      </x:c>
      <x:c r="I30" s="58" t="n">
        <x:f>IF(C30&gt;Controls!$D$12,0,IF(S30=1,SUMIFS('Exported CF'!$K$9:$K$1544,'Exported CF'!$C$9:$C$1544,Controls!$D$5,'Exported CF'!$D$9:$D$1544,Controls!$D$7,'Exported CF'!$E$9:$E$1544,$C30),NA()))</x:f>
        <x:v>14110000</x:v>
      </x:c>
      <x:c r="J30" s="58" t="n">
        <x:f>IF(C30&gt;Controls!$D$12,0,IF(S30=1,SUMIFS('Exported CF'!$L$9:$L$1544,'Exported CF'!$C$9:$C$1544,Controls!$D$5,'Exported CF'!$D$9:$D$1544,Controls!$D$7,'Exported CF'!$E$9:$E$1544,$C30),NA()))</x:f>
        <x:v>0</x:v>
      </x:c>
      <x:c r="K30" s="59" t="n">
        <x:f>F30+G30</x:f>
        <x:v>67492.83</x:v>
      </x:c>
      <x:c r="L30" s="61" t="n">
        <x:f>1/(1+Controls!$D$9)^T30</x:f>
        <x:v>0.8628663273053896</x:v>
      </x:c>
      <x:c r="M30" s="59" t="n">
        <x:f>K30*L30</x:f>
        <x:v>58237.29034154702</x:v>
      </x:c>
      <x:c r="N30" s="59" t="n">
        <x:f>G30*T30</x:f>
        <x:v>0</x:v>
      </x:c>
      <x:c r="O30" s="59" t="n">
        <x:f>E30-G30-H30</x:f>
        <x:v>14110000</x:v>
      </x:c>
      <x:c r="P30" s="60" t="n">
        <x:f>O30-I30</x:f>
        <x:v>0</x:v>
      </x:c>
      <x:c r="Q30" s="59" t="n">
        <x:f>K30/(1+MAX(0,Controls!$D$9-Controls!$D$11))^T30</x:f>
        <x:v>59284.85465221191</x:v>
      </x:c>
      <x:c r="R30" s="59" t="n">
        <x:f>K30/(1+Controls!$D$9+Controls!$D$11)^T30</x:f>
        <x:v>57217.63748942153</x:v>
      </x:c>
      <x:c r="S30" s="2" t="n">
        <x:f>COUNTIFS('Exported CF'!$C$9:$C$1544,Controls!$D$5,'Exported CF'!$D$9:$D$1544,Controls!$D$7,'Exported CF'!$E$9:$E$1544,$C30)</x:f>
        <x:v>1</x:v>
      </x:c>
      <x:c r="T30" s="62" t="n">
        <x:f>IF(C30&gt;Controls!$D$12,0,IF(S30=1,SUMIFS('Exported CF'!$M$9:$M$1544,'Exported CF'!$C$9:$C$1544,Controls!$D$5,'Exported CF'!$D$9:$D$1544,Controls!$D$7,'Exported CF'!$E$9:$E$1544,$C30),NA()))</x:f>
        <x:v>1.9164955509924708</x:v>
      </x:c>
    </x:row>
    <x:row r="31" ht="20" customHeight="1">
      <x:c r="A31" s="2"/>
      <x:c r="B31" s="2"/>
      <x:c r="C31" s="2" t="n">
        <x:v>24</x:v>
      </x:c>
      <x:c r="D31" s="2" t="str">
        <x:v>2028-09</x:v>
      </x:c>
      <x:c r="E31" s="58" t="n">
        <x:f>IF(C31&gt;Controls!$D$12,0,IF(S31=1,SUMIFS('Exported CF'!$G$9:$G$1544,'Exported CF'!$C$9:$C$1544,Controls!$D$5,'Exported CF'!$D$9:$D$1544,Controls!$D$7,'Exported CF'!$E$9:$E$1544,$C31),NA()))</x:f>
        <x:v>14110000</x:v>
      </x:c>
      <x:c r="F31" s="58" t="n">
        <x:f>IF(C31&gt;Controls!$D$12,0,IF(S31=1,SUMIFS('Exported CF'!$H$9:$H$1544,'Exported CF'!$C$9:$C$1544,Controls!$D$5,'Exported CF'!$D$9:$D$1544,Controls!$D$7,'Exported CF'!$E$9:$E$1544,$C31),NA()))</x:f>
        <x:v>67492.83</x:v>
      </x:c>
      <x:c r="G31" s="58" t="n">
        <x:f>IF(C31&gt;Controls!$D$12,0,IF(S31=1,SUMIFS('Exported CF'!$I$9:$I$1544,'Exported CF'!$C$9:$C$1544,Controls!$D$5,'Exported CF'!$D$9:$D$1544,Controls!$D$7,'Exported CF'!$E$9:$E$1544,$C31),NA()))</x:f>
        <x:v>0</x:v>
      </x:c>
      <x:c r="H31" s="58" t="n">
        <x:f>IF(C31&gt;Controls!$D$12,0,IF(S31=1,SUMIFS('Exported CF'!$J$9:$J$1544,'Exported CF'!$C$9:$C$1544,Controls!$D$5,'Exported CF'!$D$9:$D$1544,Controls!$D$7,'Exported CF'!$E$9:$E$1544,$C31),NA()))</x:f>
        <x:v>0</x:v>
      </x:c>
      <x:c r="I31" s="58" t="n">
        <x:f>IF(C31&gt;Controls!$D$12,0,IF(S31=1,SUMIFS('Exported CF'!$K$9:$K$1544,'Exported CF'!$C$9:$C$1544,Controls!$D$5,'Exported CF'!$D$9:$D$1544,Controls!$D$7,'Exported CF'!$E$9:$E$1544,$C31),NA()))</x:f>
        <x:v>14110000</x:v>
      </x:c>
      <x:c r="J31" s="58" t="n">
        <x:f>IF(C31&gt;Controls!$D$12,0,IF(S31=1,SUMIFS('Exported CF'!$L$9:$L$1544,'Exported CF'!$C$9:$C$1544,Controls!$D$5,'Exported CF'!$D$9:$D$1544,Controls!$D$7,'Exported CF'!$E$9:$E$1544,$C31),NA()))</x:f>
        <x:v>0</x:v>
      </x:c>
      <x:c r="K31" s="59" t="n">
        <x:f>F31+G31</x:f>
        <x:v>67492.83</x:v>
      </x:c>
      <x:c r="L31" s="61" t="n">
        <x:f>1/(1+Controls!$D$9)^T31</x:f>
        <x:v>0.8572485010511001</x:v>
      </x:c>
      <x:c r="M31" s="59" t="n">
        <x:f>K31*L31</x:f>
        <x:v>57858.12734919672</x:v>
      </x:c>
      <x:c r="N31" s="59" t="n">
        <x:f>G31*T31</x:f>
        <x:v>0</x:v>
      </x:c>
      <x:c r="O31" s="59" t="n">
        <x:f>E31-G31-H31</x:f>
        <x:v>14110000</x:v>
      </x:c>
      <x:c r="P31" s="60" t="n">
        <x:f>O31-I31</x:f>
        <x:v>0</x:v>
      </x:c>
      <x:c r="Q31" s="59" t="n">
        <x:f>K31/(1+MAX(0,Controls!$D$9-Controls!$D$11))^T31</x:f>
        <x:v>58945.39184883373</x:v>
      </x:c>
      <x:c r="R31" s="59" t="n">
        <x:f>K31/(1+Controls!$D$9+Controls!$D$11)^T31</x:f>
        <x:v>56800.6634828761</x:v>
      </x:c>
      <x:c r="S31" s="2" t="n">
        <x:f>COUNTIFS('Exported CF'!$C$9:$C$1544,Controls!$D$5,'Exported CF'!$D$9:$D$1544,Controls!$D$7,'Exported CF'!$E$9:$E$1544,$C31)</x:f>
        <x:v>1</x:v>
      </x:c>
      <x:c r="T31" s="62" t="n">
        <x:f>IF(C31&gt;Controls!$D$12,0,IF(S31=1,SUMIFS('Exported CF'!$M$9:$M$1544,'Exported CF'!$C$9:$C$1544,Controls!$D$5,'Exported CF'!$D$9:$D$1544,Controls!$D$7,'Exported CF'!$E$9:$E$1544,$C31),NA()))</x:f>
        <x:v>2.001368925393566</x:v>
      </x:c>
    </x:row>
    <x:row r="32" ht="20" customHeight="1">
      <x:c r="A32" s="2"/>
      <x:c r="B32" s="2"/>
      <x:c r="C32" s="2" t="n">
        <x:v>25</x:v>
      </x:c>
      <x:c r="D32" s="2" t="str">
        <x:v>2028-10</x:v>
      </x:c>
      <x:c r="E32" s="58" t="n">
        <x:f>IF(C32&gt;Controls!$D$12,0,IF(S32=1,SUMIFS('Exported CF'!$G$9:$G$1544,'Exported CF'!$C$9:$C$1544,Controls!$D$5,'Exported CF'!$D$9:$D$1544,Controls!$D$7,'Exported CF'!$E$9:$E$1544,$C32),NA()))</x:f>
        <x:v>14110000</x:v>
      </x:c>
      <x:c r="F32" s="58" t="n">
        <x:f>IF(C32&gt;Controls!$D$12,0,IF(S32=1,SUMIFS('Exported CF'!$H$9:$H$1544,'Exported CF'!$C$9:$C$1544,Controls!$D$5,'Exported CF'!$D$9:$D$1544,Controls!$D$7,'Exported CF'!$E$9:$E$1544,$C32),NA()))</x:f>
        <x:v>67492.83</x:v>
      </x:c>
      <x:c r="G32" s="58" t="n">
        <x:f>IF(C32&gt;Controls!$D$12,0,IF(S32=1,SUMIFS('Exported CF'!$I$9:$I$1544,'Exported CF'!$C$9:$C$1544,Controls!$D$5,'Exported CF'!$D$9:$D$1544,Controls!$D$7,'Exported CF'!$E$9:$E$1544,$C32),NA()))</x:f>
        <x:v>0</x:v>
      </x:c>
      <x:c r="H32" s="58" t="n">
        <x:f>IF(C32&gt;Controls!$D$12,0,IF(S32=1,SUMIFS('Exported CF'!$J$9:$J$1544,'Exported CF'!$C$9:$C$1544,Controls!$D$5,'Exported CF'!$D$9:$D$1544,Controls!$D$7,'Exported CF'!$E$9:$E$1544,$C32),NA()))</x:f>
        <x:v>0</x:v>
      </x:c>
      <x:c r="I32" s="58" t="n">
        <x:f>IF(C32&gt;Controls!$D$12,0,IF(S32=1,SUMIFS('Exported CF'!$K$9:$K$1544,'Exported CF'!$C$9:$C$1544,Controls!$D$5,'Exported CF'!$D$9:$D$1544,Controls!$D$7,'Exported CF'!$E$9:$E$1544,$C32),NA()))</x:f>
        <x:v>14110000</x:v>
      </x:c>
      <x:c r="J32" s="58" t="n">
        <x:f>IF(C32&gt;Controls!$D$12,0,IF(S32=1,SUMIFS('Exported CF'!$L$9:$L$1544,'Exported CF'!$C$9:$C$1544,Controls!$D$5,'Exported CF'!$D$9:$D$1544,Controls!$D$7,'Exported CF'!$E$9:$E$1544,$C32),NA()))</x:f>
        <x:v>0</x:v>
      </x:c>
      <x:c r="K32" s="59" t="n">
        <x:f>F32+G32</x:f>
        <x:v>67492.83</x:v>
      </x:c>
      <x:c r="L32" s="61" t="n">
        <x:f>1/(1+Controls!$D$9)^T32</x:f>
        <x:v>0.8516672505337753</x:v>
      </x:c>
      <x:c r="M32" s="59" t="n">
        <x:f>K32*L32</x:f>
        <x:v>57481.43295684351</x:v>
      </x:c>
      <x:c r="N32" s="59" t="n">
        <x:f>G32*T32</x:f>
        <x:v>0</x:v>
      </x:c>
      <x:c r="O32" s="59" t="n">
        <x:f>E32-G32-H32</x:f>
        <x:v>14110000</x:v>
      </x:c>
      <x:c r="P32" s="60" t="n">
        <x:f>O32-I32</x:f>
        <x:v>0</x:v>
      </x:c>
      <x:c r="Q32" s="59" t="n">
        <x:f>K32/(1+MAX(0,Controls!$D$9-Controls!$D$11))^T32</x:f>
        <x:v>58607.87279644479</x:v>
      </x:c>
      <x:c r="R32" s="59" t="n">
        <x:f>K32/(1+Controls!$D$9+Controls!$D$11)^T32</x:f>
        <x:v>56386.72817785285</x:v>
      </x:c>
      <x:c r="S32" s="2" t="n">
        <x:f>COUNTIFS('Exported CF'!$C$9:$C$1544,Controls!$D$5,'Exported CF'!$D$9:$D$1544,Controls!$D$7,'Exported CF'!$E$9:$E$1544,$C32)</x:f>
        <x:v>1</x:v>
      </x:c>
      <x:c r="T32" s="62" t="n">
        <x:f>IF(C32&gt;Controls!$D$12,0,IF(S32=1,SUMIFS('Exported CF'!$M$9:$M$1544,'Exported CF'!$C$9:$C$1544,Controls!$D$5,'Exported CF'!$D$9:$D$1544,Controls!$D$7,'Exported CF'!$E$9:$E$1544,$C32),NA()))</x:f>
        <x:v>2.086242299794661</x:v>
      </x:c>
    </x:row>
    <x:row r="33" ht="20" customHeight="1">
      <x:c r="A33" s="2"/>
      <x:c r="B33" s="2"/>
      <x:c r="C33" s="2" t="n">
        <x:v>26</x:v>
      </x:c>
      <x:c r="D33" s="2" t="str">
        <x:v>2028-11</x:v>
      </x:c>
      <x:c r="E33" s="58" t="n">
        <x:f>IF(C33&gt;Controls!$D$12,0,IF(S33=1,SUMIFS('Exported CF'!$G$9:$G$1544,'Exported CF'!$C$9:$C$1544,Controls!$D$5,'Exported CF'!$D$9:$D$1544,Controls!$D$7,'Exported CF'!$E$9:$E$1544,$C33),NA()))</x:f>
        <x:v>14110000</x:v>
      </x:c>
      <x:c r="F33" s="58" t="n">
        <x:f>IF(C33&gt;Controls!$D$12,0,IF(S33=1,SUMIFS('Exported CF'!$H$9:$H$1544,'Exported CF'!$C$9:$C$1544,Controls!$D$5,'Exported CF'!$D$9:$D$1544,Controls!$D$7,'Exported CF'!$E$9:$E$1544,$C33),NA()))</x:f>
        <x:v>67492.83</x:v>
      </x:c>
      <x:c r="G33" s="58" t="n">
        <x:f>IF(C33&gt;Controls!$D$12,0,IF(S33=1,SUMIFS('Exported CF'!$I$9:$I$1544,'Exported CF'!$C$9:$C$1544,Controls!$D$5,'Exported CF'!$D$9:$D$1544,Controls!$D$7,'Exported CF'!$E$9:$E$1544,$C33),NA()))</x:f>
        <x:v>0</x:v>
      </x:c>
      <x:c r="H33" s="58" t="n">
        <x:f>IF(C33&gt;Controls!$D$12,0,IF(S33=1,SUMIFS('Exported CF'!$J$9:$J$1544,'Exported CF'!$C$9:$C$1544,Controls!$D$5,'Exported CF'!$D$9:$D$1544,Controls!$D$7,'Exported CF'!$E$9:$E$1544,$C33),NA()))</x:f>
        <x:v>0</x:v>
      </x:c>
      <x:c r="I33" s="58" t="n">
        <x:f>IF(C33&gt;Controls!$D$12,0,IF(S33=1,SUMIFS('Exported CF'!$K$9:$K$1544,'Exported CF'!$C$9:$C$1544,Controls!$D$5,'Exported CF'!$D$9:$D$1544,Controls!$D$7,'Exported CF'!$E$9:$E$1544,$C33),NA()))</x:f>
        <x:v>14110000</x:v>
      </x:c>
      <x:c r="J33" s="58" t="n">
        <x:f>IF(C33&gt;Controls!$D$12,0,IF(S33=1,SUMIFS('Exported CF'!$L$9:$L$1544,'Exported CF'!$C$9:$C$1544,Controls!$D$5,'Exported CF'!$D$9:$D$1544,Controls!$D$7,'Exported CF'!$E$9:$E$1544,$C33),NA()))</x:f>
        <x:v>0</x:v>
      </x:c>
      <x:c r="K33" s="59" t="n">
        <x:f>F33+G33</x:f>
        <x:v>67492.83</x:v>
      </x:c>
      <x:c r="L33" s="61" t="n">
        <x:f>1/(1+Controls!$D$9)^T33</x:f>
        <x:v>0.8463006410217631</x:v>
      </x:c>
      <x:c r="M33" s="59" t="n">
        <x:f>K33*L33</x:f>
        <x:v>57119.22529337288</x:v>
      </x:c>
      <x:c r="N33" s="59" t="n">
        <x:f>G33*T33</x:f>
        <x:v>0</x:v>
      </x:c>
      <x:c r="O33" s="59" t="n">
        <x:f>E33-G33-H33</x:f>
        <x:v>14110000</x:v>
      </x:c>
      <x:c r="P33" s="60" t="n">
        <x:f>O33-I33</x:f>
        <x:v>0</x:v>
      </x:c>
      <x:c r="Q33" s="59" t="n">
        <x:f>K33/(1+MAX(0,Controls!$D$9-Controls!$D$11))^T33</x:f>
        <x:v>58283.08168163116</x:v>
      </x:c>
      <x:c r="R33" s="59" t="n">
        <x:f>K33/(1+Controls!$D$9+Controls!$D$11)^T33</x:f>
        <x:v>55989.01801410741</x:v>
      </x:c>
      <x:c r="S33" s="2" t="n">
        <x:f>COUNTIFS('Exported CF'!$C$9:$C$1544,Controls!$D$5,'Exported CF'!$D$9:$D$1544,Controls!$D$7,'Exported CF'!$E$9:$E$1544,$C33)</x:f>
        <x:v>1</x:v>
      </x:c>
      <x:c r="T33" s="62" t="n">
        <x:f>IF(C33&gt;Controls!$D$12,0,IF(S33=1,SUMIFS('Exported CF'!$M$9:$M$1544,'Exported CF'!$C$9:$C$1544,Controls!$D$5,'Exported CF'!$D$9:$D$1544,Controls!$D$7,'Exported CF'!$E$9:$E$1544,$C33),NA()))</x:f>
        <x:v>2.1683778234086244</x:v>
      </x:c>
    </x:row>
    <x:row r="34" ht="20" customHeight="1">
      <x:c r="A34" s="2"/>
      <x:c r="B34" s="2"/>
      <x:c r="C34" s="2" t="n">
        <x:v>27</x:v>
      </x:c>
      <x:c r="D34" s="2" t="str">
        <x:v>2028-12</x:v>
      </x:c>
      <x:c r="E34" s="58" t="n">
        <x:f>IF(C34&gt;Controls!$D$12,0,IF(S34=1,SUMIFS('Exported CF'!$G$9:$G$1544,'Exported CF'!$C$9:$C$1544,Controls!$D$5,'Exported CF'!$D$9:$D$1544,Controls!$D$7,'Exported CF'!$E$9:$E$1544,$C34),NA()))</x:f>
        <x:v>14110000</x:v>
      </x:c>
      <x:c r="F34" s="58" t="n">
        <x:f>IF(C34&gt;Controls!$D$12,0,IF(S34=1,SUMIFS('Exported CF'!$H$9:$H$1544,'Exported CF'!$C$9:$C$1544,Controls!$D$5,'Exported CF'!$D$9:$D$1544,Controls!$D$7,'Exported CF'!$E$9:$E$1544,$C34),NA()))</x:f>
        <x:v>67492.83</x:v>
      </x:c>
      <x:c r="G34" s="58" t="n">
        <x:f>IF(C34&gt;Controls!$D$12,0,IF(S34=1,SUMIFS('Exported CF'!$I$9:$I$1544,'Exported CF'!$C$9:$C$1544,Controls!$D$5,'Exported CF'!$D$9:$D$1544,Controls!$D$7,'Exported CF'!$E$9:$E$1544,$C34),NA()))</x:f>
        <x:v>0</x:v>
      </x:c>
      <x:c r="H34" s="58" t="n">
        <x:f>IF(C34&gt;Controls!$D$12,0,IF(S34=1,SUMIFS('Exported CF'!$J$9:$J$1544,'Exported CF'!$C$9:$C$1544,Controls!$D$5,'Exported CF'!$D$9:$D$1544,Controls!$D$7,'Exported CF'!$E$9:$E$1544,$C34),NA()))</x:f>
        <x:v>0</x:v>
      </x:c>
      <x:c r="I34" s="58" t="n">
        <x:f>IF(C34&gt;Controls!$D$12,0,IF(S34=1,SUMIFS('Exported CF'!$K$9:$K$1544,'Exported CF'!$C$9:$C$1544,Controls!$D$5,'Exported CF'!$D$9:$D$1544,Controls!$D$7,'Exported CF'!$E$9:$E$1544,$C34),NA()))</x:f>
        <x:v>14110000</x:v>
      </x:c>
      <x:c r="J34" s="58" t="n">
        <x:f>IF(C34&gt;Controls!$D$12,0,IF(S34=1,SUMIFS('Exported CF'!$L$9:$L$1544,'Exported CF'!$C$9:$C$1544,Controls!$D$5,'Exported CF'!$D$9:$D$1544,Controls!$D$7,'Exported CF'!$E$9:$E$1544,$C34),NA()))</x:f>
        <x:v>0</x:v>
      </x:c>
      <x:c r="K34" s="59" t="n">
        <x:f>F34+G34</x:f>
        <x:v>67492.83</x:v>
      </x:c>
      <x:c r="L34" s="61" t="n">
        <x:f>1/(1+Controls!$D$9)^T34</x:f>
        <x:v>0.8409678481178644</x:v>
      </x:c>
      <x:c r="M34" s="59" t="n">
        <x:f>K34*L34</x:f>
        <x:v>56759.300008484846</x:v>
      </x:c>
      <x:c r="N34" s="59" t="n">
        <x:f>G34*T34</x:f>
        <x:v>0</x:v>
      </x:c>
      <x:c r="O34" s="59" t="n">
        <x:f>E34-G34-H34</x:f>
        <x:v>14110000</x:v>
      </x:c>
      <x:c r="P34" s="60" t="n">
        <x:f>O34-I34</x:f>
        <x:v>0</x:v>
      </x:c>
      <x:c r="Q34" s="59" t="n">
        <x:f>K34/(1+MAX(0,Controls!$D$9-Controls!$D$11))^T34</x:f>
        <x:v>57960.09048316373</x:v>
      </x:c>
      <x:c r="R34" s="59" t="n">
        <x:f>K34/(1+Controls!$D$9+Controls!$D$11)^T34</x:f>
        <x:v>55594.11300291217</x:v>
      </x:c>
      <x:c r="S34" s="2" t="n">
        <x:f>COUNTIFS('Exported CF'!$C$9:$C$1544,Controls!$D$5,'Exported CF'!$D$9:$D$1544,Controls!$D$7,'Exported CF'!$E$9:$E$1544,$C34)</x:f>
        <x:v>1</x:v>
      </x:c>
      <x:c r="T34" s="62" t="n">
        <x:f>IF(C34&gt;Controls!$D$12,0,IF(S34=1,SUMIFS('Exported CF'!$M$9:$M$1544,'Exported CF'!$C$9:$C$1544,Controls!$D$5,'Exported CF'!$D$9:$D$1544,Controls!$D$7,'Exported CF'!$E$9:$E$1544,$C34),NA()))</x:f>
        <x:v>2.2505133470225873</x:v>
      </x:c>
    </x:row>
    <x:row r="35" ht="20" customHeight="1">
      <x:c r="A35" s="2"/>
      <x:c r="B35" s="2"/>
      <x:c r="C35" s="2" t="n">
        <x:v>28</x:v>
      </x:c>
      <x:c r="D35" s="2" t="str">
        <x:v>2029-01</x:v>
      </x:c>
      <x:c r="E35" s="58" t="n">
        <x:f>IF(C35&gt;Controls!$D$12,0,IF(S35=1,SUMIFS('Exported CF'!$G$9:$G$1544,'Exported CF'!$C$9:$C$1544,Controls!$D$5,'Exported CF'!$D$9:$D$1544,Controls!$D$7,'Exported CF'!$E$9:$E$1544,$C35),NA()))</x:f>
        <x:v>14110000</x:v>
      </x:c>
      <x:c r="F35" s="58" t="n">
        <x:f>IF(C35&gt;Controls!$D$12,0,IF(S35=1,SUMIFS('Exported CF'!$H$9:$H$1544,'Exported CF'!$C$9:$C$1544,Controls!$D$5,'Exported CF'!$D$9:$D$1544,Controls!$D$7,'Exported CF'!$E$9:$E$1544,$C35),NA()))</x:f>
        <x:v>67492.83</x:v>
      </x:c>
      <x:c r="G35" s="58" t="n">
        <x:f>IF(C35&gt;Controls!$D$12,0,IF(S35=1,SUMIFS('Exported CF'!$I$9:$I$1544,'Exported CF'!$C$9:$C$1544,Controls!$D$5,'Exported CF'!$D$9:$D$1544,Controls!$D$7,'Exported CF'!$E$9:$E$1544,$C35),NA()))</x:f>
        <x:v>0</x:v>
      </x:c>
      <x:c r="H35" s="58" t="n">
        <x:f>IF(C35&gt;Controls!$D$12,0,IF(S35=1,SUMIFS('Exported CF'!$J$9:$J$1544,'Exported CF'!$C$9:$C$1544,Controls!$D$5,'Exported CF'!$D$9:$D$1544,Controls!$D$7,'Exported CF'!$E$9:$E$1544,$C35),NA()))</x:f>
        <x:v>0</x:v>
      </x:c>
      <x:c r="I35" s="58" t="n">
        <x:f>IF(C35&gt;Controls!$D$12,0,IF(S35=1,SUMIFS('Exported CF'!$K$9:$K$1544,'Exported CF'!$C$9:$C$1544,Controls!$D$5,'Exported CF'!$D$9:$D$1544,Controls!$D$7,'Exported CF'!$E$9:$E$1544,$C35),NA()))</x:f>
        <x:v>14110000</x:v>
      </x:c>
      <x:c r="J35" s="58" t="n">
        <x:f>IF(C35&gt;Controls!$D$12,0,IF(S35=1,SUMIFS('Exported CF'!$L$9:$L$1544,'Exported CF'!$C$9:$C$1544,Controls!$D$5,'Exported CF'!$D$9:$D$1544,Controls!$D$7,'Exported CF'!$E$9:$E$1544,$C35),NA()))</x:f>
        <x:v>0</x:v>
      </x:c>
      <x:c r="K35" s="59" t="n">
        <x:f>F35+G35</x:f>
        <x:v>67492.83</x:v>
      </x:c>
      <x:c r="L35" s="61" t="n">
        <x:f>1/(1+Controls!$D$9)^T35</x:f>
        <x:v>0.8353165690389487</x:v>
      </x:c>
      <x:c r="M35" s="59" t="n">
        <x:f>K35*L35</x:f>
        <x:v>56377.879190329026</x:v>
      </x:c>
      <x:c r="N35" s="59" t="n">
        <x:f>G35*T35</x:f>
        <x:v>0</x:v>
      </x:c>
      <x:c r="O35" s="59" t="n">
        <x:f>E35-G35-H35</x:f>
        <x:v>14110000</x:v>
      </x:c>
      <x:c r="P35" s="60" t="n">
        <x:f>O35-I35</x:f>
        <x:v>0</x:v>
      </x:c>
      <x:c r="Q35" s="59" t="n">
        <x:f>K35/(1+MAX(0,Controls!$D$9-Controls!$D$11))^T35</x:f>
        <x:v>57617.539208294176</x:v>
      </x:c>
      <x:c r="R35" s="59" t="n">
        <x:f>K35/(1+Controls!$D$9+Controls!$D$11)^T35</x:f>
        <x:v>55175.9506024704</x:v>
      </x:c>
      <x:c r="S35" s="2" t="n">
        <x:f>COUNTIFS('Exported CF'!$C$9:$C$1544,Controls!$D$5,'Exported CF'!$D$9:$D$1544,Controls!$D$7,'Exported CF'!$E$9:$E$1544,$C35)</x:f>
        <x:v>1</x:v>
      </x:c>
      <x:c r="T35" s="62" t="n">
        <x:f>IF(C35&gt;Controls!$D$12,0,IF(S35=1,SUMIFS('Exported CF'!$M$9:$M$1544,'Exported CF'!$C$9:$C$1544,Controls!$D$5,'Exported CF'!$D$9:$D$1544,Controls!$D$7,'Exported CF'!$E$9:$E$1544,$C35),NA()))</x:f>
        <x:v>2.3381245722108144</x:v>
      </x:c>
    </x:row>
    <x:row r="36" ht="20" customHeight="1">
      <x:c r="A36" s="2"/>
      <x:c r="B36" s="2"/>
      <x:c r="C36" s="2" t="n">
        <x:v>29</x:v>
      </x:c>
      <x:c r="D36" s="2" t="str">
        <x:v>2029-02</x:v>
      </x:c>
      <x:c r="E36" s="58" t="n">
        <x:f>IF(C36&gt;Controls!$D$12,0,IF(S36=1,SUMIFS('Exported CF'!$G$9:$G$1544,'Exported CF'!$C$9:$C$1544,Controls!$D$5,'Exported CF'!$D$9:$D$1544,Controls!$D$7,'Exported CF'!$E$9:$E$1544,$C36),NA()))</x:f>
        <x:v>14110000</x:v>
      </x:c>
      <x:c r="F36" s="58" t="n">
        <x:f>IF(C36&gt;Controls!$D$12,0,IF(S36=1,SUMIFS('Exported CF'!$H$9:$H$1544,'Exported CF'!$C$9:$C$1544,Controls!$D$5,'Exported CF'!$D$9:$D$1544,Controls!$D$7,'Exported CF'!$E$9:$E$1544,$C36),NA()))</x:f>
        <x:v>67492.83</x:v>
      </x:c>
      <x:c r="G36" s="58" t="n">
        <x:f>IF(C36&gt;Controls!$D$12,0,IF(S36=1,SUMIFS('Exported CF'!$I$9:$I$1544,'Exported CF'!$C$9:$C$1544,Controls!$D$5,'Exported CF'!$D$9:$D$1544,Controls!$D$7,'Exported CF'!$E$9:$E$1544,$C36),NA()))</x:f>
        <x:v>0</x:v>
      </x:c>
      <x:c r="H36" s="58" t="n">
        <x:f>IF(C36&gt;Controls!$D$12,0,IF(S36=1,SUMIFS('Exported CF'!$J$9:$J$1544,'Exported CF'!$C$9:$C$1544,Controls!$D$5,'Exported CF'!$D$9:$D$1544,Controls!$D$7,'Exported CF'!$E$9:$E$1544,$C36),NA()))</x:f>
        <x:v>0</x:v>
      </x:c>
      <x:c r="I36" s="58" t="n">
        <x:f>IF(C36&gt;Controls!$D$12,0,IF(S36=1,SUMIFS('Exported CF'!$K$9:$K$1544,'Exported CF'!$C$9:$C$1544,Controls!$D$5,'Exported CF'!$D$9:$D$1544,Controls!$D$7,'Exported CF'!$E$9:$E$1544,$C36),NA()))</x:f>
        <x:v>14110000</x:v>
      </x:c>
      <x:c r="J36" s="58" t="n">
        <x:f>IF(C36&gt;Controls!$D$12,0,IF(S36=1,SUMIFS('Exported CF'!$L$9:$L$1544,'Exported CF'!$C$9:$C$1544,Controls!$D$5,'Exported CF'!$D$9:$D$1544,Controls!$D$7,'Exported CF'!$E$9:$E$1544,$C36),NA()))</x:f>
        <x:v>0</x:v>
      </x:c>
      <x:c r="K36" s="59" t="n">
        <x:f>F36+G36</x:f>
        <x:v>67492.83</x:v>
      </x:c>
      <x:c r="L36" s="61" t="n">
        <x:f>1/(1+Controls!$D$9)^T36</x:f>
        <x:v>0.8300529900506334</x:v>
      </x:c>
      <x:c r="M36" s="59" t="n">
        <x:f>K36*L36</x:f>
        <x:v>56022.625348479094</x:v>
      </x:c>
      <x:c r="N36" s="59" t="n">
        <x:f>G36*T36</x:f>
        <x:v>0</x:v>
      </x:c>
      <x:c r="O36" s="59" t="n">
        <x:f>E36-G36-H36</x:f>
        <x:v>14110000</x:v>
      </x:c>
      <x:c r="P36" s="60" t="n">
        <x:f>O36-I36</x:f>
        <x:v>0</x:v>
      </x:c>
      <x:c r="Q36" s="59" t="n">
        <x:f>K36/(1+MAX(0,Controls!$D$9-Controls!$D$11))^T36</x:f>
        <x:v>57298.23629045454</x:v>
      </x:c>
      <x:c r="R36" s="59" t="n">
        <x:f>K36/(1+Controls!$D$9+Controls!$D$11)^T36</x:f>
        <x:v>54786.780365819955</x:v>
      </x:c>
      <x:c r="S36" s="2" t="n">
        <x:f>COUNTIFS('Exported CF'!$C$9:$C$1544,Controls!$D$5,'Exported CF'!$D$9:$D$1544,Controls!$D$7,'Exported CF'!$E$9:$E$1544,$C36)</x:f>
        <x:v>1</x:v>
      </x:c>
      <x:c r="T36" s="62" t="n">
        <x:f>IF(C36&gt;Controls!$D$12,0,IF(S36=1,SUMIFS('Exported CF'!$M$9:$M$1544,'Exported CF'!$C$9:$C$1544,Controls!$D$5,'Exported CF'!$D$9:$D$1544,Controls!$D$7,'Exported CF'!$E$9:$E$1544,$C36),NA()))</x:f>
        <x:v>2.4202600958247777</x:v>
      </x:c>
    </x:row>
    <x:row r="37" ht="20" customHeight="1">
      <x:c r="A37" s="2"/>
      <x:c r="B37" s="2"/>
      <x:c r="C37" s="2" t="n">
        <x:v>30</x:v>
      </x:c>
      <x:c r="D37" s="2" t="str">
        <x:v>2029-03</x:v>
      </x:c>
      <x:c r="E37" s="58" t="n">
        <x:f>IF(C37&gt;Controls!$D$12,0,IF(S37=1,SUMIFS('Exported CF'!$G$9:$G$1544,'Exported CF'!$C$9:$C$1544,Controls!$D$5,'Exported CF'!$D$9:$D$1544,Controls!$D$7,'Exported CF'!$E$9:$E$1544,$C37),NA()))</x:f>
        <x:v>14110000</x:v>
      </x:c>
      <x:c r="F37" s="58" t="n">
        <x:f>IF(C37&gt;Controls!$D$12,0,IF(S37=1,SUMIFS('Exported CF'!$H$9:$H$1544,'Exported CF'!$C$9:$C$1544,Controls!$D$5,'Exported CF'!$D$9:$D$1544,Controls!$D$7,'Exported CF'!$E$9:$E$1544,$C37),NA()))</x:f>
        <x:v>67492.83</x:v>
      </x:c>
      <x:c r="G37" s="58" t="n">
        <x:f>IF(C37&gt;Controls!$D$12,0,IF(S37=1,SUMIFS('Exported CF'!$I$9:$I$1544,'Exported CF'!$C$9:$C$1544,Controls!$D$5,'Exported CF'!$D$9:$D$1544,Controls!$D$7,'Exported CF'!$E$9:$E$1544,$C37),NA()))</x:f>
        <x:v>0</x:v>
      </x:c>
      <x:c r="H37" s="58" t="n">
        <x:f>IF(C37&gt;Controls!$D$12,0,IF(S37=1,SUMIFS('Exported CF'!$J$9:$J$1544,'Exported CF'!$C$9:$C$1544,Controls!$D$5,'Exported CF'!$D$9:$D$1544,Controls!$D$7,'Exported CF'!$E$9:$E$1544,$C37),NA()))</x:f>
        <x:v>0</x:v>
      </x:c>
      <x:c r="I37" s="58" t="n">
        <x:f>IF(C37&gt;Controls!$D$12,0,IF(S37=1,SUMIFS('Exported CF'!$K$9:$K$1544,'Exported CF'!$C$9:$C$1544,Controls!$D$5,'Exported CF'!$D$9:$D$1544,Controls!$D$7,'Exported CF'!$E$9:$E$1544,$C37),NA()))</x:f>
        <x:v>14110000</x:v>
      </x:c>
      <x:c r="J37" s="58" t="n">
        <x:f>IF(C37&gt;Controls!$D$12,0,IF(S37=1,SUMIFS('Exported CF'!$L$9:$L$1544,'Exported CF'!$C$9:$C$1544,Controls!$D$5,'Exported CF'!$D$9:$D$1544,Controls!$D$7,'Exported CF'!$E$9:$E$1544,$C37),NA()))</x:f>
        <x:v>0</x:v>
      </x:c>
      <x:c r="K37" s="59" t="n">
        <x:f>F37+G37</x:f>
        <x:v>67492.83</x:v>
      </x:c>
      <x:c r="L37" s="61" t="n">
        <x:f>1/(1+Controls!$D$9)^T37</x:f>
        <x:v>0.8251702448746633</x:v>
      </x:c>
      <x:c r="M37" s="59" t="n">
        <x:f>K37*L37</x:f>
        <x:v>55693.07505838402</x:v>
      </x:c>
      <x:c r="N37" s="59" t="n">
        <x:f>G37*T37</x:f>
        <x:v>0</x:v>
      </x:c>
      <x:c r="O37" s="59" t="n">
        <x:f>E37-G37-H37</x:f>
        <x:v>14110000</x:v>
      </x:c>
      <x:c r="P37" s="60" t="n">
        <x:f>O37-I37</x:f>
        <x:v>0</x:v>
      </x:c>
      <x:c r="Q37" s="59" t="n">
        <x:f>K37/(1+MAX(0,Controls!$D$9-Controls!$D$11))^T37</x:f>
        <x:v>57001.816914768446</x:v>
      </x:c>
      <x:c r="R37" s="59" t="n">
        <x:f>K37/(1+Controls!$D$9+Controls!$D$11)^T37</x:f>
        <x:v>54426.03172674583</x:v>
      </x:c>
      <x:c r="S37" s="2" t="n">
        <x:f>COUNTIFS('Exported CF'!$C$9:$C$1544,Controls!$D$5,'Exported CF'!$D$9:$D$1544,Controls!$D$7,'Exported CF'!$E$9:$E$1544,$C37)</x:f>
        <x:v>1</x:v>
      </x:c>
      <x:c r="T37" s="62" t="n">
        <x:f>IF(C37&gt;Controls!$D$12,0,IF(S37=1,SUMIFS('Exported CF'!$M$9:$M$1544,'Exported CF'!$C$9:$C$1544,Controls!$D$5,'Exported CF'!$D$9:$D$1544,Controls!$D$7,'Exported CF'!$E$9:$E$1544,$C37),NA()))</x:f>
        <x:v>2.4969199178644765</x:v>
      </x:c>
    </x:row>
    <x:row r="38" ht="20" customHeight="1">
      <x:c r="A38" s="2"/>
      <x:c r="B38" s="2"/>
      <x:c r="C38" s="2" t="n">
        <x:v>31</x:v>
      </x:c>
      <x:c r="D38" s="2" t="str">
        <x:v>2029-04</x:v>
      </x:c>
      <x:c r="E38" s="58" t="n">
        <x:f>IF(C38&gt;Controls!$D$12,0,IF(S38=1,SUMIFS('Exported CF'!$G$9:$G$1544,'Exported CF'!$C$9:$C$1544,Controls!$D$5,'Exported CF'!$D$9:$D$1544,Controls!$D$7,'Exported CF'!$E$9:$E$1544,$C38),NA()))</x:f>
        <x:v>14110000</x:v>
      </x:c>
      <x:c r="F38" s="58" t="n">
        <x:f>IF(C38&gt;Controls!$D$12,0,IF(S38=1,SUMIFS('Exported CF'!$H$9:$H$1544,'Exported CF'!$C$9:$C$1544,Controls!$D$5,'Exported CF'!$D$9:$D$1544,Controls!$D$7,'Exported CF'!$E$9:$E$1544,$C38),NA()))</x:f>
        <x:v>67492.83</x:v>
      </x:c>
      <x:c r="G38" s="58" t="n">
        <x:f>IF(C38&gt;Controls!$D$12,0,IF(S38=1,SUMIFS('Exported CF'!$I$9:$I$1544,'Exported CF'!$C$9:$C$1544,Controls!$D$5,'Exported CF'!$D$9:$D$1544,Controls!$D$7,'Exported CF'!$E$9:$E$1544,$C38),NA()))</x:f>
        <x:v>0</x:v>
      </x:c>
      <x:c r="H38" s="58" t="n">
        <x:f>IF(C38&gt;Controls!$D$12,0,IF(S38=1,SUMIFS('Exported CF'!$J$9:$J$1544,'Exported CF'!$C$9:$C$1544,Controls!$D$5,'Exported CF'!$D$9:$D$1544,Controls!$D$7,'Exported CF'!$E$9:$E$1544,$C38),NA()))</x:f>
        <x:v>0</x:v>
      </x:c>
      <x:c r="I38" s="58" t="n">
        <x:f>IF(C38&gt;Controls!$D$12,0,IF(S38=1,SUMIFS('Exported CF'!$K$9:$K$1544,'Exported CF'!$C$9:$C$1544,Controls!$D$5,'Exported CF'!$D$9:$D$1544,Controls!$D$7,'Exported CF'!$E$9:$E$1544,$C38),NA()))</x:f>
        <x:v>14110000</x:v>
      </x:c>
      <x:c r="J38" s="58" t="n">
        <x:f>IF(C38&gt;Controls!$D$12,0,IF(S38=1,SUMIFS('Exported CF'!$L$9:$L$1544,'Exported CF'!$C$9:$C$1544,Controls!$D$5,'Exported CF'!$D$9:$D$1544,Controls!$D$7,'Exported CF'!$E$9:$E$1544,$C38),NA()))</x:f>
        <x:v>0</x:v>
      </x:c>
      <x:c r="K38" s="59" t="n">
        <x:f>F38+G38</x:f>
        <x:v>67492.83</x:v>
      </x:c>
      <x:c r="L38" s="61" t="n">
        <x:f>1/(1+Controls!$D$9)^T38</x:f>
        <x:v>0.8196251252225379</x:v>
      </x:c>
      <x:c r="M38" s="59" t="n">
        <x:f>K38*L38</x:f>
        <x:v>55318.819240373465</x:v>
      </x:c>
      <x:c r="N38" s="59" t="n">
        <x:f>G38*T38</x:f>
        <x:v>0</x:v>
      </x:c>
      <x:c r="O38" s="59" t="n">
        <x:f>E38-G38-H38</x:f>
        <x:v>14110000</x:v>
      </x:c>
      <x:c r="P38" s="60" t="n">
        <x:f>O38-I38</x:f>
        <x:v>0</x:v>
      </x:c>
      <x:c r="Q38" s="59" t="n">
        <x:f>K38/(1+MAX(0,Controls!$D$9-Controls!$D$11))^T38</x:f>
        <x:v>56664.929154738005</x:v>
      </x:c>
      <x:c r="R38" s="59" t="n">
        <x:f>K38/(1+Controls!$D$9+Controls!$D$11)^T38</x:f>
        <x:v>54016.65528661477</x:v>
      </x:c>
      <x:c r="S38" s="2" t="n">
        <x:f>COUNTIFS('Exported CF'!$C$9:$C$1544,Controls!$D$5,'Exported CF'!$D$9:$D$1544,Controls!$D$7,'Exported CF'!$E$9:$E$1544,$C38)</x:f>
        <x:v>1</x:v>
      </x:c>
      <x:c r="T38" s="62" t="n">
        <x:f>IF(C38&gt;Controls!$D$12,0,IF(S38=1,SUMIFS('Exported CF'!$M$9:$M$1544,'Exported CF'!$C$9:$C$1544,Controls!$D$5,'Exported CF'!$D$9:$D$1544,Controls!$D$7,'Exported CF'!$E$9:$E$1544,$C38),NA()))</x:f>
        <x:v>2.5845311430527036</x:v>
      </x:c>
    </x:row>
    <x:row r="39" ht="20" customHeight="1">
      <x:c r="A39" s="2"/>
      <x:c r="B39" s="2"/>
      <x:c r="C39" s="2" t="n">
        <x:v>32</x:v>
      </x:c>
      <x:c r="D39" s="2" t="str">
        <x:v>2029-05</x:v>
      </x:c>
      <x:c r="E39" s="58" t="n">
        <x:f>IF(C39&gt;Controls!$D$12,0,IF(S39=1,SUMIFS('Exported CF'!$G$9:$G$1544,'Exported CF'!$C$9:$C$1544,Controls!$D$5,'Exported CF'!$D$9:$D$1544,Controls!$D$7,'Exported CF'!$E$9:$E$1544,$C39),NA()))</x:f>
        <x:v>14110000</x:v>
      </x:c>
      <x:c r="F39" s="58" t="n">
        <x:f>IF(C39&gt;Controls!$D$12,0,IF(S39=1,SUMIFS('Exported CF'!$H$9:$H$1544,'Exported CF'!$C$9:$C$1544,Controls!$D$5,'Exported CF'!$D$9:$D$1544,Controls!$D$7,'Exported CF'!$E$9:$E$1544,$C39),NA()))</x:f>
        <x:v>67492.83</x:v>
      </x:c>
      <x:c r="G39" s="58" t="n">
        <x:f>IF(C39&gt;Controls!$D$12,0,IF(S39=1,SUMIFS('Exported CF'!$I$9:$I$1544,'Exported CF'!$C$9:$C$1544,Controls!$D$5,'Exported CF'!$D$9:$D$1544,Controls!$D$7,'Exported CF'!$E$9:$E$1544,$C39),NA()))</x:f>
        <x:v>0</x:v>
      </x:c>
      <x:c r="H39" s="58" t="n">
        <x:f>IF(C39&gt;Controls!$D$12,0,IF(S39=1,SUMIFS('Exported CF'!$J$9:$J$1544,'Exported CF'!$C$9:$C$1544,Controls!$D$5,'Exported CF'!$D$9:$D$1544,Controls!$D$7,'Exported CF'!$E$9:$E$1544,$C39),NA()))</x:f>
        <x:v>0</x:v>
      </x:c>
      <x:c r="I39" s="58" t="n">
        <x:f>IF(C39&gt;Controls!$D$12,0,IF(S39=1,SUMIFS('Exported CF'!$K$9:$K$1544,'Exported CF'!$C$9:$C$1544,Controls!$D$5,'Exported CF'!$D$9:$D$1544,Controls!$D$7,'Exported CF'!$E$9:$E$1544,$C39),NA()))</x:f>
        <x:v>14110000</x:v>
      </x:c>
      <x:c r="J39" s="58" t="n">
        <x:f>IF(C39&gt;Controls!$D$12,0,IF(S39=1,SUMIFS('Exported CF'!$L$9:$L$1544,'Exported CF'!$C$9:$C$1544,Controls!$D$5,'Exported CF'!$D$9:$D$1544,Controls!$D$7,'Exported CF'!$E$9:$E$1544,$C39),NA()))</x:f>
        <x:v>0</x:v>
      </x:c>
      <x:c r="K39" s="59" t="n">
        <x:f>F39+G39</x:f>
        <x:v>67492.83</x:v>
      </x:c>
      <x:c r="L39" s="61" t="n">
        <x:f>1/(1+Controls!$D$9)^T39</x:f>
        <x:v>0.8146320539881411</x:v>
      </x:c>
      <x:c r="M39" s="59" t="n">
        <x:f>K39*L39</x:f>
        <x:v>54981.82273237243</x:v>
      </x:c>
      <x:c r="N39" s="59" t="n">
        <x:f>G39*T39</x:f>
        <x:v>0</x:v>
      </x:c>
      <x:c r="O39" s="59" t="n">
        <x:f>E39-G39-H39</x:f>
        <x:v>14110000</x:v>
      </x:c>
      <x:c r="P39" s="60" t="n">
        <x:f>O39-I39</x:f>
        <x:v>0</x:v>
      </x:c>
      <x:c r="Q39" s="59" t="n">
        <x:f>K39/(1+MAX(0,Controls!$D$9-Controls!$D$11))^T39</x:f>
        <x:v>56361.34474709692</x:v>
      </x:c>
      <x:c r="R39" s="59" t="n">
        <x:f>K39/(1+Controls!$D$9+Controls!$D$11)^T39</x:f>
        <x:v>53648.31824022305</x:v>
      </x:c>
      <x:c r="S39" s="2" t="n">
        <x:f>COUNTIFS('Exported CF'!$C$9:$C$1544,Controls!$D$5,'Exported CF'!$D$9:$D$1544,Controls!$D$7,'Exported CF'!$E$9:$E$1544,$C39)</x:f>
        <x:v>1</x:v>
      </x:c>
      <x:c r="T39" s="62" t="n">
        <x:f>IF(C39&gt;Controls!$D$12,0,IF(S39=1,SUMIFS('Exported CF'!$M$9:$M$1544,'Exported CF'!$C$9:$C$1544,Controls!$D$5,'Exported CF'!$D$9:$D$1544,Controls!$D$7,'Exported CF'!$E$9:$E$1544,$C39),NA()))</x:f>
        <x:v>2.6639288158795345</x:v>
      </x:c>
    </x:row>
    <x:row r="40" ht="20" customHeight="1">
      <x:c r="A40" s="2"/>
      <x:c r="B40" s="2"/>
      <x:c r="C40" s="2" t="n">
        <x:v>33</x:v>
      </x:c>
      <x:c r="D40" s="2" t="str">
        <x:v>2029-06</x:v>
      </x:c>
      <x:c r="E40" s="58" t="n">
        <x:f>IF(C40&gt;Controls!$D$12,0,IF(S40=1,SUMIFS('Exported CF'!$G$9:$G$1544,'Exported CF'!$C$9:$C$1544,Controls!$D$5,'Exported CF'!$D$9:$D$1544,Controls!$D$7,'Exported CF'!$E$9:$E$1544,$C40),NA()))</x:f>
        <x:v>14110000</x:v>
      </x:c>
      <x:c r="F40" s="58" t="n">
        <x:f>IF(C40&gt;Controls!$D$12,0,IF(S40=1,SUMIFS('Exported CF'!$H$9:$H$1544,'Exported CF'!$C$9:$C$1544,Controls!$D$5,'Exported CF'!$D$9:$D$1544,Controls!$D$7,'Exported CF'!$E$9:$E$1544,$C40),NA()))</x:f>
        <x:v>67492.83</x:v>
      </x:c>
      <x:c r="G40" s="58" t="n">
        <x:f>IF(C40&gt;Controls!$D$12,0,IF(S40=1,SUMIFS('Exported CF'!$I$9:$I$1544,'Exported CF'!$C$9:$C$1544,Controls!$D$5,'Exported CF'!$D$9:$D$1544,Controls!$D$7,'Exported CF'!$E$9:$E$1544,$C40),NA()))</x:f>
        <x:v>0</x:v>
      </x:c>
      <x:c r="H40" s="58" t="n">
        <x:f>IF(C40&gt;Controls!$D$12,0,IF(S40=1,SUMIFS('Exported CF'!$J$9:$J$1544,'Exported CF'!$C$9:$C$1544,Controls!$D$5,'Exported CF'!$D$9:$D$1544,Controls!$D$7,'Exported CF'!$E$9:$E$1544,$C40),NA()))</x:f>
        <x:v>0</x:v>
      </x:c>
      <x:c r="I40" s="58" t="n">
        <x:f>IF(C40&gt;Controls!$D$12,0,IF(S40=1,SUMIFS('Exported CF'!$K$9:$K$1544,'Exported CF'!$C$9:$C$1544,Controls!$D$5,'Exported CF'!$D$9:$D$1544,Controls!$D$7,'Exported CF'!$E$9:$E$1544,$C40),NA()))</x:f>
        <x:v>14110000</x:v>
      </x:c>
      <x:c r="J40" s="58" t="n">
        <x:f>IF(C40&gt;Controls!$D$12,0,IF(S40=1,SUMIFS('Exported CF'!$L$9:$L$1544,'Exported CF'!$C$9:$C$1544,Controls!$D$5,'Exported CF'!$D$9:$D$1544,Controls!$D$7,'Exported CF'!$E$9:$E$1544,$C40),NA()))</x:f>
        <x:v>0</x:v>
      </x:c>
      <x:c r="K40" s="59" t="n">
        <x:f>F40+G40</x:f>
        <x:v>67492.83</x:v>
      </x:c>
      <x:c r="L40" s="61" t="n">
        <x:f>1/(1+Controls!$D$9)^T40</x:f>
        <x:v>0.8093282645184882</x:v>
      </x:c>
      <x:c r="M40" s="59" t="n">
        <x:f>K40*L40</x:f>
        <x:v>54623.85497134135</x:v>
      </x:c>
      <x:c r="N40" s="59" t="n">
        <x:f>G40*T40</x:f>
        <x:v>0</x:v>
      </x:c>
      <x:c r="O40" s="59" t="n">
        <x:f>E40-G40-H40</x:f>
        <x:v>14110000</x:v>
      </x:c>
      <x:c r="P40" s="60" t="n">
        <x:f>O40-I40</x:f>
        <x:v>0</x:v>
      </x:c>
      <x:c r="Q40" s="59" t="n">
        <x:f>K40/(1+MAX(0,Controls!$D$9-Controls!$D$11))^T40</x:f>
        <x:v>56038.621849280054</x:v>
      </x:c>
      <x:c r="R40" s="59" t="n">
        <x:f>K40/(1+Controls!$D$9+Controls!$D$11)^T40</x:f>
        <x:v>53257.35567723388</x:v>
      </x:c>
      <x:c r="S40" s="2" t="n">
        <x:f>COUNTIFS('Exported CF'!$C$9:$C$1544,Controls!$D$5,'Exported CF'!$D$9:$D$1544,Controls!$D$7,'Exported CF'!$E$9:$E$1544,$C40)</x:f>
        <x:v>1</x:v>
      </x:c>
      <x:c r="T40" s="62" t="n">
        <x:f>IF(C40&gt;Controls!$D$12,0,IF(S40=1,SUMIFS('Exported CF'!$M$9:$M$1544,'Exported CF'!$C$9:$C$1544,Controls!$D$5,'Exported CF'!$D$9:$D$1544,Controls!$D$7,'Exported CF'!$E$9:$E$1544,$C40),NA()))</x:f>
        <x:v>2.74880219028063</x:v>
      </x:c>
    </x:row>
    <x:row r="41" ht="20" customHeight="1">
      <x:c r="A41" s="2"/>
      <x:c r="B41" s="2"/>
      <x:c r="C41" s="2" t="n">
        <x:v>34</x:v>
      </x:c>
      <x:c r="D41" s="2" t="str">
        <x:v>2029-07</x:v>
      </x:c>
      <x:c r="E41" s="58" t="n">
        <x:f>IF(C41&gt;Controls!$D$12,0,IF(S41=1,SUMIFS('Exported CF'!$G$9:$G$1544,'Exported CF'!$C$9:$C$1544,Controls!$D$5,'Exported CF'!$D$9:$D$1544,Controls!$D$7,'Exported CF'!$E$9:$E$1544,$C41),NA()))</x:f>
        <x:v>14110000</x:v>
      </x:c>
      <x:c r="F41" s="58" t="n">
        <x:f>IF(C41&gt;Controls!$D$12,0,IF(S41=1,SUMIFS('Exported CF'!$H$9:$H$1544,'Exported CF'!$C$9:$C$1544,Controls!$D$5,'Exported CF'!$D$9:$D$1544,Controls!$D$7,'Exported CF'!$E$9:$E$1544,$C41),NA()))</x:f>
        <x:v>67492.83</x:v>
      </x:c>
      <x:c r="G41" s="58" t="n">
        <x:f>IF(C41&gt;Controls!$D$12,0,IF(S41=1,SUMIFS('Exported CF'!$I$9:$I$1544,'Exported CF'!$C$9:$C$1544,Controls!$D$5,'Exported CF'!$D$9:$D$1544,Controls!$D$7,'Exported CF'!$E$9:$E$1544,$C41),NA()))</x:f>
        <x:v>0</x:v>
      </x:c>
      <x:c r="H41" s="58" t="n">
        <x:f>IF(C41&gt;Controls!$D$12,0,IF(S41=1,SUMIFS('Exported CF'!$J$9:$J$1544,'Exported CF'!$C$9:$C$1544,Controls!$D$5,'Exported CF'!$D$9:$D$1544,Controls!$D$7,'Exported CF'!$E$9:$E$1544,$C41),NA()))</x:f>
        <x:v>0</x:v>
      </x:c>
      <x:c r="I41" s="58" t="n">
        <x:f>IF(C41&gt;Controls!$D$12,0,IF(S41=1,SUMIFS('Exported CF'!$K$9:$K$1544,'Exported CF'!$C$9:$C$1544,Controls!$D$5,'Exported CF'!$D$9:$D$1544,Controls!$D$7,'Exported CF'!$E$9:$E$1544,$C41),NA()))</x:f>
        <x:v>14110000</x:v>
      </x:c>
      <x:c r="J41" s="58" t="n">
        <x:f>IF(C41&gt;Controls!$D$12,0,IF(S41=1,SUMIFS('Exported CF'!$L$9:$L$1544,'Exported CF'!$C$9:$C$1544,Controls!$D$5,'Exported CF'!$D$9:$D$1544,Controls!$D$7,'Exported CF'!$E$9:$E$1544,$C41),NA()))</x:f>
        <x:v>0</x:v>
      </x:c>
      <x:c r="K41" s="59" t="n">
        <x:f>F41+G41</x:f>
        <x:v>67492.83</x:v>
      </x:c>
      <x:c r="L41" s="61" t="n">
        <x:f>1/(1+Controls!$D$9)^T41</x:f>
        <x:v>0.80405900620017</x:v>
      </x:c>
      <x:c r="M41" s="59" t="n">
        <x:f>K41*L41</x:f>
        <x:v>54268.21781543702</x:v>
      </x:c>
      <x:c r="N41" s="59" t="n">
        <x:f>G41*T41</x:f>
        <x:v>0</x:v>
      </x:c>
      <x:c r="O41" s="59" t="n">
        <x:f>E41-G41-H41</x:f>
        <x:v>14110000</x:v>
      </x:c>
      <x:c r="P41" s="60" t="n">
        <x:f>O41-I41</x:f>
        <x:v>0</x:v>
      </x:c>
      <x:c r="Q41" s="59" t="n">
        <x:f>K41/(1+MAX(0,Controls!$D$9-Controls!$D$11))^T41</x:f>
        <x:v>55717.746850395386</x:v>
      </x:c>
      <x:c r="R41" s="59" t="n">
        <x:f>K41/(1+Controls!$D$9+Controls!$D$11)^T41</x:f>
        <x:v>52869.24225715677</x:v>
      </x:c>
      <x:c r="S41" s="2" t="n">
        <x:f>COUNTIFS('Exported CF'!$C$9:$C$1544,Controls!$D$5,'Exported CF'!$D$9:$D$1544,Controls!$D$7,'Exported CF'!$E$9:$E$1544,$C41)</x:f>
        <x:v>1</x:v>
      </x:c>
      <x:c r="T41" s="62" t="n">
        <x:f>IF(C41&gt;Controls!$D$12,0,IF(S41=1,SUMIFS('Exported CF'!$M$9:$M$1544,'Exported CF'!$C$9:$C$1544,Controls!$D$5,'Exported CF'!$D$9:$D$1544,Controls!$D$7,'Exported CF'!$E$9:$E$1544,$C41),NA()))</x:f>
        <x:v>2.833675564681725</x:v>
      </x:c>
    </x:row>
    <x:row r="42" ht="20" customHeight="1">
      <x:c r="A42" s="2"/>
      <x:c r="B42" s="2"/>
      <x:c r="C42" s="2" t="n">
        <x:v>35</x:v>
      </x:c>
      <x:c r="D42" s="2" t="str">
        <x:v>2029-08</x:v>
      </x:c>
      <x:c r="E42" s="58" t="n">
        <x:f>IF(C42&gt;Controls!$D$12,0,IF(S42=1,SUMIFS('Exported CF'!$G$9:$G$1544,'Exported CF'!$C$9:$C$1544,Controls!$D$5,'Exported CF'!$D$9:$D$1544,Controls!$D$7,'Exported CF'!$E$9:$E$1544,$C42),NA()))</x:f>
        <x:v>14110000</x:v>
      </x:c>
      <x:c r="F42" s="58" t="n">
        <x:f>IF(C42&gt;Controls!$D$12,0,IF(S42=1,SUMIFS('Exported CF'!$H$9:$H$1544,'Exported CF'!$C$9:$C$1544,Controls!$D$5,'Exported CF'!$D$9:$D$1544,Controls!$D$7,'Exported CF'!$E$9:$E$1544,$C42),NA()))</x:f>
        <x:v>67492.83</x:v>
      </x:c>
      <x:c r="G42" s="58" t="n">
        <x:f>IF(C42&gt;Controls!$D$12,0,IF(S42=1,SUMIFS('Exported CF'!$I$9:$I$1544,'Exported CF'!$C$9:$C$1544,Controls!$D$5,'Exported CF'!$D$9:$D$1544,Controls!$D$7,'Exported CF'!$E$9:$E$1544,$C42),NA()))</x:f>
        <x:v>0</x:v>
      </x:c>
      <x:c r="H42" s="58" t="n">
        <x:f>IF(C42&gt;Controls!$D$12,0,IF(S42=1,SUMIFS('Exported CF'!$J$9:$J$1544,'Exported CF'!$C$9:$C$1544,Controls!$D$5,'Exported CF'!$D$9:$D$1544,Controls!$D$7,'Exported CF'!$E$9:$E$1544,$C42),NA()))</x:f>
        <x:v>0</x:v>
      </x:c>
      <x:c r="I42" s="58" t="n">
        <x:f>IF(C42&gt;Controls!$D$12,0,IF(S42=1,SUMIFS('Exported CF'!$K$9:$K$1544,'Exported CF'!$C$9:$C$1544,Controls!$D$5,'Exported CF'!$D$9:$D$1544,Controls!$D$7,'Exported CF'!$E$9:$E$1544,$C42),NA()))</x:f>
        <x:v>14110000</x:v>
      </x:c>
      <x:c r="J42" s="58" t="n">
        <x:f>IF(C42&gt;Controls!$D$12,0,IF(S42=1,SUMIFS('Exported CF'!$L$9:$L$1544,'Exported CF'!$C$9:$C$1544,Controls!$D$5,'Exported CF'!$D$9:$D$1544,Controls!$D$7,'Exported CF'!$E$9:$E$1544,$C42),NA()))</x:f>
        <x:v>0</x:v>
      </x:c>
      <x:c r="K42" s="59" t="n">
        <x:f>F42+G42</x:f>
        <x:v>67492.83</x:v>
      </x:c>
      <x:c r="L42" s="61" t="n">
        <x:f>1/(1+Controls!$D$9)^T42</x:f>
        <x:v>0.798992390443619</x:v>
      </x:c>
      <x:c r="M42" s="59" t="n">
        <x:f>K42*L42</x:f>
        <x:v>53926.2575795048</x:v>
      </x:c>
      <x:c r="N42" s="59" t="n">
        <x:f>G42*T42</x:f>
        <x:v>0</x:v>
      </x:c>
      <x:c r="O42" s="59" t="n">
        <x:f>E42-G42-H42</x:f>
        <x:v>14110000</x:v>
      </x:c>
      <x:c r="P42" s="60" t="n">
        <x:f>O42-I42</x:f>
        <x:v>0</x:v>
      </x:c>
      <x:c r="Q42" s="59" t="n">
        <x:f>K42/(1+MAX(0,Controls!$D$9-Controls!$D$11))^T42</x:f>
        <x:v>55408.97213718755</x:v>
      </x:c>
      <x:c r="R42" s="59" t="n">
        <x:f>K42/(1+Controls!$D$9+Controls!$D$11)^T42</x:f>
        <x:v>52496.341830501944</x:v>
      </x:c>
      <x:c r="S42" s="2" t="n">
        <x:f>COUNTIFS('Exported CF'!$C$9:$C$1544,Controls!$D$5,'Exported CF'!$D$9:$D$1544,Controls!$D$7,'Exported CF'!$E$9:$E$1544,$C42)</x:f>
        <x:v>1</x:v>
      </x:c>
      <x:c r="T42" s="62" t="n">
        <x:f>IF(C42&gt;Controls!$D$12,0,IF(S42=1,SUMIFS('Exported CF'!$M$9:$M$1544,'Exported CF'!$C$9:$C$1544,Controls!$D$5,'Exported CF'!$D$9:$D$1544,Controls!$D$7,'Exported CF'!$E$9:$E$1544,$C42),NA()))</x:f>
        <x:v>2.915811088295688</x:v>
      </x:c>
    </x:row>
    <x:row r="43" ht="20" customHeight="1">
      <x:c r="A43" s="2"/>
      <x:c r="B43" s="2"/>
      <x:c r="C43" s="2" t="n">
        <x:v>36</x:v>
      </x:c>
      <x:c r="D43" s="2" t="str">
        <x:v>2029-09</x:v>
      </x:c>
      <x:c r="E43" s="58" t="n">
        <x:f>IF(C43&gt;Controls!$D$12,0,IF(S43=1,SUMIFS('Exported CF'!$G$9:$G$1544,'Exported CF'!$C$9:$C$1544,Controls!$D$5,'Exported CF'!$D$9:$D$1544,Controls!$D$7,'Exported CF'!$E$9:$E$1544,$C43),NA()))</x:f>
        <x:v>14110000</x:v>
      </x:c>
      <x:c r="F43" s="58" t="n">
        <x:f>IF(C43&gt;Controls!$D$12,0,IF(S43=1,SUMIFS('Exported CF'!$H$9:$H$1544,'Exported CF'!$C$9:$C$1544,Controls!$D$5,'Exported CF'!$D$9:$D$1544,Controls!$D$7,'Exported CF'!$E$9:$E$1544,$C43),NA()))</x:f>
        <x:v>67492.83</x:v>
      </x:c>
      <x:c r="G43" s="58" t="n">
        <x:f>IF(C43&gt;Controls!$D$12,0,IF(S43=1,SUMIFS('Exported CF'!$I$9:$I$1544,'Exported CF'!$C$9:$C$1544,Controls!$D$5,'Exported CF'!$D$9:$D$1544,Controls!$D$7,'Exported CF'!$E$9:$E$1544,$C43),NA()))</x:f>
        <x:v>0</x:v>
      </x:c>
      <x:c r="H43" s="58" t="n">
        <x:f>IF(C43&gt;Controls!$D$12,0,IF(S43=1,SUMIFS('Exported CF'!$J$9:$J$1544,'Exported CF'!$C$9:$C$1544,Controls!$D$5,'Exported CF'!$D$9:$D$1544,Controls!$D$7,'Exported CF'!$E$9:$E$1544,$C43),NA()))</x:f>
        <x:v>0</x:v>
      </x:c>
      <x:c r="I43" s="58" t="n">
        <x:f>IF(C43&gt;Controls!$D$12,0,IF(S43=1,SUMIFS('Exported CF'!$K$9:$K$1544,'Exported CF'!$C$9:$C$1544,Controls!$D$5,'Exported CF'!$D$9:$D$1544,Controls!$D$7,'Exported CF'!$E$9:$E$1544,$C43),NA()))</x:f>
        <x:v>14110000</x:v>
      </x:c>
      <x:c r="J43" s="58" t="n">
        <x:f>IF(C43&gt;Controls!$D$12,0,IF(S43=1,SUMIFS('Exported CF'!$L$9:$L$1544,'Exported CF'!$C$9:$C$1544,Controls!$D$5,'Exported CF'!$D$9:$D$1544,Controls!$D$7,'Exported CF'!$E$9:$E$1544,$C43),NA()))</x:f>
        <x:v>0</x:v>
      </x:c>
      <x:c r="K43" s="59" t="n">
        <x:f>F43+G43</x:f>
        <x:v>67492.83</x:v>
      </x:c>
      <x:c r="L43" s="61" t="n">
        <x:f>1/(1+Controls!$D$9)^T43</x:f>
        <x:v>0.7934559801830068</x:v>
      </x:c>
      <x:c r="M43" s="59" t="n">
        <x:f>K43*L43</x:f>
        <x:v>53552.589582975044</x:v>
      </x:c>
      <x:c r="N43" s="59" t="n">
        <x:f>G43*T43</x:f>
        <x:v>0</x:v>
      </x:c>
      <x:c r="O43" s="59" t="n">
        <x:f>E43-G43-H43</x:f>
        <x:v>14110000</x:v>
      </x:c>
      <x:c r="P43" s="60" t="n">
        <x:f>O43-I43</x:f>
        <x:v>0</x:v>
      </x:c>
      <x:c r="Q43" s="59" t="n">
        <x:f>K43/(1+MAX(0,Controls!$D$9-Controls!$D$11))^T43</x:f>
        <x:v>55071.295973676075</x:v>
      </x:c>
      <x:c r="R43" s="59" t="n">
        <x:f>K43/(1+Controls!$D$9+Controls!$D$11)^T43</x:f>
        <x:v>52089.188484161925</x:v>
      </x:c>
      <x:c r="S43" s="2" t="n">
        <x:f>COUNTIFS('Exported CF'!$C$9:$C$1544,Controls!$D$5,'Exported CF'!$D$9:$D$1544,Controls!$D$7,'Exported CF'!$E$9:$E$1544,$C43)</x:f>
        <x:v>1</x:v>
      </x:c>
      <x:c r="T43" s="62" t="n">
        <x:f>IF(C43&gt;Controls!$D$12,0,IF(S43=1,SUMIFS('Exported CF'!$M$9:$M$1544,'Exported CF'!$C$9:$C$1544,Controls!$D$5,'Exported CF'!$D$9:$D$1544,Controls!$D$7,'Exported CF'!$E$9:$E$1544,$C43),NA()))</x:f>
        <x:v>3.0061601642710474</x:v>
      </x:c>
    </x:row>
    <x:row r="44" ht="20" customHeight="1">
      <x:c r="A44" s="2"/>
      <x:c r="B44" s="2"/>
      <x:c r="C44" s="2" t="n">
        <x:v>37</x:v>
      </x:c>
      <x:c r="D44" s="2" t="str">
        <x:v>2029-10</x:v>
      </x:c>
      <x:c r="E44" s="58" t="n">
        <x:f>IF(C44&gt;Controls!$D$12,0,IF(S44=1,SUMIFS('Exported CF'!$G$9:$G$1544,'Exported CF'!$C$9:$C$1544,Controls!$D$5,'Exported CF'!$D$9:$D$1544,Controls!$D$7,'Exported CF'!$E$9:$E$1544,$C44),NA()))</x:f>
        <x:v>14110000</x:v>
      </x:c>
      <x:c r="F44" s="58" t="n">
        <x:f>IF(C44&gt;Controls!$D$12,0,IF(S44=1,SUMIFS('Exported CF'!$H$9:$H$1544,'Exported CF'!$C$9:$C$1544,Controls!$D$5,'Exported CF'!$D$9:$D$1544,Controls!$D$7,'Exported CF'!$E$9:$E$1544,$C44),NA()))</x:f>
        <x:v>67492.83</x:v>
      </x:c>
      <x:c r="G44" s="58" t="n">
        <x:f>IF(C44&gt;Controls!$D$12,0,IF(S44=1,SUMIFS('Exported CF'!$I$9:$I$1544,'Exported CF'!$C$9:$C$1544,Controls!$D$5,'Exported CF'!$D$9:$D$1544,Controls!$D$7,'Exported CF'!$E$9:$E$1544,$C44),NA()))</x:f>
        <x:v>0</x:v>
      </x:c>
      <x:c r="H44" s="58" t="n">
        <x:f>IF(C44&gt;Controls!$D$12,0,IF(S44=1,SUMIFS('Exported CF'!$J$9:$J$1544,'Exported CF'!$C$9:$C$1544,Controls!$D$5,'Exported CF'!$D$9:$D$1544,Controls!$D$7,'Exported CF'!$E$9:$E$1544,$C44),NA()))</x:f>
        <x:v>0</x:v>
      </x:c>
      <x:c r="I44" s="58" t="n">
        <x:f>IF(C44&gt;Controls!$D$12,0,IF(S44=1,SUMIFS('Exported CF'!$K$9:$K$1544,'Exported CF'!$C$9:$C$1544,Controls!$D$5,'Exported CF'!$D$9:$D$1544,Controls!$D$7,'Exported CF'!$E$9:$E$1544,$C44),NA()))</x:f>
        <x:v>14110000</x:v>
      </x:c>
      <x:c r="J44" s="58" t="n">
        <x:f>IF(C44&gt;Controls!$D$12,0,IF(S44=1,SUMIFS('Exported CF'!$L$9:$L$1544,'Exported CF'!$C$9:$C$1544,Controls!$D$5,'Exported CF'!$D$9:$D$1544,Controls!$D$7,'Exported CF'!$E$9:$E$1544,$C44),NA()))</x:f>
        <x:v>0</x:v>
      </x:c>
      <x:c r="K44" s="59" t="n">
        <x:f>F44+G44</x:f>
        <x:v>67492.83</x:v>
      </x:c>
      <x:c r="L44" s="61" t="n">
        <x:f>1/(1+Controls!$D$9)^T44</x:f>
        <x:v>0.7887885150861739</x:v>
      </x:c>
      <x:c r="M44" s="59" t="n">
        <x:f>K44*L44</x:f>
        <x:v>53237.56915466357</x:v>
      </x:c>
      <x:c r="N44" s="59" t="n">
        <x:f>G44*T44</x:f>
        <x:v>0</x:v>
      </x:c>
      <x:c r="O44" s="59" t="n">
        <x:f>E44-G44-H44</x:f>
        <x:v>14110000</x:v>
      </x:c>
      <x:c r="P44" s="60" t="n">
        <x:f>O44-I44</x:f>
        <x:v>0</x:v>
      </x:c>
      <x:c r="Q44" s="59" t="n">
        <x:f>K44/(1+MAX(0,Controls!$D$9-Controls!$D$11))^T44</x:f>
        <x:v>54786.39716652971</x:v>
      </x:c>
      <x:c r="R44" s="59" t="n">
        <x:f>K44/(1+Controls!$D$9+Controls!$D$11)^T44</x:f>
        <x:v>51746.202389146565</x:v>
      </x:c>
      <x:c r="S44" s="2" t="n">
        <x:f>COUNTIFS('Exported CF'!$C$9:$C$1544,Controls!$D$5,'Exported CF'!$D$9:$D$1544,Controls!$D$7,'Exported CF'!$E$9:$E$1544,$C44)</x:f>
        <x:v>1</x:v>
      </x:c>
      <x:c r="T44" s="62" t="n">
        <x:f>IF(C44&gt;Controls!$D$12,0,IF(S44=1,SUMIFS('Exported CF'!$M$9:$M$1544,'Exported CF'!$C$9:$C$1544,Controls!$D$5,'Exported CF'!$D$9:$D$1544,Controls!$D$7,'Exported CF'!$E$9:$E$1544,$C44),NA()))</x:f>
        <x:v>3.082819986310746</x:v>
      </x:c>
    </x:row>
    <x:row r="45" ht="20" customHeight="1">
      <x:c r="A45" s="2"/>
      <x:c r="B45" s="2"/>
      <x:c r="C45" s="2" t="n">
        <x:v>38</x:v>
      </x:c>
      <x:c r="D45" s="2" t="str">
        <x:v>2029-11</x:v>
      </x:c>
      <x:c r="E45" s="58" t="n">
        <x:f>IF(C45&gt;Controls!$D$12,0,IF(S45=1,SUMIFS('Exported CF'!$G$9:$G$1544,'Exported CF'!$C$9:$C$1544,Controls!$D$5,'Exported CF'!$D$9:$D$1544,Controls!$D$7,'Exported CF'!$E$9:$E$1544,$C45),NA()))</x:f>
        <x:v>14110000</x:v>
      </x:c>
      <x:c r="F45" s="58" t="n">
        <x:f>IF(C45&gt;Controls!$D$12,0,IF(S45=1,SUMIFS('Exported CF'!$H$9:$H$1544,'Exported CF'!$C$9:$C$1544,Controls!$D$5,'Exported CF'!$D$9:$D$1544,Controls!$D$7,'Exported CF'!$E$9:$E$1544,$C45),NA()))</x:f>
        <x:v>67492.83</x:v>
      </x:c>
      <x:c r="G45" s="58" t="n">
        <x:f>IF(C45&gt;Controls!$D$12,0,IF(S45=1,SUMIFS('Exported CF'!$I$9:$I$1544,'Exported CF'!$C$9:$C$1544,Controls!$D$5,'Exported CF'!$D$9:$D$1544,Controls!$D$7,'Exported CF'!$E$9:$E$1544,$C45),NA()))</x:f>
        <x:v>0</x:v>
      </x:c>
      <x:c r="H45" s="58" t="n">
        <x:f>IF(C45&gt;Controls!$D$12,0,IF(S45=1,SUMIFS('Exported CF'!$J$9:$J$1544,'Exported CF'!$C$9:$C$1544,Controls!$D$5,'Exported CF'!$D$9:$D$1544,Controls!$D$7,'Exported CF'!$E$9:$E$1544,$C45),NA()))</x:f>
        <x:v>0</x:v>
      </x:c>
      <x:c r="I45" s="58" t="n">
        <x:f>IF(C45&gt;Controls!$D$12,0,IF(S45=1,SUMIFS('Exported CF'!$K$9:$K$1544,'Exported CF'!$C$9:$C$1544,Controls!$D$5,'Exported CF'!$D$9:$D$1544,Controls!$D$7,'Exported CF'!$E$9:$E$1544,$C45),NA()))</x:f>
        <x:v>14110000</x:v>
      </x:c>
      <x:c r="J45" s="58" t="n">
        <x:f>IF(C45&gt;Controls!$D$12,0,IF(S45=1,SUMIFS('Exported CF'!$L$9:$L$1544,'Exported CF'!$C$9:$C$1544,Controls!$D$5,'Exported CF'!$D$9:$D$1544,Controls!$D$7,'Exported CF'!$E$9:$E$1544,$C45),NA()))</x:f>
        <x:v>0</x:v>
      </x:c>
      <x:c r="K45" s="59" t="n">
        <x:f>F45+G45</x:f>
        <x:v>67492.83</x:v>
      </x:c>
      <x:c r="L45" s="61" t="n">
        <x:f>1/(1+Controls!$D$9)^T45</x:f>
        <x:v>0.7836529840208101</x:v>
      </x:c>
      <x:c r="M45" s="59" t="n">
        <x:f>K45*L45</x:f>
        <x:v>52890.957629509256</x:v>
      </x:c>
      <x:c r="N45" s="59" t="n">
        <x:f>G45*T45</x:f>
        <x:v>0</x:v>
      </x:c>
      <x:c r="O45" s="59" t="n">
        <x:f>E45-G45-H45</x:f>
        <x:v>14110000</x:v>
      </x:c>
      <x:c r="P45" s="60" t="n">
        <x:f>O45-I45</x:f>
        <x:v>0</x:v>
      </x:c>
      <x:c r="Q45" s="59" t="n">
        <x:f>K45/(1+MAX(0,Controls!$D$9-Controls!$D$11))^T45</x:f>
        <x:v>54472.69235813905</x:v>
      </x:c>
      <x:c r="R45" s="59" t="n">
        <x:f>K45/(1+Controls!$D$9+Controls!$D$11)^T45</x:f>
        <x:v>51369.101511157634</x:v>
      </x:c>
      <x:c r="S45" s="2" t="n">
        <x:f>COUNTIFS('Exported CF'!$C$9:$C$1544,Controls!$D$5,'Exported CF'!$D$9:$D$1544,Controls!$D$7,'Exported CF'!$E$9:$E$1544,$C45)</x:f>
        <x:v>1</x:v>
      </x:c>
      <x:c r="T45" s="62" t="n">
        <x:f>IF(C45&gt;Controls!$D$12,0,IF(S45=1,SUMIFS('Exported CF'!$M$9:$M$1544,'Exported CF'!$C$9:$C$1544,Controls!$D$5,'Exported CF'!$D$9:$D$1544,Controls!$D$7,'Exported CF'!$E$9:$E$1544,$C45),NA()))</x:f>
        <x:v>3.167693360711841</x:v>
      </x:c>
    </x:row>
    <x:row r="46" ht="20" customHeight="1">
      <x:c r="A46" s="2"/>
      <x:c r="B46" s="2"/>
      <x:c r="C46" s="2" t="n">
        <x:v>39</x:v>
      </x:c>
      <x:c r="D46" s="2" t="str">
        <x:v>2029-12</x:v>
      </x:c>
      <x:c r="E46" s="58" t="n">
        <x:f>IF(C46&gt;Controls!$D$12,0,IF(S46=1,SUMIFS('Exported CF'!$G$9:$G$1544,'Exported CF'!$C$9:$C$1544,Controls!$D$5,'Exported CF'!$D$9:$D$1544,Controls!$D$7,'Exported CF'!$E$9:$E$1544,$C46),NA()))</x:f>
        <x:v>14110000</x:v>
      </x:c>
      <x:c r="F46" s="58" t="n">
        <x:f>IF(C46&gt;Controls!$D$12,0,IF(S46=1,SUMIFS('Exported CF'!$H$9:$H$1544,'Exported CF'!$C$9:$C$1544,Controls!$D$5,'Exported CF'!$D$9:$D$1544,Controls!$D$7,'Exported CF'!$E$9:$E$1544,$C46),NA()))</x:f>
        <x:v>67492.83</x:v>
      </x:c>
      <x:c r="G46" s="58" t="n">
        <x:f>IF(C46&gt;Controls!$D$12,0,IF(S46=1,SUMIFS('Exported CF'!$I$9:$I$1544,'Exported CF'!$C$9:$C$1544,Controls!$D$5,'Exported CF'!$D$9:$D$1544,Controls!$D$7,'Exported CF'!$E$9:$E$1544,$C46),NA()))</x:f>
        <x:v>0</x:v>
      </x:c>
      <x:c r="H46" s="58" t="n">
        <x:f>IF(C46&gt;Controls!$D$12,0,IF(S46=1,SUMIFS('Exported CF'!$J$9:$J$1544,'Exported CF'!$C$9:$C$1544,Controls!$D$5,'Exported CF'!$D$9:$D$1544,Controls!$D$7,'Exported CF'!$E$9:$E$1544,$C46),NA()))</x:f>
        <x:v>0</x:v>
      </x:c>
      <x:c r="I46" s="58" t="n">
        <x:f>IF(C46&gt;Controls!$D$12,0,IF(S46=1,SUMIFS('Exported CF'!$K$9:$K$1544,'Exported CF'!$C$9:$C$1544,Controls!$D$5,'Exported CF'!$D$9:$D$1544,Controls!$D$7,'Exported CF'!$E$9:$E$1544,$C46),NA()))</x:f>
        <x:v>14110000</x:v>
      </x:c>
      <x:c r="J46" s="58" t="n">
        <x:f>IF(C46&gt;Controls!$D$12,0,IF(S46=1,SUMIFS('Exported CF'!$L$9:$L$1544,'Exported CF'!$C$9:$C$1544,Controls!$D$5,'Exported CF'!$D$9:$D$1544,Controls!$D$7,'Exported CF'!$E$9:$E$1544,$C46),NA()))</x:f>
        <x:v>0</x:v>
      </x:c>
      <x:c r="K46" s="59" t="n">
        <x:f>F46+G46</x:f>
        <x:v>67492.83</x:v>
      </x:c>
      <x:c r="L46" s="61" t="n">
        <x:f>1/(1+Controls!$D$9)^T46</x:f>
        <x:v>0.778386859134302</x:v>
      </x:c>
      <x:c r="M46" s="59" t="n">
        <x:f>K46*L46</x:f>
        <x:v>52535.53195778539</x:v>
      </x:c>
      <x:c r="N46" s="59" t="n">
        <x:f>G46*T46</x:f>
        <x:v>0</x:v>
      </x:c>
      <x:c r="O46" s="59" t="n">
        <x:f>E46-G46-H46</x:f>
        <x:v>14110000</x:v>
      </x:c>
      <x:c r="P46" s="60" t="n">
        <x:f>O46-I46</x:f>
        <x:v>0</x:v>
      </x:c>
      <x:c r="Q46" s="59" t="n">
        <x:f>K46/(1+MAX(0,Controls!$D$9-Controls!$D$11))^T46</x:f>
        <x:v>54150.752035801605</x:v>
      </x:c>
      <x:c r="R46" s="59" t="n">
        <x:f>K46/(1+Controls!$D$9+Controls!$D$11)^T46</x:f>
        <x:v>50982.71839186373</x:v>
      </x:c>
      <x:c r="S46" s="2" t="n">
        <x:f>COUNTIFS('Exported CF'!$C$9:$C$1544,Controls!$D$5,'Exported CF'!$D$9:$D$1544,Controls!$D$7,'Exported CF'!$E$9:$E$1544,$C46)</x:f>
        <x:v>1</x:v>
      </x:c>
      <x:c r="T46" s="62" t="n">
        <x:f>IF(C46&gt;Controls!$D$12,0,IF(S46=1,SUMIFS('Exported CF'!$M$9:$M$1544,'Exported CF'!$C$9:$C$1544,Controls!$D$5,'Exported CF'!$D$9:$D$1544,Controls!$D$7,'Exported CF'!$E$9:$E$1544,$C46),NA()))</x:f>
        <x:v>3.2553045859000687</x:v>
      </x:c>
    </x:row>
    <x:row r="47" ht="20" customHeight="1">
      <x:c r="A47" s="2"/>
      <x:c r="B47" s="2"/>
      <x:c r="C47" s="2" t="n">
        <x:v>40</x:v>
      </x:c>
      <x:c r="D47" s="2" t="str">
        <x:v>2030-01</x:v>
      </x:c>
      <x:c r="E47" s="58" t="n">
        <x:f>IF(C47&gt;Controls!$D$12,0,IF(S47=1,SUMIFS('Exported CF'!$G$9:$G$1544,'Exported CF'!$C$9:$C$1544,Controls!$D$5,'Exported CF'!$D$9:$D$1544,Controls!$D$7,'Exported CF'!$E$9:$E$1544,$C47),NA()))</x:f>
        <x:v>14110000</x:v>
      </x:c>
      <x:c r="F47" s="58" t="n">
        <x:f>IF(C47&gt;Controls!$D$12,0,IF(S47=1,SUMIFS('Exported CF'!$H$9:$H$1544,'Exported CF'!$C$9:$C$1544,Controls!$D$5,'Exported CF'!$D$9:$D$1544,Controls!$D$7,'Exported CF'!$E$9:$E$1544,$C47),NA()))</x:f>
        <x:v>67492.83</x:v>
      </x:c>
      <x:c r="G47" s="58" t="n">
        <x:f>IF(C47&gt;Controls!$D$12,0,IF(S47=1,SUMIFS('Exported CF'!$I$9:$I$1544,'Exported CF'!$C$9:$C$1544,Controls!$D$5,'Exported CF'!$D$9:$D$1544,Controls!$D$7,'Exported CF'!$E$9:$E$1544,$C47),NA()))</x:f>
        <x:v>0</x:v>
      </x:c>
      <x:c r="H47" s="58" t="n">
        <x:f>IF(C47&gt;Controls!$D$12,0,IF(S47=1,SUMIFS('Exported CF'!$J$9:$J$1544,'Exported CF'!$C$9:$C$1544,Controls!$D$5,'Exported CF'!$D$9:$D$1544,Controls!$D$7,'Exported CF'!$E$9:$E$1544,$C47),NA()))</x:f>
        <x:v>0</x:v>
      </x:c>
      <x:c r="I47" s="58" t="n">
        <x:f>IF(C47&gt;Controls!$D$12,0,IF(S47=1,SUMIFS('Exported CF'!$K$9:$K$1544,'Exported CF'!$C$9:$C$1544,Controls!$D$5,'Exported CF'!$D$9:$D$1544,Controls!$D$7,'Exported CF'!$E$9:$E$1544,$C47),NA()))</x:f>
        <x:v>14110000</x:v>
      </x:c>
      <x:c r="J47" s="58" t="n">
        <x:f>IF(C47&gt;Controls!$D$12,0,IF(S47=1,SUMIFS('Exported CF'!$L$9:$L$1544,'Exported CF'!$C$9:$C$1544,Controls!$D$5,'Exported CF'!$D$9:$D$1544,Controls!$D$7,'Exported CF'!$E$9:$E$1544,$C47),NA()))</x:f>
        <x:v>0</x:v>
      </x:c>
      <x:c r="K47" s="59" t="n">
        <x:f>F47+G47</x:f>
        <x:v>67492.83</x:v>
      </x:c>
      <x:c r="L47" s="61" t="n">
        <x:f>1/(1+Controls!$D$9)^T47</x:f>
        <x:v>0.7736450071388293</x:v>
      </x:c>
      <x:c r="M47" s="59" t="n">
        <x:f>K47*L47</x:f>
        <x:v>52215.4909471698</x:v>
      </x:c>
      <x:c r="N47" s="59" t="n">
        <x:f>G47*T47</x:f>
        <x:v>0</x:v>
      </x:c>
      <x:c r="O47" s="59" t="n">
        <x:f>E47-G47-H47</x:f>
        <x:v>14110000</x:v>
      </x:c>
      <x:c r="P47" s="60" t="n">
        <x:f>O47-I47</x:f>
        <x:v>0</x:v>
      </x:c>
      <x:c r="Q47" s="59" t="n">
        <x:f>K47/(1+MAX(0,Controls!$D$9-Controls!$D$11))^T47</x:f>
        <x:v>53860.63742301851</x:v>
      </x:c>
      <x:c r="R47" s="59" t="n">
        <x:f>K47/(1+Controls!$D$9+Controls!$D$11)^T47</x:f>
        <x:v>50635.06961927983</x:v>
      </x:c>
      <x:c r="S47" s="2" t="n">
        <x:f>COUNTIFS('Exported CF'!$C$9:$C$1544,Controls!$D$5,'Exported CF'!$D$9:$D$1544,Controls!$D$7,'Exported CF'!$E$9:$E$1544,$C47)</x:f>
        <x:v>1</x:v>
      </x:c>
      <x:c r="T47" s="62" t="n">
        <x:f>IF(C47&gt;Controls!$D$12,0,IF(S47=1,SUMIFS('Exported CF'!$M$9:$M$1544,'Exported CF'!$C$9:$C$1544,Controls!$D$5,'Exported CF'!$D$9:$D$1544,Controls!$D$7,'Exported CF'!$E$9:$E$1544,$C47),NA()))</x:f>
        <x:v>3.3347022587268995</x:v>
      </x:c>
    </x:row>
    <x:row r="48" ht="20" customHeight="1">
      <x:c r="A48" s="2"/>
      <x:c r="B48" s="2"/>
      <x:c r="C48" s="2" t="n">
        <x:v>41</x:v>
      </x:c>
      <x:c r="D48" s="2" t="str">
        <x:v>2030-02</x:v>
      </x:c>
      <x:c r="E48" s="58" t="n">
        <x:f>IF(C48&gt;Controls!$D$12,0,IF(S48=1,SUMIFS('Exported CF'!$G$9:$G$1544,'Exported CF'!$C$9:$C$1544,Controls!$D$5,'Exported CF'!$D$9:$D$1544,Controls!$D$7,'Exported CF'!$E$9:$E$1544,$C48),NA()))</x:f>
        <x:v>14110000</x:v>
      </x:c>
      <x:c r="F48" s="58" t="n">
        <x:f>IF(C48&gt;Controls!$D$12,0,IF(S48=1,SUMIFS('Exported CF'!$H$9:$H$1544,'Exported CF'!$C$9:$C$1544,Controls!$D$5,'Exported CF'!$D$9:$D$1544,Controls!$D$7,'Exported CF'!$E$9:$E$1544,$C48),NA()))</x:f>
        <x:v>67492.83</x:v>
      </x:c>
      <x:c r="G48" s="58" t="n">
        <x:f>IF(C48&gt;Controls!$D$12,0,IF(S48=1,SUMIFS('Exported CF'!$I$9:$I$1544,'Exported CF'!$C$9:$C$1544,Controls!$D$5,'Exported CF'!$D$9:$D$1544,Controls!$D$7,'Exported CF'!$E$9:$E$1544,$C48),NA()))</x:f>
        <x:v>0</x:v>
      </x:c>
      <x:c r="H48" s="58" t="n">
        <x:f>IF(C48&gt;Controls!$D$12,0,IF(S48=1,SUMIFS('Exported CF'!$J$9:$J$1544,'Exported CF'!$C$9:$C$1544,Controls!$D$5,'Exported CF'!$D$9:$D$1544,Controls!$D$7,'Exported CF'!$E$9:$E$1544,$C48),NA()))</x:f>
        <x:v>0</x:v>
      </x:c>
      <x:c r="I48" s="58" t="n">
        <x:f>IF(C48&gt;Controls!$D$12,0,IF(S48=1,SUMIFS('Exported CF'!$K$9:$K$1544,'Exported CF'!$C$9:$C$1544,Controls!$D$5,'Exported CF'!$D$9:$D$1544,Controls!$D$7,'Exported CF'!$E$9:$E$1544,$C48),NA()))</x:f>
        <x:v>14110000</x:v>
      </x:c>
      <x:c r="J48" s="58" t="n">
        <x:f>IF(C48&gt;Controls!$D$12,0,IF(S48=1,SUMIFS('Exported CF'!$L$9:$L$1544,'Exported CF'!$C$9:$C$1544,Controls!$D$5,'Exported CF'!$D$9:$D$1544,Controls!$D$7,'Exported CF'!$E$9:$E$1544,$C48),NA()))</x:f>
        <x:v>0</x:v>
      </x:c>
      <x:c r="K48" s="59" t="n">
        <x:f>F48+G48</x:f>
        <x:v>67492.83</x:v>
      </x:c>
      <x:c r="L48" s="61" t="n">
        <x:f>1/(1+Controls!$D$9)^T48</x:f>
        <x:v>0.7686080702517716</x:v>
      </x:c>
      <x:c r="M48" s="59" t="n">
        <x:f>K48*L48</x:f>
        <x:v>51875.53382213088</x:v>
      </x:c>
      <x:c r="N48" s="59" t="n">
        <x:f>G48*T48</x:f>
        <x:v>0</x:v>
      </x:c>
      <x:c r="O48" s="59" t="n">
        <x:f>E48-G48-H48</x:f>
        <x:v>14110000</x:v>
      </x:c>
      <x:c r="P48" s="60" t="n">
        <x:f>O48-I48</x:f>
        <x:v>0</x:v>
      </x:c>
      <x:c r="Q48" s="59" t="n">
        <x:f>K48/(1+MAX(0,Controls!$D$9-Controls!$D$11))^T48</x:f>
        <x:v>53552.23347940402</x:v>
      </x:c>
      <x:c r="R48" s="59" t="n">
        <x:f>K48/(1+Controls!$D$9+Controls!$D$11)^T48</x:f>
        <x:v>50266.06613054331</x:v>
      </x:c>
      <x:c r="S48" s="2" t="n">
        <x:f>COUNTIFS('Exported CF'!$C$9:$C$1544,Controls!$D$5,'Exported CF'!$D$9:$D$1544,Controls!$D$7,'Exported CF'!$E$9:$E$1544,$C48)</x:f>
        <x:v>1</x:v>
      </x:c>
      <x:c r="T48" s="62" t="n">
        <x:f>IF(C48&gt;Controls!$D$12,0,IF(S48=1,SUMIFS('Exported CF'!$M$9:$M$1544,'Exported CF'!$C$9:$C$1544,Controls!$D$5,'Exported CF'!$D$9:$D$1544,Controls!$D$7,'Exported CF'!$E$9:$E$1544,$C48),NA()))</x:f>
        <x:v>3.4195756331279945</x:v>
      </x:c>
    </x:row>
    <x:row r="49" ht="20" customHeight="1">
      <x:c r="A49" s="2"/>
      <x:c r="B49" s="2"/>
      <x:c r="C49" s="2" t="n">
        <x:v>42</x:v>
      </x:c>
      <x:c r="D49" s="2" t="str">
        <x:v>2030-03</x:v>
      </x:c>
      <x:c r="E49" s="58" t="n">
        <x:f>IF(C49&gt;Controls!$D$12,0,IF(S49=1,SUMIFS('Exported CF'!$G$9:$G$1544,'Exported CF'!$C$9:$C$1544,Controls!$D$5,'Exported CF'!$D$9:$D$1544,Controls!$D$7,'Exported CF'!$E$9:$E$1544,$C49),NA()))</x:f>
        <x:v>14110000</x:v>
      </x:c>
      <x:c r="F49" s="58" t="n">
        <x:f>IF(C49&gt;Controls!$D$12,0,IF(S49=1,SUMIFS('Exported CF'!$H$9:$H$1544,'Exported CF'!$C$9:$C$1544,Controls!$D$5,'Exported CF'!$D$9:$D$1544,Controls!$D$7,'Exported CF'!$E$9:$E$1544,$C49),NA()))</x:f>
        <x:v>67492.83</x:v>
      </x:c>
      <x:c r="G49" s="58" t="n">
        <x:f>IF(C49&gt;Controls!$D$12,0,IF(S49=1,SUMIFS('Exported CF'!$I$9:$I$1544,'Exported CF'!$C$9:$C$1544,Controls!$D$5,'Exported CF'!$D$9:$D$1544,Controls!$D$7,'Exported CF'!$E$9:$E$1544,$C49),NA()))</x:f>
        <x:v>0</x:v>
      </x:c>
      <x:c r="H49" s="58" t="n">
        <x:f>IF(C49&gt;Controls!$D$12,0,IF(S49=1,SUMIFS('Exported CF'!$J$9:$J$1544,'Exported CF'!$C$9:$C$1544,Controls!$D$5,'Exported CF'!$D$9:$D$1544,Controls!$D$7,'Exported CF'!$E$9:$E$1544,$C49),NA()))</x:f>
        <x:v>0</x:v>
      </x:c>
      <x:c r="I49" s="58" t="n">
        <x:f>IF(C49&gt;Controls!$D$12,0,IF(S49=1,SUMIFS('Exported CF'!$K$9:$K$1544,'Exported CF'!$C$9:$C$1544,Controls!$D$5,'Exported CF'!$D$9:$D$1544,Controls!$D$7,'Exported CF'!$E$9:$E$1544,$C49),NA()))</x:f>
        <x:v>14110000</x:v>
      </x:c>
      <x:c r="J49" s="58" t="n">
        <x:f>IF(C49&gt;Controls!$D$12,0,IF(S49=1,SUMIFS('Exported CF'!$L$9:$L$1544,'Exported CF'!$C$9:$C$1544,Controls!$D$5,'Exported CF'!$D$9:$D$1544,Controls!$D$7,'Exported CF'!$E$9:$E$1544,$C49),NA()))</x:f>
        <x:v>0</x:v>
      </x:c>
      <x:c r="K49" s="59" t="n">
        <x:f>F49+G49</x:f>
        <x:v>67492.83</x:v>
      </x:c>
      <x:c r="L49" s="61" t="n">
        <x:f>1/(1+Controls!$D$9)^T49</x:f>
        <x:v>0.7640867717416552</x:v>
      </x:c>
      <x:c r="M49" s="59" t="n">
        <x:f>K49*L49</x:f>
        <x:v>51570.37859040834</x:v>
      </x:c>
      <x:c r="N49" s="59" t="n">
        <x:f>G49*T49</x:f>
        <x:v>0</x:v>
      </x:c>
      <x:c r="O49" s="59" t="n">
        <x:f>E49-G49-H49</x:f>
        <x:v>14110000</x:v>
      </x:c>
      <x:c r="P49" s="60" t="n">
        <x:f>O49-I49</x:f>
        <x:v>0</x:v>
      </x:c>
      <x:c r="Q49" s="59" t="n">
        <x:f>K49/(1+MAX(0,Controls!$D$9-Controls!$D$11))^T49</x:f>
        <x:v>53275.193196102926</x:v>
      </x:c>
      <x:c r="R49" s="59" t="n">
        <x:f>K49/(1+Controls!$D$9+Controls!$D$11)^T49</x:f>
        <x:v>49935.08455383586</x:v>
      </x:c>
      <x:c r="S49" s="2" t="n">
        <x:f>COUNTIFS('Exported CF'!$C$9:$C$1544,Controls!$D$5,'Exported CF'!$D$9:$D$1544,Controls!$D$7,'Exported CF'!$E$9:$E$1544,$C49)</x:f>
        <x:v>1</x:v>
      </x:c>
      <x:c r="T49" s="62" t="n">
        <x:f>IF(C49&gt;Controls!$D$12,0,IF(S49=1,SUMIFS('Exported CF'!$M$9:$M$1544,'Exported CF'!$C$9:$C$1544,Controls!$D$5,'Exported CF'!$D$9:$D$1544,Controls!$D$7,'Exported CF'!$E$9:$E$1544,$C49),NA()))</x:f>
        <x:v>3.4962354551676933</x:v>
      </x:c>
    </x:row>
    <x:row r="50" ht="20" customHeight="1">
      <x:c r="A50" s="2"/>
      <x:c r="B50" s="2"/>
      <x:c r="C50" s="2" t="n">
        <x:v>43</x:v>
      </x:c>
      <x:c r="D50" s="2" t="str">
        <x:v>2030-04</x:v>
      </x:c>
      <x:c r="E50" s="58" t="n">
        <x:f>IF(C50&gt;Controls!$D$12,0,IF(S50=1,SUMIFS('Exported CF'!$G$9:$G$1544,'Exported CF'!$C$9:$C$1544,Controls!$D$5,'Exported CF'!$D$9:$D$1544,Controls!$D$7,'Exported CF'!$E$9:$E$1544,$C50),NA()))</x:f>
        <x:v>14110000</x:v>
      </x:c>
      <x:c r="F50" s="58" t="n">
        <x:f>IF(C50&gt;Controls!$D$12,0,IF(S50=1,SUMIFS('Exported CF'!$H$9:$H$1544,'Exported CF'!$C$9:$C$1544,Controls!$D$5,'Exported CF'!$D$9:$D$1544,Controls!$D$7,'Exported CF'!$E$9:$E$1544,$C50),NA()))</x:f>
        <x:v>67492.83</x:v>
      </x:c>
      <x:c r="G50" s="58" t="n">
        <x:f>IF(C50&gt;Controls!$D$12,0,IF(S50=1,SUMIFS('Exported CF'!$I$9:$I$1544,'Exported CF'!$C$9:$C$1544,Controls!$D$5,'Exported CF'!$D$9:$D$1544,Controls!$D$7,'Exported CF'!$E$9:$E$1544,$C50),NA()))</x:f>
        <x:v>0</x:v>
      </x:c>
      <x:c r="H50" s="58" t="n">
        <x:f>IF(C50&gt;Controls!$D$12,0,IF(S50=1,SUMIFS('Exported CF'!$J$9:$J$1544,'Exported CF'!$C$9:$C$1544,Controls!$D$5,'Exported CF'!$D$9:$D$1544,Controls!$D$7,'Exported CF'!$E$9:$E$1544,$C50),NA()))</x:f>
        <x:v>0</x:v>
      </x:c>
      <x:c r="I50" s="58" t="n">
        <x:f>IF(C50&gt;Controls!$D$12,0,IF(S50=1,SUMIFS('Exported CF'!$K$9:$K$1544,'Exported CF'!$C$9:$C$1544,Controls!$D$5,'Exported CF'!$D$9:$D$1544,Controls!$D$7,'Exported CF'!$E$9:$E$1544,$C50),NA()))</x:f>
        <x:v>14110000</x:v>
      </x:c>
      <x:c r="J50" s="58" t="n">
        <x:f>IF(C50&gt;Controls!$D$12,0,IF(S50=1,SUMIFS('Exported CF'!$L$9:$L$1544,'Exported CF'!$C$9:$C$1544,Controls!$D$5,'Exported CF'!$D$9:$D$1544,Controls!$D$7,'Exported CF'!$E$9:$E$1544,$C50),NA()))</x:f>
        <x:v>0</x:v>
      </x:c>
      <x:c r="K50" s="59" t="n">
        <x:f>F50+G50</x:f>
        <x:v>67492.83</x:v>
      </x:c>
      <x:c r="L50" s="61" t="n">
        <x:f>1/(1+Controls!$D$9)^T50</x:f>
        <x:v>0.7591120652419238</x:v>
      </x:c>
      <x:c r="M50" s="59" t="n">
        <x:f>K50*L50</x:f>
        <x:v>51234.62157032207</x:v>
      </x:c>
      <x:c r="N50" s="59" t="n">
        <x:f>G50*T50</x:f>
        <x:v>0</x:v>
      </x:c>
      <x:c r="O50" s="59" t="n">
        <x:f>E50-G50-H50</x:f>
        <x:v>14110000</x:v>
      </x:c>
      <x:c r="P50" s="60" t="n">
        <x:f>O50-I50</x:f>
        <x:v>0</x:v>
      </x:c>
      <x:c r="Q50" s="59" t="n">
        <x:f>K50/(1+MAX(0,Controls!$D$9-Controls!$D$11))^T50</x:f>
        <x:v>52970.14148367222</x:v>
      </x:c>
      <x:c r="R50" s="59" t="n">
        <x:f>K50/(1+Controls!$D$9+Controls!$D$11)^T50</x:f>
        <x:v>49571.182212054504</x:v>
      </x:c>
      <x:c r="S50" s="2" t="n">
        <x:f>COUNTIFS('Exported CF'!$C$9:$C$1544,Controls!$D$5,'Exported CF'!$D$9:$D$1544,Controls!$D$7,'Exported CF'!$E$9:$E$1544,$C50)</x:f>
        <x:v>1</x:v>
      </x:c>
      <x:c r="T50" s="62" t="n">
        <x:f>IF(C50&gt;Controls!$D$12,0,IF(S50=1,SUMIFS('Exported CF'!$M$9:$M$1544,'Exported CF'!$C$9:$C$1544,Controls!$D$5,'Exported CF'!$D$9:$D$1544,Controls!$D$7,'Exported CF'!$E$9:$E$1544,$C50),NA()))</x:f>
        <x:v>3.5811088295687883</x:v>
      </x:c>
    </x:row>
    <x:row r="51" ht="20" customHeight="1">
      <x:c r="A51" s="2"/>
      <x:c r="B51" s="2"/>
      <x:c r="C51" s="2" t="n">
        <x:v>44</x:v>
      </x:c>
      <x:c r="D51" s="2" t="str">
        <x:v>2030-05</x:v>
      </x:c>
      <x:c r="E51" s="58" t="n">
        <x:f>IF(C51&gt;Controls!$D$12,0,IF(S51=1,SUMIFS('Exported CF'!$G$9:$G$1544,'Exported CF'!$C$9:$C$1544,Controls!$D$5,'Exported CF'!$D$9:$D$1544,Controls!$D$7,'Exported CF'!$E$9:$E$1544,$C51),NA()))</x:f>
        <x:v>14110000</x:v>
      </x:c>
      <x:c r="F51" s="58" t="n">
        <x:f>IF(C51&gt;Controls!$D$12,0,IF(S51=1,SUMIFS('Exported CF'!$H$9:$H$1544,'Exported CF'!$C$9:$C$1544,Controls!$D$5,'Exported CF'!$D$9:$D$1544,Controls!$D$7,'Exported CF'!$E$9:$E$1544,$C51),NA()))</x:f>
        <x:v>67492.83</x:v>
      </x:c>
      <x:c r="G51" s="58" t="n">
        <x:f>IF(C51&gt;Controls!$D$12,0,IF(S51=1,SUMIFS('Exported CF'!$I$9:$I$1544,'Exported CF'!$C$9:$C$1544,Controls!$D$5,'Exported CF'!$D$9:$D$1544,Controls!$D$7,'Exported CF'!$E$9:$E$1544,$C51),NA()))</x:f>
        <x:v>0</x:v>
      </x:c>
      <x:c r="H51" s="58" t="n">
        <x:f>IF(C51&gt;Controls!$D$12,0,IF(S51=1,SUMIFS('Exported CF'!$J$9:$J$1544,'Exported CF'!$C$9:$C$1544,Controls!$D$5,'Exported CF'!$D$9:$D$1544,Controls!$D$7,'Exported CF'!$E$9:$E$1544,$C51),NA()))</x:f>
        <x:v>0</x:v>
      </x:c>
      <x:c r="I51" s="58" t="n">
        <x:f>IF(C51&gt;Controls!$D$12,0,IF(S51=1,SUMIFS('Exported CF'!$K$9:$K$1544,'Exported CF'!$C$9:$C$1544,Controls!$D$5,'Exported CF'!$D$9:$D$1544,Controls!$D$7,'Exported CF'!$E$9:$E$1544,$C51),NA()))</x:f>
        <x:v>14110000</x:v>
      </x:c>
      <x:c r="J51" s="58" t="n">
        <x:f>IF(C51&gt;Controls!$D$12,0,IF(S51=1,SUMIFS('Exported CF'!$L$9:$L$1544,'Exported CF'!$C$9:$C$1544,Controls!$D$5,'Exported CF'!$D$9:$D$1544,Controls!$D$7,'Exported CF'!$E$9:$E$1544,$C51),NA()))</x:f>
        <x:v>0</x:v>
      </x:c>
      <x:c r="K51" s="59" t="n">
        <x:f>F51+G51</x:f>
        <x:v>67492.83</x:v>
      </x:c>
      <x:c r="L51" s="61" t="n">
        <x:f>1/(1+Controls!$D$9)^T51</x:f>
        <x:v>0.7543286735740425</x:v>
      </x:c>
      <x:c r="M51" s="59" t="n">
        <x:f>K51*L51</x:f>
        <x:v>50911.77692965835</x:v>
      </x:c>
      <x:c r="N51" s="59" t="n">
        <x:f>G51*T51</x:f>
        <x:v>0</x:v>
      </x:c>
      <x:c r="O51" s="59" t="n">
        <x:f>E51-G51-H51</x:f>
        <x:v>14110000</x:v>
      </x:c>
      <x:c r="P51" s="60" t="n">
        <x:f>O51-I51</x:f>
        <x:v>0</x:v>
      </x:c>
      <x:c r="Q51" s="59" t="n">
        <x:f>K51/(1+MAX(0,Controls!$D$9-Controls!$D$11))^T51</x:f>
        <x:v>52676.59335637419</x:v>
      </x:c>
      <x:c r="R51" s="59" t="n">
        <x:f>K51/(1+Controls!$D$9+Controls!$D$11)^T51</x:f>
        <x:v>49221.54385509172</x:v>
      </x:c>
      <x:c r="S51" s="2" t="n">
        <x:f>COUNTIFS('Exported CF'!$C$9:$C$1544,Controls!$D$5,'Exported CF'!$D$9:$D$1544,Controls!$D$7,'Exported CF'!$E$9:$E$1544,$C51)</x:f>
        <x:v>1</x:v>
      </x:c>
      <x:c r="T51" s="62" t="n">
        <x:f>IF(C51&gt;Controls!$D$12,0,IF(S51=1,SUMIFS('Exported CF'!$M$9:$M$1544,'Exported CF'!$C$9:$C$1544,Controls!$D$5,'Exported CF'!$D$9:$D$1544,Controls!$D$7,'Exported CF'!$E$9:$E$1544,$C51),NA()))</x:f>
        <x:v>3.6632443531827517</x:v>
      </x:c>
    </x:row>
    <x:row r="52" ht="20" customHeight="1">
      <x:c r="A52" s="2"/>
      <x:c r="B52" s="2"/>
      <x:c r="C52" s="2" t="n">
        <x:v>45</x:v>
      </x:c>
      <x:c r="D52" s="2" t="str">
        <x:v>2030-06</x:v>
      </x:c>
      <x:c r="E52" s="58" t="n">
        <x:f>IF(C52&gt;Controls!$D$12,0,IF(S52=1,SUMIFS('Exported CF'!$G$9:$G$1544,'Exported CF'!$C$9:$C$1544,Controls!$D$5,'Exported CF'!$D$9:$D$1544,Controls!$D$7,'Exported CF'!$E$9:$E$1544,$C52),NA()))</x:f>
        <x:v>14110000</x:v>
      </x:c>
      <x:c r="F52" s="58" t="n">
        <x:f>IF(C52&gt;Controls!$D$12,0,IF(S52=1,SUMIFS('Exported CF'!$H$9:$H$1544,'Exported CF'!$C$9:$C$1544,Controls!$D$5,'Exported CF'!$D$9:$D$1544,Controls!$D$7,'Exported CF'!$E$9:$E$1544,$C52),NA()))</x:f>
        <x:v>67492.83</x:v>
      </x:c>
      <x:c r="G52" s="58" t="n">
        <x:f>IF(C52&gt;Controls!$D$12,0,IF(S52=1,SUMIFS('Exported CF'!$I$9:$I$1544,'Exported CF'!$C$9:$C$1544,Controls!$D$5,'Exported CF'!$D$9:$D$1544,Controls!$D$7,'Exported CF'!$E$9:$E$1544,$C52),NA()))</x:f>
        <x:v>0</x:v>
      </x:c>
      <x:c r="H52" s="58" t="n">
        <x:f>IF(C52&gt;Controls!$D$12,0,IF(S52=1,SUMIFS('Exported CF'!$J$9:$J$1544,'Exported CF'!$C$9:$C$1544,Controls!$D$5,'Exported CF'!$D$9:$D$1544,Controls!$D$7,'Exported CF'!$E$9:$E$1544,$C52),NA()))</x:f>
        <x:v>0</x:v>
      </x:c>
      <x:c r="I52" s="58" t="n">
        <x:f>IF(C52&gt;Controls!$D$12,0,IF(S52=1,SUMIFS('Exported CF'!$K$9:$K$1544,'Exported CF'!$C$9:$C$1544,Controls!$D$5,'Exported CF'!$D$9:$D$1544,Controls!$D$7,'Exported CF'!$E$9:$E$1544,$C52),NA()))</x:f>
        <x:v>14110000</x:v>
      </x:c>
      <x:c r="J52" s="58" t="n">
        <x:f>IF(C52&gt;Controls!$D$12,0,IF(S52=1,SUMIFS('Exported CF'!$L$9:$L$1544,'Exported CF'!$C$9:$C$1544,Controls!$D$5,'Exported CF'!$D$9:$D$1544,Controls!$D$7,'Exported CF'!$E$9:$E$1544,$C52),NA()))</x:f>
        <x:v>0</x:v>
      </x:c>
      <x:c r="K52" s="59" t="n">
        <x:f>F52+G52</x:f>
        <x:v>67492.83</x:v>
      </x:c>
      <x:c r="L52" s="61" t="n">
        <x:f>1/(1+Controls!$D$9)^T52</x:f>
        <x:v>0.7491017489397158</x:v>
      </x:c>
      <x:c r="M52" s="59" t="n">
        <x:f>K52*L52</x:f>
        <x:v>50558.99699389092</x:v>
      </x:c>
      <x:c r="N52" s="59" t="n">
        <x:f>G52*T52</x:f>
        <x:v>0</x:v>
      </x:c>
      <x:c r="O52" s="59" t="n">
        <x:f>E52-G52-H52</x:f>
        <x:v>14110000</x:v>
      </x:c>
      <x:c r="P52" s="60" t="n">
        <x:f>O52-I52</x:f>
        <x:v>0</x:v>
      </x:c>
      <x:c r="Q52" s="59" t="n">
        <x:f>K52/(1+MAX(0,Controls!$D$9-Controls!$D$11))^T52</x:f>
        <x:v>52355.56899397681</x:v>
      </x:c>
      <x:c r="R52" s="59" t="n">
        <x:f>K52/(1+Controls!$D$9+Controls!$D$11)^T52</x:f>
        <x:v>48839.7893252746</x:v>
      </x:c>
      <x:c r="S52" s="2" t="n">
        <x:f>COUNTIFS('Exported CF'!$C$9:$C$1544,Controls!$D$5,'Exported CF'!$D$9:$D$1544,Controls!$D$7,'Exported CF'!$E$9:$E$1544,$C52)</x:f>
        <x:v>1</x:v>
      </x:c>
      <x:c r="T52" s="62" t="n">
        <x:f>IF(C52&gt;Controls!$D$12,0,IF(S52=1,SUMIFS('Exported CF'!$M$9:$M$1544,'Exported CF'!$C$9:$C$1544,Controls!$D$5,'Exported CF'!$D$9:$D$1544,Controls!$D$7,'Exported CF'!$E$9:$E$1544,$C52),NA()))</x:f>
        <x:v>3.753593429158111</x:v>
      </x:c>
    </x:row>
    <x:row r="53" ht="20" customHeight="1">
      <x:c r="A53" s="2"/>
      <x:c r="B53" s="2"/>
      <x:c r="C53" s="2" t="n">
        <x:v>46</x:v>
      </x:c>
      <x:c r="D53" s="2" t="str">
        <x:v>2030-07</x:v>
      </x:c>
      <x:c r="E53" s="58" t="n">
        <x:f>IF(C53&gt;Controls!$D$12,0,IF(S53=1,SUMIFS('Exported CF'!$G$9:$G$1544,'Exported CF'!$C$9:$C$1544,Controls!$D$5,'Exported CF'!$D$9:$D$1544,Controls!$D$7,'Exported CF'!$E$9:$E$1544,$C53),NA()))</x:f>
        <x:v>14110000</x:v>
      </x:c>
      <x:c r="F53" s="58" t="n">
        <x:f>IF(C53&gt;Controls!$D$12,0,IF(S53=1,SUMIFS('Exported CF'!$H$9:$H$1544,'Exported CF'!$C$9:$C$1544,Controls!$D$5,'Exported CF'!$D$9:$D$1544,Controls!$D$7,'Exported CF'!$E$9:$E$1544,$C53),NA()))</x:f>
        <x:v>67492.83</x:v>
      </x:c>
      <x:c r="G53" s="58" t="n">
        <x:f>IF(C53&gt;Controls!$D$12,0,IF(S53=1,SUMIFS('Exported CF'!$I$9:$I$1544,'Exported CF'!$C$9:$C$1544,Controls!$D$5,'Exported CF'!$D$9:$D$1544,Controls!$D$7,'Exported CF'!$E$9:$E$1544,$C53),NA()))</x:f>
        <x:v>532386.83</x:v>
      </x:c>
      <x:c r="H53" s="58" t="n">
        <x:f>IF(C53&gt;Controls!$D$12,0,IF(S53=1,SUMIFS('Exported CF'!$J$9:$J$1544,'Exported CF'!$C$9:$C$1544,Controls!$D$5,'Exported CF'!$D$9:$D$1544,Controls!$D$7,'Exported CF'!$E$9:$E$1544,$C53),NA()))</x:f>
        <x:v>0</x:v>
      </x:c>
      <x:c r="I53" s="58" t="n">
        <x:f>IF(C53&gt;Controls!$D$12,0,IF(S53=1,SUMIFS('Exported CF'!$K$9:$K$1544,'Exported CF'!$C$9:$C$1544,Controls!$D$5,'Exported CF'!$D$9:$D$1544,Controls!$D$7,'Exported CF'!$E$9:$E$1544,$C53),NA()))</x:f>
        <x:v>13577613.17</x:v>
      </x:c>
      <x:c r="J53" s="58" t="n">
        <x:f>IF(C53&gt;Controls!$D$12,0,IF(S53=1,SUMIFS('Exported CF'!$L$9:$L$1544,'Exported CF'!$C$9:$C$1544,Controls!$D$5,'Exported CF'!$D$9:$D$1544,Controls!$D$7,'Exported CF'!$E$9:$E$1544,$C53),NA()))</x:f>
        <x:v>0</x:v>
      </x:c>
      <x:c r="K53" s="59" t="n">
        <x:f>F53+G53</x:f>
        <x:v>599879.6599999999</x:v>
      </x:c>
      <x:c r="L53" s="61" t="n">
        <x:f>1/(1+Controls!$D$9)^T53</x:f>
        <x:v>0.7446951953885709</x:v>
      </x:c>
      <x:c r="M53" s="59" t="n">
        <x:f>K53*L53</x:f>
        <x:v>446727.5006133294</x:v>
      </x:c>
      <x:c r="N53" s="59" t="n">
        <x:f>G53*T53</x:f>
        <x:v>2039176.3865023954</x:v>
      </x:c>
      <x:c r="O53" s="59" t="n">
        <x:f>E53-G53-H53</x:f>
        <x:v>13577613.17</x:v>
      </x:c>
      <x:c r="P53" s="60" t="n">
        <x:f>O53-I53</x:f>
        <x:v>0</x:v>
      </x:c>
      <x:c r="Q53" s="59" t="n">
        <x:f>K53/(1+MAX(0,Controls!$D$9-Controls!$D$11))^T53</x:f>
        <x:v>462931.59960812</x:v>
      </x:c>
      <x:c r="R53" s="59" t="n">
        <x:f>K53/(1+Controls!$D$9+Controls!$D$11)^T53</x:f>
        <x:v>431232.1892596741</x:v>
      </x:c>
      <x:c r="S53" s="2" t="n">
        <x:f>COUNTIFS('Exported CF'!$C$9:$C$1544,Controls!$D$5,'Exported CF'!$D$9:$D$1544,Controls!$D$7,'Exported CF'!$E$9:$E$1544,$C53)</x:f>
        <x:v>1</x:v>
      </x:c>
      <x:c r="T53" s="62" t="n">
        <x:f>IF(C53&gt;Controls!$D$12,0,IF(S53=1,SUMIFS('Exported CF'!$M$9:$M$1544,'Exported CF'!$C$9:$C$1544,Controls!$D$5,'Exported CF'!$D$9:$D$1544,Controls!$D$7,'Exported CF'!$E$9:$E$1544,$C53),NA()))</x:f>
        <x:v>3.8302532511978096</x:v>
      </x:c>
    </x:row>
    <x:row r="54" ht="20" customHeight="1">
      <x:c r="A54" s="2"/>
      <x:c r="B54" s="2"/>
      <x:c r="C54" s="2" t="n">
        <x:v>47</x:v>
      </x:c>
      <x:c r="D54" s="2" t="str">
        <x:v>2030-08</x:v>
      </x:c>
      <x:c r="E54" s="58" t="n">
        <x:f>IF(C54&gt;Controls!$D$12,0,IF(S54=1,SUMIFS('Exported CF'!$G$9:$G$1544,'Exported CF'!$C$9:$C$1544,Controls!$D$5,'Exported CF'!$D$9:$D$1544,Controls!$D$7,'Exported CF'!$E$9:$E$1544,$C54),NA()))</x:f>
        <x:v>13577613.17</x:v>
      </x:c>
      <x:c r="F54" s="58" t="n">
        <x:f>IF(C54&gt;Controls!$D$12,0,IF(S54=1,SUMIFS('Exported CF'!$H$9:$H$1544,'Exported CF'!$C$9:$C$1544,Controls!$D$5,'Exported CF'!$D$9:$D$1544,Controls!$D$7,'Exported CF'!$E$9:$E$1544,$C54),NA()))</x:f>
        <x:v>64946.25</x:v>
      </x:c>
      <x:c r="G54" s="58" t="n">
        <x:f>IF(C54&gt;Controls!$D$12,0,IF(S54=1,SUMIFS('Exported CF'!$I$9:$I$1544,'Exported CF'!$C$9:$C$1544,Controls!$D$5,'Exported CF'!$D$9:$D$1544,Controls!$D$7,'Exported CF'!$E$9:$E$1544,$C54),NA()))</x:f>
        <x:v>4920884.51</x:v>
      </x:c>
      <x:c r="H54" s="58" t="n">
        <x:f>IF(C54&gt;Controls!$D$12,0,IF(S54=1,SUMIFS('Exported CF'!$J$9:$J$1544,'Exported CF'!$C$9:$C$1544,Controls!$D$5,'Exported CF'!$D$9:$D$1544,Controls!$D$7,'Exported CF'!$E$9:$E$1544,$C54),NA()))</x:f>
        <x:v>0</x:v>
      </x:c>
      <x:c r="I54" s="58" t="n">
        <x:f>IF(C54&gt;Controls!$D$12,0,IF(S54=1,SUMIFS('Exported CF'!$K$9:$K$1544,'Exported CF'!$C$9:$C$1544,Controls!$D$5,'Exported CF'!$D$9:$D$1544,Controls!$D$7,'Exported CF'!$E$9:$E$1544,$C54),NA()))</x:f>
        <x:v>8656728.66</x:v>
      </x:c>
      <x:c r="J54" s="58" t="n">
        <x:f>IF(C54&gt;Controls!$D$12,0,IF(S54=1,SUMIFS('Exported CF'!$L$9:$L$1544,'Exported CF'!$C$9:$C$1544,Controls!$D$5,'Exported CF'!$D$9:$D$1544,Controls!$D$7,'Exported CF'!$E$9:$E$1544,$C54),NA()))</x:f>
        <x:v>0</x:v>
      </x:c>
      <x:c r="K54" s="59" t="n">
        <x:f>F54+G54</x:f>
        <x:v>4985830.76</x:v>
      </x:c>
      <x:c r="L54" s="61" t="n">
        <x:f>1/(1+Controls!$D$9)^T54</x:f>
        <x:v>0.7398467407812831</x:v>
      </x:c>
      <x:c r="M54" s="59" t="n">
        <x:f>K54*L54</x:f>
        <x:v>3688750.6378730675</x:v>
      </x:c>
      <x:c r="N54" s="59" t="n">
        <x:f>G54*T54</x:f>
        <x:v>19265885.96659822</x:v>
      </x:c>
      <x:c r="O54" s="59" t="n">
        <x:f>E54-G54-H54</x:f>
        <x:v>8656728.66</x:v>
      </x:c>
      <x:c r="P54" s="60" t="n">
        <x:f>O54-I54</x:f>
        <x:v>0</x:v>
      </x:c>
      <x:c r="Q54" s="59" t="n">
        <x:f>K54/(1+MAX(0,Controls!$D$9-Controls!$D$11))^T54</x:f>
        <x:v>3825571.49047634</x:v>
      </x:c>
      <x:c r="R54" s="59" t="n">
        <x:f>K54/(1+Controls!$D$9+Controls!$D$11)^T54</x:f>
        <x:v>3558017.2889155387</x:v>
      </x:c>
      <x:c r="S54" s="2" t="n">
        <x:f>COUNTIFS('Exported CF'!$C$9:$C$1544,Controls!$D$5,'Exported CF'!$D$9:$D$1544,Controls!$D$7,'Exported CF'!$E$9:$E$1544,$C54)</x:f>
        <x:v>1</x:v>
      </x:c>
      <x:c r="T54" s="62" t="n">
        <x:f>IF(C54&gt;Controls!$D$12,0,IF(S54=1,SUMIFS('Exported CF'!$M$9:$M$1544,'Exported CF'!$C$9:$C$1544,Controls!$D$5,'Exported CF'!$D$9:$D$1544,Controls!$D$7,'Exported CF'!$E$9:$E$1544,$C54),NA()))</x:f>
        <x:v>3.915126625598905</x:v>
      </x:c>
    </x:row>
    <x:row r="55" ht="20" customHeight="1">
      <x:c r="A55" s="2"/>
      <x:c r="B55" s="2"/>
      <x:c r="C55" s="2" t="n">
        <x:v>48</x:v>
      </x:c>
      <x:c r="D55" s="2" t="str">
        <x:v>2030-09</x:v>
      </x:c>
      <x:c r="E55" s="58" t="n">
        <x:f>IF(C55&gt;Controls!$D$12,0,IF(S55=1,SUMIFS('Exported CF'!$G$9:$G$1544,'Exported CF'!$C$9:$C$1544,Controls!$D$5,'Exported CF'!$D$9:$D$1544,Controls!$D$7,'Exported CF'!$E$9:$E$1544,$C55),NA()))</x:f>
        <x:v>8656728.66</x:v>
      </x:c>
      <x:c r="F55" s="58" t="n">
        <x:f>IF(C55&gt;Controls!$D$12,0,IF(S55=1,SUMIFS('Exported CF'!$H$9:$H$1544,'Exported CF'!$C$9:$C$1544,Controls!$D$5,'Exported CF'!$D$9:$D$1544,Controls!$D$7,'Exported CF'!$E$9:$E$1544,$C55),NA()))</x:f>
        <x:v>41408.02</x:v>
      </x:c>
      <x:c r="G55" s="58" t="n">
        <x:f>IF(C55&gt;Controls!$D$12,0,IF(S55=1,SUMIFS('Exported CF'!$I$9:$I$1544,'Exported CF'!$C$9:$C$1544,Controls!$D$5,'Exported CF'!$D$9:$D$1544,Controls!$D$7,'Exported CF'!$E$9:$E$1544,$C55),NA()))</x:f>
        <x:v>4299316.25</x:v>
      </x:c>
      <x:c r="H55" s="58" t="n">
        <x:f>IF(C55&gt;Controls!$D$12,0,IF(S55=1,SUMIFS('Exported CF'!$J$9:$J$1544,'Exported CF'!$C$9:$C$1544,Controls!$D$5,'Exported CF'!$D$9:$D$1544,Controls!$D$7,'Exported CF'!$E$9:$E$1544,$C55),NA()))</x:f>
        <x:v>0</x:v>
      </x:c>
      <x:c r="I55" s="58" t="n">
        <x:f>IF(C55&gt;Controls!$D$12,0,IF(S55=1,SUMIFS('Exported CF'!$K$9:$K$1544,'Exported CF'!$C$9:$C$1544,Controls!$D$5,'Exported CF'!$D$9:$D$1544,Controls!$D$7,'Exported CF'!$E$9:$E$1544,$C55),NA()))</x:f>
        <x:v>4357412.41</x:v>
      </x:c>
      <x:c r="J55" s="58" t="n">
        <x:f>IF(C55&gt;Controls!$D$12,0,IF(S55=1,SUMIFS('Exported CF'!$L$9:$L$1544,'Exported CF'!$C$9:$C$1544,Controls!$D$5,'Exported CF'!$D$9:$D$1544,Controls!$D$7,'Exported CF'!$E$9:$E$1544,$C55),NA()))</x:f>
        <x:v>0</x:v>
      </x:c>
      <x:c r="K55" s="59" t="n">
        <x:f>F55+G55</x:f>
        <x:v>4340724.27</x:v>
      </x:c>
      <x:c r="L55" s="61" t="n">
        <x:f>1/(1+Controls!$D$9)^T55</x:f>
        <x:v>0.7348749925543578</x:v>
      </x:c>
      <x:c r="M55" s="59" t="n">
        <x:f>K55*L55</x:f>
        <x:v>3189889.71559677</x:v>
      </x:c>
      <x:c r="N55" s="59" t="n">
        <x:f>G55*T55</x:f>
        <x:v>17209035.886379194</x:v>
      </x:c>
      <x:c r="O55" s="59" t="n">
        <x:f>E55-G55-H55</x:f>
        <x:v>4357412.41</x:v>
      </x:c>
      <x:c r="P55" s="60" t="n">
        <x:f>O55-I55</x:f>
        <x:v>0</x:v>
      </x:c>
      <x:c r="Q55" s="59" t="n">
        <x:f>K55/(1+MAX(0,Controls!$D$9-Controls!$D$11))^T55</x:f>
        <x:v>3310904.3960338198</x:v>
      </x:c>
      <x:c r="R55" s="59" t="n">
        <x:f>K55/(1+Controls!$D$9+Controls!$D$11)^T55</x:f>
        <x:v>3074353.0535672214</x:v>
      </x:c>
      <x:c r="S55" s="2" t="n">
        <x:f>COUNTIFS('Exported CF'!$C$9:$C$1544,Controls!$D$5,'Exported CF'!$D$9:$D$1544,Controls!$D$7,'Exported CF'!$E$9:$E$1544,$C55)</x:f>
        <x:v>1</x:v>
      </x:c>
      <x:c r="T55" s="62" t="n">
        <x:f>IF(C55&gt;Controls!$D$12,0,IF(S55=1,SUMIFS('Exported CF'!$M$9:$M$1544,'Exported CF'!$C$9:$C$1544,Controls!$D$5,'Exported CF'!$D$9:$D$1544,Controls!$D$7,'Exported CF'!$E$9:$E$1544,$C55),NA()))</x:f>
        <x:v>4.002737850787132</x:v>
      </x:c>
    </x:row>
    <x:row r="56" ht="20" customHeight="1">
      <x:c r="A56" s="2"/>
      <x:c r="B56" s="2"/>
      <x:c r="C56" s="2" t="n">
        <x:v>49</x:v>
      </x:c>
      <x:c r="D56" s="2" t="str">
        <x:v>2030-10</x:v>
      </x:c>
      <x:c r="E56" s="58" t="n">
        <x:f>IF(C56&gt;Controls!$D$12,0,IF(S56=1,SUMIFS('Exported CF'!$G$9:$G$1544,'Exported CF'!$C$9:$C$1544,Controls!$D$5,'Exported CF'!$D$9:$D$1544,Controls!$D$7,'Exported CF'!$E$9:$E$1544,$C56),NA()))</x:f>
        <x:v>4357412.41</x:v>
      </x:c>
      <x:c r="F56" s="58" t="n">
        <x:f>IF(C56&gt;Controls!$D$12,0,IF(S56=1,SUMIFS('Exported CF'!$H$9:$H$1544,'Exported CF'!$C$9:$C$1544,Controls!$D$5,'Exported CF'!$D$9:$D$1544,Controls!$D$7,'Exported CF'!$E$9:$E$1544,$C56),NA()))</x:f>
        <x:v>20842.96</x:v>
      </x:c>
      <x:c r="G56" s="58" t="n">
        <x:f>IF(C56&gt;Controls!$D$12,0,IF(S56=1,SUMIFS('Exported CF'!$I$9:$I$1544,'Exported CF'!$C$9:$C$1544,Controls!$D$5,'Exported CF'!$D$9:$D$1544,Controls!$D$7,'Exported CF'!$E$9:$E$1544,$C56),NA()))</x:f>
        <x:v>4357412.41</x:v>
      </x:c>
      <x:c r="H56" s="58" t="n">
        <x:f>IF(C56&gt;Controls!$D$12,0,IF(S56=1,SUMIFS('Exported CF'!$J$9:$J$1544,'Exported CF'!$C$9:$C$1544,Controls!$D$5,'Exported CF'!$D$9:$D$1544,Controls!$D$7,'Exported CF'!$E$9:$E$1544,$C56),NA()))</x:f>
        <x:v>0</x:v>
      </x:c>
      <x:c r="I56" s="58" t="n">
        <x:f>IF(C56&gt;Controls!$D$12,0,IF(S56=1,SUMIFS('Exported CF'!$K$9:$K$1544,'Exported CF'!$C$9:$C$1544,Controls!$D$5,'Exported CF'!$D$9:$D$1544,Controls!$D$7,'Exported CF'!$E$9:$E$1544,$C56),NA()))</x:f>
        <x:v>0</x:v>
      </x:c>
      <x:c r="J56" s="58" t="n">
        <x:f>IF(C56&gt;Controls!$D$12,0,IF(S56=1,SUMIFS('Exported CF'!$L$9:$L$1544,'Exported CF'!$C$9:$C$1544,Controls!$D$5,'Exported CF'!$D$9:$D$1544,Controls!$D$7,'Exported CF'!$E$9:$E$1544,$C56),NA()))</x:f>
        <x:v>0</x:v>
      </x:c>
      <x:c r="K56" s="59" t="n">
        <x:f>F56+G56</x:f>
        <x:v>4378255.37</x:v>
      </x:c>
      <x:c r="L56" s="61" t="n">
        <x:f>1/(1+Controls!$D$9)^T56</x:f>
        <x:v>0.73039821033614</x:v>
      </x:c>
      <x:c r="M56" s="59" t="n">
        <x:f>K56*L56</x:f>
        <x:v>3197869.886642595</x:v>
      </x:c>
      <x:c r="N56" s="59" t="n">
        <x:f>G56*T56</x:f>
        <x:v>17787547.98989733</x:v>
      </x:c>
      <x:c r="O56" s="59" t="n">
        <x:f>E56-G56-H56</x:f>
        <x:v>0</x:v>
      </x:c>
      <x:c r="P56" s="60" t="n">
        <x:f>O56-I56</x:f>
        <x:v>0</x:v>
      </x:c>
      <x:c r="Q56" s="59" t="n">
        <x:f>K56/(1+MAX(0,Controls!$D$9-Controls!$D$11))^T56</x:f>
        <x:v>3321639.7289760457</x:v>
      </x:c>
      <x:c r="R56" s="59" t="n">
        <x:f>K56/(1+Controls!$D$9+Controls!$D$11)^T56</x:f>
        <x:v>3079789.629426446</x:v>
      </x:c>
      <x:c r="S56" s="2" t="n">
        <x:f>COUNTIFS('Exported CF'!$C$9:$C$1544,Controls!$D$5,'Exported CF'!$D$9:$D$1544,Controls!$D$7,'Exported CF'!$E$9:$E$1544,$C56)</x:f>
        <x:v>1</x:v>
      </x:c>
      <x:c r="T56" s="62" t="n">
        <x:f>IF(C56&gt;Controls!$D$12,0,IF(S56=1,SUMIFS('Exported CF'!$M$9:$M$1544,'Exported CF'!$C$9:$C$1544,Controls!$D$5,'Exported CF'!$D$9:$D$1544,Controls!$D$7,'Exported CF'!$E$9:$E$1544,$C56),NA()))</x:f>
        <x:v>4.082135523613963</x:v>
      </x:c>
    </x:row>
    <x:row r="57" ht="20" customHeight="1">
      <x:c r="A57" s="2"/>
      <x:c r="B57" s="2"/>
      <x:c r="C57" s="2" t="n">
        <x:v>50</x:v>
      </x:c>
      <x:c r="D57" s="2" t="str">
        <x:v>2030-11</x:v>
      </x:c>
      <x:c r="E57" s="58" t="n">
        <x:f>IF(C57&gt;Controls!$D$12,0,IF(S57=1,SUMIFS('Exported CF'!$G$9:$G$1544,'Exported CF'!$C$9:$C$1544,Controls!$D$5,'Exported CF'!$D$9:$D$1544,Controls!$D$7,'Exported CF'!$E$9:$E$1544,$C57),NA()))</x:f>
        <x:v>0</x:v>
      </x:c>
      <x:c r="F57" s="58" t="n">
        <x:f>IF(C57&gt;Controls!$D$12,0,IF(S57=1,SUMIFS('Exported CF'!$H$9:$H$1544,'Exported CF'!$C$9:$C$1544,Controls!$D$5,'Exported CF'!$D$9:$D$1544,Controls!$D$7,'Exported CF'!$E$9:$E$1544,$C57),NA()))</x:f>
        <x:v>0</x:v>
      </x:c>
      <x:c r="G57" s="58" t="n">
        <x:f>IF(C57&gt;Controls!$D$12,0,IF(S57=1,SUMIFS('Exported CF'!$I$9:$I$1544,'Exported CF'!$C$9:$C$1544,Controls!$D$5,'Exported CF'!$D$9:$D$1544,Controls!$D$7,'Exported CF'!$E$9:$E$1544,$C57),NA()))</x:f>
        <x:v>0</x:v>
      </x:c>
      <x:c r="H57" s="58" t="n">
        <x:f>IF(C57&gt;Controls!$D$12,0,IF(S57=1,SUMIFS('Exported CF'!$J$9:$J$1544,'Exported CF'!$C$9:$C$1544,Controls!$D$5,'Exported CF'!$D$9:$D$1544,Controls!$D$7,'Exported CF'!$E$9:$E$1544,$C57),NA()))</x:f>
        <x:v>0</x:v>
      </x:c>
      <x:c r="I57" s="58" t="n">
        <x:f>IF(C57&gt;Controls!$D$12,0,IF(S57=1,SUMIFS('Exported CF'!$K$9:$K$1544,'Exported CF'!$C$9:$C$1544,Controls!$D$5,'Exported CF'!$D$9:$D$1544,Controls!$D$7,'Exported CF'!$E$9:$E$1544,$C57),NA()))</x:f>
        <x:v>0</x:v>
      </x:c>
      <x:c r="J57" s="58" t="n">
        <x:f>IF(C57&gt;Controls!$D$12,0,IF(S57=1,SUMIFS('Exported CF'!$L$9:$L$1544,'Exported CF'!$C$9:$C$1544,Controls!$D$5,'Exported CF'!$D$9:$D$1544,Controls!$D$7,'Exported CF'!$E$9:$E$1544,$C57),NA()))</x:f>
        <x:v>0</x:v>
      </x:c>
      <x:c r="K57" s="59" t="n">
        <x:f>F57+G57</x:f>
        <x:v>0</x:v>
      </x:c>
      <x:c r="L57" s="61" t="n">
        <x:f>1/(1+Controls!$D$9)^T57</x:f>
        <x:v>0.7256428384873783</x:v>
      </x:c>
      <x:c r="M57" s="59" t="n">
        <x:f>K57*L57</x:f>
        <x:v>0</x:v>
      </x:c>
      <x:c r="N57" s="59" t="n">
        <x:f>G57*T57</x:f>
        <x:v>0</x:v>
      </x:c>
      <x:c r="O57" s="59" t="n">
        <x:f>E57-G57-H57</x:f>
        <x:v>0</x:v>
      </x:c>
      <x:c r="P57" s="60" t="n">
        <x:f>O57-I57</x:f>
        <x:v>0</x:v>
      </x:c>
      <x:c r="Q57" s="59" t="n">
        <x:f>K57/(1+MAX(0,Controls!$D$9-Controls!$D$11))^T57</x:f>
        <x:v>0</x:v>
      </x:c>
      <x:c r="R57" s="59" t="n">
        <x:f>K57/(1+Controls!$D$9+Controls!$D$11)^T57</x:f>
        <x:v>0</x:v>
      </x:c>
      <x:c r="S57" s="2" t="n">
        <x:f>COUNTIFS('Exported CF'!$C$9:$C$1544,Controls!$D$5,'Exported CF'!$D$9:$D$1544,Controls!$D$7,'Exported CF'!$E$9:$E$1544,$C57)</x:f>
        <x:v>1</x:v>
      </x:c>
      <x:c r="T57" s="62" t="n">
        <x:f>IF(C57&gt;Controls!$D$12,0,IF(S57=1,SUMIFS('Exported CF'!$M$9:$M$1544,'Exported CF'!$C$9:$C$1544,Controls!$D$5,'Exported CF'!$D$9:$D$1544,Controls!$D$7,'Exported CF'!$E$9:$E$1544,$C57),NA()))</x:f>
        <x:v>4.167008898015058</x:v>
      </x:c>
    </x:row>
    <x:row r="58" ht="20" customHeight="1">
      <x:c r="A58" s="2"/>
      <x:c r="B58" s="2"/>
      <x:c r="C58" s="2" t="n">
        <x:v>51</x:v>
      </x:c>
      <x:c r="D58" s="2" t="str">
        <x:v>2030-12</x:v>
      </x:c>
      <x:c r="E58" s="58" t="n">
        <x:f>IF(C58&gt;Controls!$D$12,0,IF(S58=1,SUMIFS('Exported CF'!$G$9:$G$1544,'Exported CF'!$C$9:$C$1544,Controls!$D$5,'Exported CF'!$D$9:$D$1544,Controls!$D$7,'Exported CF'!$E$9:$E$1544,$C58),NA()))</x:f>
        <x:v>0</x:v>
      </x:c>
      <x:c r="F58" s="58" t="n">
        <x:f>IF(C58&gt;Controls!$D$12,0,IF(S58=1,SUMIFS('Exported CF'!$H$9:$H$1544,'Exported CF'!$C$9:$C$1544,Controls!$D$5,'Exported CF'!$D$9:$D$1544,Controls!$D$7,'Exported CF'!$E$9:$E$1544,$C58),NA()))</x:f>
        <x:v>0</x:v>
      </x:c>
      <x:c r="G58" s="58" t="n">
        <x:f>IF(C58&gt;Controls!$D$12,0,IF(S58=1,SUMIFS('Exported CF'!$I$9:$I$1544,'Exported CF'!$C$9:$C$1544,Controls!$D$5,'Exported CF'!$D$9:$D$1544,Controls!$D$7,'Exported CF'!$E$9:$E$1544,$C58),NA()))</x:f>
        <x:v>0</x:v>
      </x:c>
      <x:c r="H58" s="58" t="n">
        <x:f>IF(C58&gt;Controls!$D$12,0,IF(S58=1,SUMIFS('Exported CF'!$J$9:$J$1544,'Exported CF'!$C$9:$C$1544,Controls!$D$5,'Exported CF'!$D$9:$D$1544,Controls!$D$7,'Exported CF'!$E$9:$E$1544,$C58),NA()))</x:f>
        <x:v>0</x:v>
      </x:c>
      <x:c r="I58" s="58" t="n">
        <x:f>IF(C58&gt;Controls!$D$12,0,IF(S58=1,SUMIFS('Exported CF'!$K$9:$K$1544,'Exported CF'!$C$9:$C$1544,Controls!$D$5,'Exported CF'!$D$9:$D$1544,Controls!$D$7,'Exported CF'!$E$9:$E$1544,$C58),NA()))</x:f>
        <x:v>0</x:v>
      </x:c>
      <x:c r="J58" s="58" t="n">
        <x:f>IF(C58&gt;Controls!$D$12,0,IF(S58=1,SUMIFS('Exported CF'!$L$9:$L$1544,'Exported CF'!$C$9:$C$1544,Controls!$D$5,'Exported CF'!$D$9:$D$1544,Controls!$D$7,'Exported CF'!$E$9:$E$1544,$C58),NA()))</x:f>
        <x:v>0</x:v>
      </x:c>
      <x:c r="K58" s="59" t="n">
        <x:f>F58+G58</x:f>
        <x:v>0</x:v>
      </x:c>
      <x:c r="L58" s="61" t="n">
        <x:f>1/(1+Controls!$D$9)^T58</x:f>
        <x:v>0.7209184272312084</x:v>
      </x:c>
      <x:c r="M58" s="59" t="n">
        <x:f>K58*L58</x:f>
        <x:v>0</x:v>
      </x:c>
      <x:c r="N58" s="59" t="n">
        <x:f>G58*T58</x:f>
        <x:v>0</x:v>
      </x:c>
      <x:c r="O58" s="59" t="n">
        <x:f>E58-G58-H58</x:f>
        <x:v>0</x:v>
      </x:c>
      <x:c r="P58" s="60" t="n">
        <x:f>O58-I58</x:f>
        <x:v>0</x:v>
      </x:c>
      <x:c r="Q58" s="59" t="n">
        <x:f>K58/(1+MAX(0,Controls!$D$9-Controls!$D$11))^T58</x:f>
        <x:v>0</x:v>
      </x:c>
      <x:c r="R58" s="59" t="n">
        <x:f>K58/(1+Controls!$D$9+Controls!$D$11)^T58</x:f>
        <x:v>0</x:v>
      </x:c>
      <x:c r="S58" s="2" t="n">
        <x:f>COUNTIFS('Exported CF'!$C$9:$C$1544,Controls!$D$5,'Exported CF'!$D$9:$D$1544,Controls!$D$7,'Exported CF'!$E$9:$E$1544,$C58)</x:f>
        <x:v>1</x:v>
      </x:c>
      <x:c r="T58" s="62" t="n">
        <x:f>IF(C58&gt;Controls!$D$12,0,IF(S58=1,SUMIFS('Exported CF'!$M$9:$M$1544,'Exported CF'!$C$9:$C$1544,Controls!$D$5,'Exported CF'!$D$9:$D$1544,Controls!$D$7,'Exported CF'!$E$9:$E$1544,$C58),NA()))</x:f>
        <x:v>4.251882272416153</x:v>
      </x:c>
    </x:row>
    <x:row r="59" ht="20" customHeight="1">
      <x:c r="A59" s="2"/>
      <x:c r="B59" s="2"/>
      <x:c r="C59" s="2" t="n">
        <x:v>52</x:v>
      </x:c>
      <x:c r="D59" s="2" t="str">
        <x:v>2031-01</x:v>
      </x:c>
      <x:c r="E59" s="58" t="n">
        <x:f>IF(C59&gt;Controls!$D$12,0,IF(S59=1,SUMIFS('Exported CF'!$G$9:$G$1544,'Exported CF'!$C$9:$C$1544,Controls!$D$5,'Exported CF'!$D$9:$D$1544,Controls!$D$7,'Exported CF'!$E$9:$E$1544,$C59),NA()))</x:f>
        <x:v>0</x:v>
      </x:c>
      <x:c r="F59" s="58" t="n">
        <x:f>IF(C59&gt;Controls!$D$12,0,IF(S59=1,SUMIFS('Exported CF'!$H$9:$H$1544,'Exported CF'!$C$9:$C$1544,Controls!$D$5,'Exported CF'!$D$9:$D$1544,Controls!$D$7,'Exported CF'!$E$9:$E$1544,$C59),NA()))</x:f>
        <x:v>0</x:v>
      </x:c>
      <x:c r="G59" s="58" t="n">
        <x:f>IF(C59&gt;Controls!$D$12,0,IF(S59=1,SUMIFS('Exported CF'!$I$9:$I$1544,'Exported CF'!$C$9:$C$1544,Controls!$D$5,'Exported CF'!$D$9:$D$1544,Controls!$D$7,'Exported CF'!$E$9:$E$1544,$C59),NA()))</x:f>
        <x:v>0</x:v>
      </x:c>
      <x:c r="H59" s="58" t="n">
        <x:f>IF(C59&gt;Controls!$D$12,0,IF(S59=1,SUMIFS('Exported CF'!$J$9:$J$1544,'Exported CF'!$C$9:$C$1544,Controls!$D$5,'Exported CF'!$D$9:$D$1544,Controls!$D$7,'Exported CF'!$E$9:$E$1544,$C59),NA()))</x:f>
        <x:v>0</x:v>
      </x:c>
      <x:c r="I59" s="58" t="n">
        <x:f>IF(C59&gt;Controls!$D$12,0,IF(S59=1,SUMIFS('Exported CF'!$K$9:$K$1544,'Exported CF'!$C$9:$C$1544,Controls!$D$5,'Exported CF'!$D$9:$D$1544,Controls!$D$7,'Exported CF'!$E$9:$E$1544,$C59),NA()))</x:f>
        <x:v>0</x:v>
      </x:c>
      <x:c r="J59" s="58" t="n">
        <x:f>IF(C59&gt;Controls!$D$12,0,IF(S59=1,SUMIFS('Exported CF'!$L$9:$L$1544,'Exported CF'!$C$9:$C$1544,Controls!$D$5,'Exported CF'!$D$9:$D$1544,Controls!$D$7,'Exported CF'!$E$9:$E$1544,$C59),NA()))</x:f>
        <x:v>0</x:v>
      </x:c>
      <x:c r="K59" s="59" t="n">
        <x:f>F59+G59</x:f>
        <x:v>0</x:v>
      </x:c>
      <x:c r="L59" s="61" t="n">
        <x:f>1/(1+Controls!$D$9)^T59</x:f>
        <x:v>0.7163757050747099</x:v>
      </x:c>
      <x:c r="M59" s="59" t="n">
        <x:f>K59*L59</x:f>
        <x:v>0</x:v>
      </x:c>
      <x:c r="N59" s="59" t="n">
        <x:f>G59*T59</x:f>
        <x:v>0</x:v>
      </x:c>
      <x:c r="O59" s="59" t="n">
        <x:f>E59-G59-H59</x:f>
        <x:v>0</x:v>
      </x:c>
      <x:c r="P59" s="60" t="n">
        <x:f>O59-I59</x:f>
        <x:v>0</x:v>
      </x:c>
      <x:c r="Q59" s="59" t="n">
        <x:f>K59/(1+MAX(0,Controls!$D$9-Controls!$D$11))^T59</x:f>
        <x:v>0</x:v>
      </x:c>
      <x:c r="R59" s="59" t="n">
        <x:f>K59/(1+Controls!$D$9+Controls!$D$11)^T59</x:f>
        <x:v>0</x:v>
      </x:c>
      <x:c r="S59" s="2" t="n">
        <x:f>COUNTIFS('Exported CF'!$C$9:$C$1544,Controls!$D$5,'Exported CF'!$D$9:$D$1544,Controls!$D$7,'Exported CF'!$E$9:$E$1544,$C59)</x:f>
        <x:v>1</x:v>
      </x:c>
      <x:c r="T59" s="62" t="n">
        <x:f>IF(C59&gt;Controls!$D$12,0,IF(S59=1,SUMIFS('Exported CF'!$M$9:$M$1544,'Exported CF'!$C$9:$C$1544,Controls!$D$5,'Exported CF'!$D$9:$D$1544,Controls!$D$7,'Exported CF'!$E$9:$E$1544,$C59),NA()))</x:f>
        <x:v>4.334017796030117</x:v>
      </x:c>
    </x:row>
    <x:row r="60" ht="20" customHeight="1">
      <x:c r="A60" s="2"/>
      <x:c r="B60" s="2"/>
      <x:c r="C60" s="2" t="n">
        <x:v>53</x:v>
      </x:c>
      <x:c r="D60" s="2" t="str">
        <x:v>2031-02</x:v>
      </x:c>
      <x:c r="E60" s="58" t="n">
        <x:f>IF(C60&gt;Controls!$D$12,0,IF(S60=1,SUMIFS('Exported CF'!$G$9:$G$1544,'Exported CF'!$C$9:$C$1544,Controls!$D$5,'Exported CF'!$D$9:$D$1544,Controls!$D$7,'Exported CF'!$E$9:$E$1544,$C60),NA()))</x:f>
        <x:v>0</x:v>
      </x:c>
      <x:c r="F60" s="58" t="n">
        <x:f>IF(C60&gt;Controls!$D$12,0,IF(S60=1,SUMIFS('Exported CF'!$H$9:$H$1544,'Exported CF'!$C$9:$C$1544,Controls!$D$5,'Exported CF'!$D$9:$D$1544,Controls!$D$7,'Exported CF'!$E$9:$E$1544,$C60),NA()))</x:f>
        <x:v>0</x:v>
      </x:c>
      <x:c r="G60" s="58" t="n">
        <x:f>IF(C60&gt;Controls!$D$12,0,IF(S60=1,SUMIFS('Exported CF'!$I$9:$I$1544,'Exported CF'!$C$9:$C$1544,Controls!$D$5,'Exported CF'!$D$9:$D$1544,Controls!$D$7,'Exported CF'!$E$9:$E$1544,$C60),NA()))</x:f>
        <x:v>0</x:v>
      </x:c>
      <x:c r="H60" s="58" t="n">
        <x:f>IF(C60&gt;Controls!$D$12,0,IF(S60=1,SUMIFS('Exported CF'!$J$9:$J$1544,'Exported CF'!$C$9:$C$1544,Controls!$D$5,'Exported CF'!$D$9:$D$1544,Controls!$D$7,'Exported CF'!$E$9:$E$1544,$C60),NA()))</x:f>
        <x:v>0</x:v>
      </x:c>
      <x:c r="I60" s="58" t="n">
        <x:f>IF(C60&gt;Controls!$D$12,0,IF(S60=1,SUMIFS('Exported CF'!$K$9:$K$1544,'Exported CF'!$C$9:$C$1544,Controls!$D$5,'Exported CF'!$D$9:$D$1544,Controls!$D$7,'Exported CF'!$E$9:$E$1544,$C60),NA()))</x:f>
        <x:v>0</x:v>
      </x:c>
      <x:c r="J60" s="58" t="n">
        <x:f>IF(C60&gt;Controls!$D$12,0,IF(S60=1,SUMIFS('Exported CF'!$L$9:$L$1544,'Exported CF'!$C$9:$C$1544,Controls!$D$5,'Exported CF'!$D$9:$D$1544,Controls!$D$7,'Exported CF'!$E$9:$E$1544,$C60),NA()))</x:f>
        <x:v>0</x:v>
      </x:c>
      <x:c r="K60" s="59" t="n">
        <x:f>F60+G60</x:f>
        <x:v>0</x:v>
      </x:c>
      <x:c r="L60" s="61" t="n">
        <x:f>1/(1+Controls!$D$9)^T60</x:f>
        <x:v>0.7112618814286419</x:v>
      </x:c>
      <x:c r="M60" s="59" t="n">
        <x:f>K60*L60</x:f>
        <x:v>0</x:v>
      </x:c>
      <x:c r="N60" s="59" t="n">
        <x:f>G60*T60</x:f>
        <x:v>0</x:v>
      </x:c>
      <x:c r="O60" s="59" t="n">
        <x:f>E60-G60-H60</x:f>
        <x:v>0</x:v>
      </x:c>
      <x:c r="P60" s="60" t="n">
        <x:f>O60-I60</x:f>
        <x:v>0</x:v>
      </x:c>
      <x:c r="Q60" s="59" t="n">
        <x:f>K60/(1+MAX(0,Controls!$D$9-Controls!$D$11))^T60</x:f>
        <x:v>0</x:v>
      </x:c>
      <x:c r="R60" s="59" t="n">
        <x:f>K60/(1+Controls!$D$9+Controls!$D$11)^T60</x:f>
        <x:v>0</x:v>
      </x:c>
      <x:c r="S60" s="2" t="n">
        <x:f>COUNTIFS('Exported CF'!$C$9:$C$1544,Controls!$D$5,'Exported CF'!$D$9:$D$1544,Controls!$D$7,'Exported CF'!$E$9:$E$1544,$C60)</x:f>
        <x:v>1</x:v>
      </x:c>
      <x:c r="T60" s="62" t="n">
        <x:f>IF(C60&gt;Controls!$D$12,0,IF(S60=1,SUMIFS('Exported CF'!$M$9:$M$1544,'Exported CF'!$C$9:$C$1544,Controls!$D$5,'Exported CF'!$D$9:$D$1544,Controls!$D$7,'Exported CF'!$E$9:$E$1544,$C60),NA()))</x:f>
        <x:v>4.427104722792608</x:v>
      </x:c>
    </x:row>
    <x:row r="61" ht="20" customHeight="1">
      <x:c r="A61" s="2"/>
      <x:c r="B61" s="2"/>
      <x:c r="C61" s="2" t="n">
        <x:v>54</x:v>
      </x:c>
      <x:c r="D61" s="2" t="str">
        <x:v>2031-03</x:v>
      </x:c>
      <x:c r="E61" s="58" t="n">
        <x:f>IF(C61&gt;Controls!$D$12,0,IF(S61=1,SUMIFS('Exported CF'!$G$9:$G$1544,'Exported CF'!$C$9:$C$1544,Controls!$D$5,'Exported CF'!$D$9:$D$1544,Controls!$D$7,'Exported CF'!$E$9:$E$1544,$C61),NA()))</x:f>
        <x:v>0</x:v>
      </x:c>
      <x:c r="F61" s="58" t="n">
        <x:f>IF(C61&gt;Controls!$D$12,0,IF(S61=1,SUMIFS('Exported CF'!$H$9:$H$1544,'Exported CF'!$C$9:$C$1544,Controls!$D$5,'Exported CF'!$D$9:$D$1544,Controls!$D$7,'Exported CF'!$E$9:$E$1544,$C61),NA()))</x:f>
        <x:v>0</x:v>
      </x:c>
      <x:c r="G61" s="58" t="n">
        <x:f>IF(C61&gt;Controls!$D$12,0,IF(S61=1,SUMIFS('Exported CF'!$I$9:$I$1544,'Exported CF'!$C$9:$C$1544,Controls!$D$5,'Exported CF'!$D$9:$D$1544,Controls!$D$7,'Exported CF'!$E$9:$E$1544,$C61),NA()))</x:f>
        <x:v>0</x:v>
      </x:c>
      <x:c r="H61" s="58" t="n">
        <x:f>IF(C61&gt;Controls!$D$12,0,IF(S61=1,SUMIFS('Exported CF'!$J$9:$J$1544,'Exported CF'!$C$9:$C$1544,Controls!$D$5,'Exported CF'!$D$9:$D$1544,Controls!$D$7,'Exported CF'!$E$9:$E$1544,$C61),NA()))</x:f>
        <x:v>0</x:v>
      </x:c>
      <x:c r="I61" s="58" t="n">
        <x:f>IF(C61&gt;Controls!$D$12,0,IF(S61=1,SUMIFS('Exported CF'!$K$9:$K$1544,'Exported CF'!$C$9:$C$1544,Controls!$D$5,'Exported CF'!$D$9:$D$1544,Controls!$D$7,'Exported CF'!$E$9:$E$1544,$C61),NA()))</x:f>
        <x:v>0</x:v>
      </x:c>
      <x:c r="J61" s="58" t="n">
        <x:f>IF(C61&gt;Controls!$D$12,0,IF(S61=1,SUMIFS('Exported CF'!$L$9:$L$1544,'Exported CF'!$C$9:$C$1544,Controls!$D$5,'Exported CF'!$D$9:$D$1544,Controls!$D$7,'Exported CF'!$E$9:$E$1544,$C61),NA()))</x:f>
        <x:v>0</x:v>
      </x:c>
      <x:c r="K61" s="59" t="n">
        <x:f>F61+G61</x:f>
        <x:v>0</x:v>
      </x:c>
      <x:c r="L61" s="61" t="n">
        <x:f>1/(1+Controls!$D$9)^T61</x:f>
        <x:v>0.7072269215679914</x:v>
      </x:c>
      <x:c r="M61" s="59" t="n">
        <x:f>K61*L61</x:f>
        <x:v>0</x:v>
      </x:c>
      <x:c r="N61" s="59" t="n">
        <x:f>G61*T61</x:f>
        <x:v>0</x:v>
      </x:c>
      <x:c r="O61" s="59" t="n">
        <x:f>E61-G61-H61</x:f>
        <x:v>0</x:v>
      </x:c>
      <x:c r="P61" s="60" t="n">
        <x:f>O61-I61</x:f>
        <x:v>0</x:v>
      </x:c>
      <x:c r="Q61" s="59" t="n">
        <x:f>K61/(1+MAX(0,Controls!$D$9-Controls!$D$11))^T61</x:f>
        <x:v>0</x:v>
      </x:c>
      <x:c r="R61" s="59" t="n">
        <x:f>K61/(1+Controls!$D$9+Controls!$D$11)^T61</x:f>
        <x:v>0</x:v>
      </x:c>
      <x:c r="S61" s="2" t="n">
        <x:f>COUNTIFS('Exported CF'!$C$9:$C$1544,Controls!$D$5,'Exported CF'!$D$9:$D$1544,Controls!$D$7,'Exported CF'!$E$9:$E$1544,$C61)</x:f>
        <x:v>1</x:v>
      </x:c>
      <x:c r="T61" s="62" t="n">
        <x:f>IF(C61&gt;Controls!$D$12,0,IF(S61=1,SUMIFS('Exported CF'!$M$9:$M$1544,'Exported CF'!$C$9:$C$1544,Controls!$D$5,'Exported CF'!$D$9:$D$1544,Controls!$D$7,'Exported CF'!$E$9:$E$1544,$C61),NA()))</x:f>
        <x:v>4.501026694045175</x:v>
      </x:c>
    </x:row>
    <x:row r="62" ht="20" customHeight="1">
      <x:c r="A62" s="2"/>
      <x:c r="B62" s="2"/>
      <x:c r="C62" s="2" t="n">
        <x:v>55</x:v>
      </x:c>
      <x:c r="D62" s="2" t="str">
        <x:v>2031-04</x:v>
      </x:c>
      <x:c r="E62" s="58" t="n">
        <x:f>IF(C62&gt;Controls!$D$12,0,IF(S62=1,SUMIFS('Exported CF'!$G$9:$G$1544,'Exported CF'!$C$9:$C$1544,Controls!$D$5,'Exported CF'!$D$9:$D$1544,Controls!$D$7,'Exported CF'!$E$9:$E$1544,$C62),NA()))</x:f>
        <x:v>0</x:v>
      </x:c>
      <x:c r="F62" s="58" t="n">
        <x:f>IF(C62&gt;Controls!$D$12,0,IF(S62=1,SUMIFS('Exported CF'!$H$9:$H$1544,'Exported CF'!$C$9:$C$1544,Controls!$D$5,'Exported CF'!$D$9:$D$1544,Controls!$D$7,'Exported CF'!$E$9:$E$1544,$C62),NA()))</x:f>
        <x:v>0</x:v>
      </x:c>
      <x:c r="G62" s="58" t="n">
        <x:f>IF(C62&gt;Controls!$D$12,0,IF(S62=1,SUMIFS('Exported CF'!$I$9:$I$1544,'Exported CF'!$C$9:$C$1544,Controls!$D$5,'Exported CF'!$D$9:$D$1544,Controls!$D$7,'Exported CF'!$E$9:$E$1544,$C62),NA()))</x:f>
        <x:v>0</x:v>
      </x:c>
      <x:c r="H62" s="58" t="n">
        <x:f>IF(C62&gt;Controls!$D$12,0,IF(S62=1,SUMIFS('Exported CF'!$J$9:$J$1544,'Exported CF'!$C$9:$C$1544,Controls!$D$5,'Exported CF'!$D$9:$D$1544,Controls!$D$7,'Exported CF'!$E$9:$E$1544,$C62),NA()))</x:f>
        <x:v>0</x:v>
      </x:c>
      <x:c r="I62" s="58" t="n">
        <x:f>IF(C62&gt;Controls!$D$12,0,IF(S62=1,SUMIFS('Exported CF'!$K$9:$K$1544,'Exported CF'!$C$9:$C$1544,Controls!$D$5,'Exported CF'!$D$9:$D$1544,Controls!$D$7,'Exported CF'!$E$9:$E$1544,$C62),NA()))</x:f>
        <x:v>0</x:v>
      </x:c>
      <x:c r="J62" s="58" t="n">
        <x:f>IF(C62&gt;Controls!$D$12,0,IF(S62=1,SUMIFS('Exported CF'!$L$9:$L$1544,'Exported CF'!$C$9:$C$1544,Controls!$D$5,'Exported CF'!$D$9:$D$1544,Controls!$D$7,'Exported CF'!$E$9:$E$1544,$C62),NA()))</x:f>
        <x:v>0</x:v>
      </x:c>
      <x:c r="K62" s="59" t="n">
        <x:f>F62+G62</x:f>
        <x:v>0</x:v>
      </x:c>
      <x:c r="L62" s="61" t="n">
        <x:f>1/(1+Controls!$D$9)^T62</x:f>
        <x:v>0.7029185685299932</x:v>
      </x:c>
      <x:c r="M62" s="59" t="n">
        <x:f>K62*L62</x:f>
        <x:v>0</x:v>
      </x:c>
      <x:c r="N62" s="59" t="n">
        <x:f>G62*T62</x:f>
        <x:v>0</x:v>
      </x:c>
      <x:c r="O62" s="59" t="n">
        <x:f>E62-G62-H62</x:f>
        <x:v>0</x:v>
      </x:c>
      <x:c r="P62" s="60" t="n">
        <x:f>O62-I62</x:f>
        <x:v>0</x:v>
      </x:c>
      <x:c r="Q62" s="59" t="n">
        <x:f>K62/(1+MAX(0,Controls!$D$9-Controls!$D$11))^T62</x:f>
        <x:v>0</x:v>
      </x:c>
      <x:c r="R62" s="59" t="n">
        <x:f>K62/(1+Controls!$D$9+Controls!$D$11)^T62</x:f>
        <x:v>0</x:v>
      </x:c>
      <x:c r="S62" s="2" t="n">
        <x:f>COUNTIFS('Exported CF'!$C$9:$C$1544,Controls!$D$5,'Exported CF'!$D$9:$D$1544,Controls!$D$7,'Exported CF'!$E$9:$E$1544,$C62)</x:f>
        <x:v>1</x:v>
      </x:c>
      <x:c r="T62" s="62" t="n">
        <x:f>IF(C62&gt;Controls!$D$12,0,IF(S62=1,SUMIFS('Exported CF'!$M$9:$M$1544,'Exported CF'!$C$9:$C$1544,Controls!$D$5,'Exported CF'!$D$9:$D$1544,Controls!$D$7,'Exported CF'!$E$9:$E$1544,$C62),NA()))</x:f>
        <x:v>4.5804243668720055</x:v>
      </x:c>
    </x:row>
    <x:row r="63" ht="20" customHeight="1">
      <x:c r="A63" s="2"/>
      <x:c r="B63" s="2"/>
      <x:c r="C63" s="2" t="n">
        <x:v>56</x:v>
      </x:c>
      <x:c r="D63" s="2" t="str">
        <x:v>2031-05</x:v>
      </x:c>
      <x:c r="E63" s="58" t="n">
        <x:f>IF(C63&gt;Controls!$D$12,0,IF(S63=1,SUMIFS('Exported CF'!$G$9:$G$1544,'Exported CF'!$C$9:$C$1544,Controls!$D$5,'Exported CF'!$D$9:$D$1544,Controls!$D$7,'Exported CF'!$E$9:$E$1544,$C63),NA()))</x:f>
        <x:v>0</x:v>
      </x:c>
      <x:c r="F63" s="58" t="n">
        <x:f>IF(C63&gt;Controls!$D$12,0,IF(S63=1,SUMIFS('Exported CF'!$H$9:$H$1544,'Exported CF'!$C$9:$C$1544,Controls!$D$5,'Exported CF'!$D$9:$D$1544,Controls!$D$7,'Exported CF'!$E$9:$E$1544,$C63),NA()))</x:f>
        <x:v>0</x:v>
      </x:c>
      <x:c r="G63" s="58" t="n">
        <x:f>IF(C63&gt;Controls!$D$12,0,IF(S63=1,SUMIFS('Exported CF'!$I$9:$I$1544,'Exported CF'!$C$9:$C$1544,Controls!$D$5,'Exported CF'!$D$9:$D$1544,Controls!$D$7,'Exported CF'!$E$9:$E$1544,$C63),NA()))</x:f>
        <x:v>0</x:v>
      </x:c>
      <x:c r="H63" s="58" t="n">
        <x:f>IF(C63&gt;Controls!$D$12,0,IF(S63=1,SUMIFS('Exported CF'!$J$9:$J$1544,'Exported CF'!$C$9:$C$1544,Controls!$D$5,'Exported CF'!$D$9:$D$1544,Controls!$D$7,'Exported CF'!$E$9:$E$1544,$C63),NA()))</x:f>
        <x:v>0</x:v>
      </x:c>
      <x:c r="I63" s="58" t="n">
        <x:f>IF(C63&gt;Controls!$D$12,0,IF(S63=1,SUMIFS('Exported CF'!$K$9:$K$1544,'Exported CF'!$C$9:$C$1544,Controls!$D$5,'Exported CF'!$D$9:$D$1544,Controls!$D$7,'Exported CF'!$E$9:$E$1544,$C63),NA()))</x:f>
        <x:v>0</x:v>
      </x:c>
      <x:c r="J63" s="58" t="n">
        <x:f>IF(C63&gt;Controls!$D$12,0,IF(S63=1,SUMIFS('Exported CF'!$L$9:$L$1544,'Exported CF'!$C$9:$C$1544,Controls!$D$5,'Exported CF'!$D$9:$D$1544,Controls!$D$7,'Exported CF'!$E$9:$E$1544,$C63),NA()))</x:f>
        <x:v>0</x:v>
      </x:c>
      <x:c r="K63" s="59" t="n">
        <x:f>F63+G63</x:f>
        <x:v>0</x:v>
      </x:c>
      <x:c r="L63" s="61" t="n">
        <x:f>1/(1+Controls!$D$9)^T63</x:f>
        <x:v>0.6984892688549396</x:v>
      </x:c>
      <x:c r="M63" s="59" t="n">
        <x:f>K63*L63</x:f>
        <x:v>0</x:v>
      </x:c>
      <x:c r="N63" s="59" t="n">
        <x:f>G63*T63</x:f>
        <x:v>0</x:v>
      </x:c>
      <x:c r="O63" s="59" t="n">
        <x:f>E63-G63-H63</x:f>
        <x:v>0</x:v>
      </x:c>
      <x:c r="P63" s="60" t="n">
        <x:f>O63-I63</x:f>
        <x:v>0</x:v>
      </x:c>
      <x:c r="Q63" s="59" t="n">
        <x:f>K63/(1+MAX(0,Controls!$D$9-Controls!$D$11))^T63</x:f>
        <x:v>0</x:v>
      </x:c>
      <x:c r="R63" s="59" t="n">
        <x:f>K63/(1+Controls!$D$9+Controls!$D$11)^T63</x:f>
        <x:v>0</x:v>
      </x:c>
      <x:c r="S63" s="2" t="n">
        <x:f>COUNTIFS('Exported CF'!$C$9:$C$1544,Controls!$D$5,'Exported CF'!$D$9:$D$1544,Controls!$D$7,'Exported CF'!$E$9:$E$1544,$C63)</x:f>
        <x:v>1</x:v>
      </x:c>
      <x:c r="T63" s="62" t="n">
        <x:f>IF(C63&gt;Controls!$D$12,0,IF(S63=1,SUMIFS('Exported CF'!$M$9:$M$1544,'Exported CF'!$C$9:$C$1544,Controls!$D$5,'Exported CF'!$D$9:$D$1544,Controls!$D$7,'Exported CF'!$E$9:$E$1544,$C63),NA()))</x:f>
        <x:v>4.662559890485968</x:v>
      </x:c>
    </x:row>
    <x:row r="64" ht="20" customHeight="1">
      <x:c r="A64" s="2"/>
      <x:c r="B64" s="2"/>
      <x:c r="C64" s="2" t="n">
        <x:v>57</x:v>
      </x:c>
      <x:c r="D64" s="2" t="str">
        <x:v>2031-06</x:v>
      </x:c>
      <x:c r="E64" s="58" t="n">
        <x:f>IF(C64&gt;Controls!$D$12,0,IF(S64=1,SUMIFS('Exported CF'!$G$9:$G$1544,'Exported CF'!$C$9:$C$1544,Controls!$D$5,'Exported CF'!$D$9:$D$1544,Controls!$D$7,'Exported CF'!$E$9:$E$1544,$C64),NA()))</x:f>
        <x:v>0</x:v>
      </x:c>
      <x:c r="F64" s="58" t="n">
        <x:f>IF(C64&gt;Controls!$D$12,0,IF(S64=1,SUMIFS('Exported CF'!$H$9:$H$1544,'Exported CF'!$C$9:$C$1544,Controls!$D$5,'Exported CF'!$D$9:$D$1544,Controls!$D$7,'Exported CF'!$E$9:$E$1544,$C64),NA()))</x:f>
        <x:v>0</x:v>
      </x:c>
      <x:c r="G64" s="58" t="n">
        <x:f>IF(C64&gt;Controls!$D$12,0,IF(S64=1,SUMIFS('Exported CF'!$I$9:$I$1544,'Exported CF'!$C$9:$C$1544,Controls!$D$5,'Exported CF'!$D$9:$D$1544,Controls!$D$7,'Exported CF'!$E$9:$E$1544,$C64),NA()))</x:f>
        <x:v>0</x:v>
      </x:c>
      <x:c r="H64" s="58" t="n">
        <x:f>IF(C64&gt;Controls!$D$12,0,IF(S64=1,SUMIFS('Exported CF'!$J$9:$J$1544,'Exported CF'!$C$9:$C$1544,Controls!$D$5,'Exported CF'!$D$9:$D$1544,Controls!$D$7,'Exported CF'!$E$9:$E$1544,$C64),NA()))</x:f>
        <x:v>0</x:v>
      </x:c>
      <x:c r="I64" s="58" t="n">
        <x:f>IF(C64&gt;Controls!$D$12,0,IF(S64=1,SUMIFS('Exported CF'!$K$9:$K$1544,'Exported CF'!$C$9:$C$1544,Controls!$D$5,'Exported CF'!$D$9:$D$1544,Controls!$D$7,'Exported CF'!$E$9:$E$1544,$C64),NA()))</x:f>
        <x:v>0</x:v>
      </x:c>
      <x:c r="J64" s="58" t="n">
        <x:f>IF(C64&gt;Controls!$D$12,0,IF(S64=1,SUMIFS('Exported CF'!$L$9:$L$1544,'Exported CF'!$C$9:$C$1544,Controls!$D$5,'Exported CF'!$D$9:$D$1544,Controls!$D$7,'Exported CF'!$E$9:$E$1544,$C64),NA()))</x:f>
        <x:v>0</x:v>
      </x:c>
      <x:c r="K64" s="59" t="n">
        <x:f>F64+G64</x:f>
        <x:v>0</x:v>
      </x:c>
      <x:c r="L64" s="61" t="n">
        <x:f>1/(1+Controls!$D$9)^T64</x:f>
        <x:v>0.6937954416167621</x:v>
      </x:c>
      <x:c r="M64" s="59" t="n">
        <x:f>K64*L64</x:f>
        <x:v>0</x:v>
      </x:c>
      <x:c r="N64" s="59" t="n">
        <x:f>G64*T64</x:f>
        <x:v>0</x:v>
      </x:c>
      <x:c r="O64" s="59" t="n">
        <x:f>E64-G64-H64</x:f>
        <x:v>0</x:v>
      </x:c>
      <x:c r="P64" s="60" t="n">
        <x:f>O64-I64</x:f>
        <x:v>0</x:v>
      </x:c>
      <x:c r="Q64" s="59" t="n">
        <x:f>K64/(1+MAX(0,Controls!$D$9-Controls!$D$11))^T64</x:f>
        <x:v>0</x:v>
      </x:c>
      <x:c r="R64" s="59" t="n">
        <x:f>K64/(1+Controls!$D$9+Controls!$D$11)^T64</x:f>
        <x:v>0</x:v>
      </x:c>
      <x:c r="S64" s="2" t="n">
        <x:f>COUNTIFS('Exported CF'!$C$9:$C$1544,Controls!$D$5,'Exported CF'!$D$9:$D$1544,Controls!$D$7,'Exported CF'!$E$9:$E$1544,$C64)</x:f>
        <x:v>1</x:v>
      </x:c>
      <x:c r="T64" s="62" t="n">
        <x:f>IF(C64&gt;Controls!$D$12,0,IF(S64=1,SUMIFS('Exported CF'!$M$9:$M$1544,'Exported CF'!$C$9:$C$1544,Controls!$D$5,'Exported CF'!$D$9:$D$1544,Controls!$D$7,'Exported CF'!$E$9:$E$1544,$C64),NA()))</x:f>
        <x:v>4.7501711156741955</x:v>
      </x:c>
    </x:row>
    <x:row r="65" ht="20" customHeight="1">
      <x:c r="A65" s="2"/>
      <x:c r="B65" s="2"/>
      <x:c r="C65" s="2" t="n">
        <x:v>58</x:v>
      </x:c>
      <x:c r="D65" s="2" t="str">
        <x:v>2031-07</x:v>
      </x:c>
      <x:c r="E65" s="58" t="n">
        <x:f>IF(C65&gt;Controls!$D$12,0,IF(S65=1,SUMIFS('Exported CF'!$G$9:$G$1544,'Exported CF'!$C$9:$C$1544,Controls!$D$5,'Exported CF'!$D$9:$D$1544,Controls!$D$7,'Exported CF'!$E$9:$E$1544,$C65),NA()))</x:f>
        <x:v>0</x:v>
      </x:c>
      <x:c r="F65" s="58" t="n">
        <x:f>IF(C65&gt;Controls!$D$12,0,IF(S65=1,SUMIFS('Exported CF'!$H$9:$H$1544,'Exported CF'!$C$9:$C$1544,Controls!$D$5,'Exported CF'!$D$9:$D$1544,Controls!$D$7,'Exported CF'!$E$9:$E$1544,$C65),NA()))</x:f>
        <x:v>0</x:v>
      </x:c>
      <x:c r="G65" s="58" t="n">
        <x:f>IF(C65&gt;Controls!$D$12,0,IF(S65=1,SUMIFS('Exported CF'!$I$9:$I$1544,'Exported CF'!$C$9:$C$1544,Controls!$D$5,'Exported CF'!$D$9:$D$1544,Controls!$D$7,'Exported CF'!$E$9:$E$1544,$C65),NA()))</x:f>
        <x:v>0</x:v>
      </x:c>
      <x:c r="H65" s="58" t="n">
        <x:f>IF(C65&gt;Controls!$D$12,0,IF(S65=1,SUMIFS('Exported CF'!$J$9:$J$1544,'Exported CF'!$C$9:$C$1544,Controls!$D$5,'Exported CF'!$D$9:$D$1544,Controls!$D$7,'Exported CF'!$E$9:$E$1544,$C65),NA()))</x:f>
        <x:v>0</x:v>
      </x:c>
      <x:c r="I65" s="58" t="n">
        <x:f>IF(C65&gt;Controls!$D$12,0,IF(S65=1,SUMIFS('Exported CF'!$K$9:$K$1544,'Exported CF'!$C$9:$C$1544,Controls!$D$5,'Exported CF'!$D$9:$D$1544,Controls!$D$7,'Exported CF'!$E$9:$E$1544,$C65),NA()))</x:f>
        <x:v>0</x:v>
      </x:c>
      <x:c r="J65" s="58" t="n">
        <x:f>IF(C65&gt;Controls!$D$12,0,IF(S65=1,SUMIFS('Exported CF'!$L$9:$L$1544,'Exported CF'!$C$9:$C$1544,Controls!$D$5,'Exported CF'!$D$9:$D$1544,Controls!$D$7,'Exported CF'!$E$9:$E$1544,$C65),NA()))</x:f>
        <x:v>0</x:v>
      </x:c>
      <x:c r="K65" s="59" t="n">
        <x:f>F65+G65</x:f>
        <x:v>0</x:v>
      </x:c>
      <x:c r="L65" s="61" t="n">
        <x:f>1/(1+Controls!$D$9)^T65</x:f>
        <x:v>0.6895689117612361</x:v>
      </x:c>
      <x:c r="M65" s="59" t="n">
        <x:f>K65*L65</x:f>
        <x:v>0</x:v>
      </x:c>
      <x:c r="N65" s="59" t="n">
        <x:f>G65*T65</x:f>
        <x:v>0</x:v>
      </x:c>
      <x:c r="O65" s="59" t="n">
        <x:f>E65-G65-H65</x:f>
        <x:v>0</x:v>
      </x:c>
      <x:c r="P65" s="60" t="n">
        <x:f>O65-I65</x:f>
        <x:v>0</x:v>
      </x:c>
      <x:c r="Q65" s="59" t="n">
        <x:f>K65/(1+MAX(0,Controls!$D$9-Controls!$D$11))^T65</x:f>
        <x:v>0</x:v>
      </x:c>
      <x:c r="R65" s="59" t="n">
        <x:f>K65/(1+Controls!$D$9+Controls!$D$11)^T65</x:f>
        <x:v>0</x:v>
      </x:c>
      <x:c r="S65" s="2" t="n">
        <x:f>COUNTIFS('Exported CF'!$C$9:$C$1544,Controls!$D$5,'Exported CF'!$D$9:$D$1544,Controls!$D$7,'Exported CF'!$E$9:$E$1544,$C65)</x:f>
        <x:v>1</x:v>
      </x:c>
      <x:c r="T65" s="62" t="n">
        <x:f>IF(C65&gt;Controls!$D$12,0,IF(S65=1,SUMIFS('Exported CF'!$M$9:$M$1544,'Exported CF'!$C$9:$C$1544,Controls!$D$5,'Exported CF'!$D$9:$D$1544,Controls!$D$7,'Exported CF'!$E$9:$E$1544,$C65),NA()))</x:f>
        <x:v>4.829568788501026</x:v>
      </x:c>
    </x:row>
    <x:row r="66" ht="20" customHeight="1">
      <x:c r="A66" s="2"/>
      <x:c r="B66" s="2"/>
      <x:c r="C66" s="2" t="n">
        <x:v>59</x:v>
      </x:c>
      <x:c r="D66" s="2" t="str">
        <x:v>2031-08</x:v>
      </x:c>
      <x:c r="E66" s="58" t="n">
        <x:f>IF(C66&gt;Controls!$D$12,0,IF(S66=1,SUMIFS('Exported CF'!$G$9:$G$1544,'Exported CF'!$C$9:$C$1544,Controls!$D$5,'Exported CF'!$D$9:$D$1544,Controls!$D$7,'Exported CF'!$E$9:$E$1544,$C66),NA()))</x:f>
        <x:v>0</x:v>
      </x:c>
      <x:c r="F66" s="58" t="n">
        <x:f>IF(C66&gt;Controls!$D$12,0,IF(S66=1,SUMIFS('Exported CF'!$H$9:$H$1544,'Exported CF'!$C$9:$C$1544,Controls!$D$5,'Exported CF'!$D$9:$D$1544,Controls!$D$7,'Exported CF'!$E$9:$E$1544,$C66),NA()))</x:f>
        <x:v>0</x:v>
      </x:c>
      <x:c r="G66" s="58" t="n">
        <x:f>IF(C66&gt;Controls!$D$12,0,IF(S66=1,SUMIFS('Exported CF'!$I$9:$I$1544,'Exported CF'!$C$9:$C$1544,Controls!$D$5,'Exported CF'!$D$9:$D$1544,Controls!$D$7,'Exported CF'!$E$9:$E$1544,$C66),NA()))</x:f>
        <x:v>0</x:v>
      </x:c>
      <x:c r="H66" s="58" t="n">
        <x:f>IF(C66&gt;Controls!$D$12,0,IF(S66=1,SUMIFS('Exported CF'!$J$9:$J$1544,'Exported CF'!$C$9:$C$1544,Controls!$D$5,'Exported CF'!$D$9:$D$1544,Controls!$D$7,'Exported CF'!$E$9:$E$1544,$C66),NA()))</x:f>
        <x:v>0</x:v>
      </x:c>
      <x:c r="I66" s="58" t="n">
        <x:f>IF(C66&gt;Controls!$D$12,0,IF(S66=1,SUMIFS('Exported CF'!$K$9:$K$1544,'Exported CF'!$C$9:$C$1544,Controls!$D$5,'Exported CF'!$D$9:$D$1544,Controls!$D$7,'Exported CF'!$E$9:$E$1544,$C66),NA()))</x:f>
        <x:v>0</x:v>
      </x:c>
      <x:c r="J66" s="58" t="n">
        <x:f>IF(C66&gt;Controls!$D$12,0,IF(S66=1,SUMIFS('Exported CF'!$L$9:$L$1544,'Exported CF'!$C$9:$C$1544,Controls!$D$5,'Exported CF'!$D$9:$D$1544,Controls!$D$7,'Exported CF'!$E$9:$E$1544,$C66),NA()))</x:f>
        <x:v>0</x:v>
      </x:c>
      <x:c r="K66" s="59" t="n">
        <x:f>F66+G66</x:f>
        <x:v>0</x:v>
      </x:c>
      <x:c r="L66" s="61" t="n">
        <x:f>1/(1+Controls!$D$9)^T66</x:f>
        <x:v>0.685079365450243</x:v>
      </x:c>
      <x:c r="M66" s="59" t="n">
        <x:f>K66*L66</x:f>
        <x:v>0</x:v>
      </x:c>
      <x:c r="N66" s="59" t="n">
        <x:f>G66*T66</x:f>
        <x:v>0</x:v>
      </x:c>
      <x:c r="O66" s="59" t="n">
        <x:f>E66-G66-H66</x:f>
        <x:v>0</x:v>
      </x:c>
      <x:c r="P66" s="60" t="n">
        <x:f>O66-I66</x:f>
        <x:v>0</x:v>
      </x:c>
      <x:c r="Q66" s="59" t="n">
        <x:f>K66/(1+MAX(0,Controls!$D$9-Controls!$D$11))^T66</x:f>
        <x:v>0</x:v>
      </x:c>
      <x:c r="R66" s="59" t="n">
        <x:f>K66/(1+Controls!$D$9+Controls!$D$11)^T66</x:f>
        <x:v>0</x:v>
      </x:c>
      <x:c r="S66" s="2" t="n">
        <x:f>COUNTIFS('Exported CF'!$C$9:$C$1544,Controls!$D$5,'Exported CF'!$D$9:$D$1544,Controls!$D$7,'Exported CF'!$E$9:$E$1544,$C66)</x:f>
        <x:v>1</x:v>
      </x:c>
      <x:c r="T66" s="62" t="n">
        <x:f>IF(C66&gt;Controls!$D$12,0,IF(S66=1,SUMIFS('Exported CF'!$M$9:$M$1544,'Exported CF'!$C$9:$C$1544,Controls!$D$5,'Exported CF'!$D$9:$D$1544,Controls!$D$7,'Exported CF'!$E$9:$E$1544,$C66),NA()))</x:f>
        <x:v>4.914442162902122</x:v>
      </x:c>
    </x:row>
    <x:row r="67" ht="20" customHeight="1">
      <x:c r="A67" s="2"/>
      <x:c r="B67" s="2"/>
      <x:c r="C67" s="2" t="n">
        <x:v>60</x:v>
      </x:c>
      <x:c r="D67" s="2" t="str">
        <x:v>2031-09</x:v>
      </x:c>
      <x:c r="E67" s="58" t="n">
        <x:f>IF(C67&gt;Controls!$D$12,0,IF(S67=1,SUMIFS('Exported CF'!$G$9:$G$1544,'Exported CF'!$C$9:$C$1544,Controls!$D$5,'Exported CF'!$D$9:$D$1544,Controls!$D$7,'Exported CF'!$E$9:$E$1544,$C67),NA()))</x:f>
        <x:v>0</x:v>
      </x:c>
      <x:c r="F67" s="58" t="n">
        <x:f>IF(C67&gt;Controls!$D$12,0,IF(S67=1,SUMIFS('Exported CF'!$H$9:$H$1544,'Exported CF'!$C$9:$C$1544,Controls!$D$5,'Exported CF'!$D$9:$D$1544,Controls!$D$7,'Exported CF'!$E$9:$E$1544,$C67),NA()))</x:f>
        <x:v>0</x:v>
      </x:c>
      <x:c r="G67" s="58" t="n">
        <x:f>IF(C67&gt;Controls!$D$12,0,IF(S67=1,SUMIFS('Exported CF'!$I$9:$I$1544,'Exported CF'!$C$9:$C$1544,Controls!$D$5,'Exported CF'!$D$9:$D$1544,Controls!$D$7,'Exported CF'!$E$9:$E$1544,$C67),NA()))</x:f>
        <x:v>0</x:v>
      </x:c>
      <x:c r="H67" s="58" t="n">
        <x:f>IF(C67&gt;Controls!$D$12,0,IF(S67=1,SUMIFS('Exported CF'!$J$9:$J$1544,'Exported CF'!$C$9:$C$1544,Controls!$D$5,'Exported CF'!$D$9:$D$1544,Controls!$D$7,'Exported CF'!$E$9:$E$1544,$C67),NA()))</x:f>
        <x:v>0</x:v>
      </x:c>
      <x:c r="I67" s="58" t="n">
        <x:f>IF(C67&gt;Controls!$D$12,0,IF(S67=1,SUMIFS('Exported CF'!$K$9:$K$1544,'Exported CF'!$C$9:$C$1544,Controls!$D$5,'Exported CF'!$D$9:$D$1544,Controls!$D$7,'Exported CF'!$E$9:$E$1544,$C67),NA()))</x:f>
        <x:v>0</x:v>
      </x:c>
      <x:c r="J67" s="58" t="n">
        <x:f>IF(C67&gt;Controls!$D$12,0,IF(S67=1,SUMIFS('Exported CF'!$L$9:$L$1544,'Exported CF'!$C$9:$C$1544,Controls!$D$5,'Exported CF'!$D$9:$D$1544,Controls!$D$7,'Exported CF'!$E$9:$E$1544,$C67),NA()))</x:f>
        <x:v>0</x:v>
      </x:c>
      <x:c r="K67" s="59" t="n">
        <x:f>F67+G67</x:f>
        <x:v>0</x:v>
      </x:c>
      <x:c r="L67" s="61" t="n">
        <x:f>1/(1+Controls!$D$9)^T67</x:f>
        <x:v>0.6806190490330787</x:v>
      </x:c>
      <x:c r="M67" s="59" t="n">
        <x:f>K67*L67</x:f>
        <x:v>0</x:v>
      </x:c>
      <x:c r="N67" s="59" t="n">
        <x:f>G67*T67</x:f>
        <x:v>0</x:v>
      </x:c>
      <x:c r="O67" s="59" t="n">
        <x:f>E67-G67-H67</x:f>
        <x:v>0</x:v>
      </x:c>
      <x:c r="P67" s="60" t="n">
        <x:f>O67-I67</x:f>
        <x:v>0</x:v>
      </x:c>
      <x:c r="Q67" s="59" t="n">
        <x:f>K67/(1+MAX(0,Controls!$D$9-Controls!$D$11))^T67</x:f>
        <x:v>0</x:v>
      </x:c>
      <x:c r="R67" s="59" t="n">
        <x:f>K67/(1+Controls!$D$9+Controls!$D$11)^T67</x:f>
        <x:v>0</x:v>
      </x:c>
      <x:c r="S67" s="2" t="n">
        <x:f>COUNTIFS('Exported CF'!$C$9:$C$1544,Controls!$D$5,'Exported CF'!$D$9:$D$1544,Controls!$D$7,'Exported CF'!$E$9:$E$1544,$C67)</x:f>
        <x:v>1</x:v>
      </x:c>
      <x:c r="T67" s="62" t="n">
        <x:f>IF(C67&gt;Controls!$D$12,0,IF(S67=1,SUMIFS('Exported CF'!$M$9:$M$1544,'Exported CF'!$C$9:$C$1544,Controls!$D$5,'Exported CF'!$D$9:$D$1544,Controls!$D$7,'Exported CF'!$E$9:$E$1544,$C67),NA()))</x:f>
        <x:v>4.999315537303217</x:v>
      </x:c>
    </x:row>
    <x:row r="68" ht="20" customHeight="1">
      <x:c r="A68" s="2"/>
      <x:c r="B68" s="2"/>
      <x:c r="C68" s="2" t="n">
        <x:v>61</x:v>
      </x:c>
      <x:c r="D68" s="2" t="str">
        <x:v>2031-10</x:v>
      </x:c>
      <x:c r="E68" s="58" t="n">
        <x:f>IF(C68&gt;Controls!$D$12,0,IF(S68=1,SUMIFS('Exported CF'!$G$9:$G$1544,'Exported CF'!$C$9:$C$1544,Controls!$D$5,'Exported CF'!$D$9:$D$1544,Controls!$D$7,'Exported CF'!$E$9:$E$1544,$C68),NA()))</x:f>
        <x:v>0</x:v>
      </x:c>
      <x:c r="F68" s="58" t="n">
        <x:f>IF(C68&gt;Controls!$D$12,0,IF(S68=1,SUMIFS('Exported CF'!$H$9:$H$1544,'Exported CF'!$C$9:$C$1544,Controls!$D$5,'Exported CF'!$D$9:$D$1544,Controls!$D$7,'Exported CF'!$E$9:$E$1544,$C68),NA()))</x:f>
        <x:v>0</x:v>
      </x:c>
      <x:c r="G68" s="58" t="n">
        <x:f>IF(C68&gt;Controls!$D$12,0,IF(S68=1,SUMIFS('Exported CF'!$I$9:$I$1544,'Exported CF'!$C$9:$C$1544,Controls!$D$5,'Exported CF'!$D$9:$D$1544,Controls!$D$7,'Exported CF'!$E$9:$E$1544,$C68),NA()))</x:f>
        <x:v>0</x:v>
      </x:c>
      <x:c r="H68" s="58" t="n">
        <x:f>IF(C68&gt;Controls!$D$12,0,IF(S68=1,SUMIFS('Exported CF'!$J$9:$J$1544,'Exported CF'!$C$9:$C$1544,Controls!$D$5,'Exported CF'!$D$9:$D$1544,Controls!$D$7,'Exported CF'!$E$9:$E$1544,$C68),NA()))</x:f>
        <x:v>0</x:v>
      </x:c>
      <x:c r="I68" s="58" t="n">
        <x:f>IF(C68&gt;Controls!$D$12,0,IF(S68=1,SUMIFS('Exported CF'!$K$9:$K$1544,'Exported CF'!$C$9:$C$1544,Controls!$D$5,'Exported CF'!$D$9:$D$1544,Controls!$D$7,'Exported CF'!$E$9:$E$1544,$C68),NA()))</x:f>
        <x:v>0</x:v>
      </x:c>
      <x:c r="J68" s="58" t="n">
        <x:f>IF(C68&gt;Controls!$D$12,0,IF(S68=1,SUMIFS('Exported CF'!$L$9:$L$1544,'Exported CF'!$C$9:$C$1544,Controls!$D$5,'Exported CF'!$D$9:$D$1544,Controls!$D$7,'Exported CF'!$E$9:$E$1544,$C68),NA()))</x:f>
        <x:v>0</x:v>
      </x:c>
      <x:c r="K68" s="59" t="n">
        <x:f>F68+G68</x:f>
        <x:v>0</x:v>
      </x:c>
      <x:c r="L68" s="61" t="n">
        <x:f>1/(1+Controls!$D$9)^T68</x:f>
        <x:v>0.6763302652853082</x:v>
      </x:c>
      <x:c r="M68" s="59" t="n">
        <x:f>K68*L68</x:f>
        <x:v>0</x:v>
      </x:c>
      <x:c r="N68" s="59" t="n">
        <x:f>G68*T68</x:f>
        <x:v>0</x:v>
      </x:c>
      <x:c r="O68" s="59" t="n">
        <x:f>E68-G68-H68</x:f>
        <x:v>0</x:v>
      </x:c>
      <x:c r="P68" s="60" t="n">
        <x:f>O68-I68</x:f>
        <x:v>0</x:v>
      </x:c>
      <x:c r="Q68" s="59" t="n">
        <x:f>K68/(1+MAX(0,Controls!$D$9-Controls!$D$11))^T68</x:f>
        <x:v>0</x:v>
      </x:c>
      <x:c r="R68" s="59" t="n">
        <x:f>K68/(1+Controls!$D$9+Controls!$D$11)^T68</x:f>
        <x:v>0</x:v>
      </x:c>
      <x:c r="S68" s="2" t="n">
        <x:f>COUNTIFS('Exported CF'!$C$9:$C$1544,Controls!$D$5,'Exported CF'!$D$9:$D$1544,Controls!$D$7,'Exported CF'!$E$9:$E$1544,$C68)</x:f>
        <x:v>1</x:v>
      </x:c>
      <x:c r="T68" s="62" t="n">
        <x:f>IF(C68&gt;Controls!$D$12,0,IF(S68=1,SUMIFS('Exported CF'!$M$9:$M$1544,'Exported CF'!$C$9:$C$1544,Controls!$D$5,'Exported CF'!$D$9:$D$1544,Controls!$D$7,'Exported CF'!$E$9:$E$1544,$C68),NA()))</x:f>
        <x:v>5.08145106091718</x:v>
      </x:c>
    </x:row>
    <x:row r="69" ht="20" customHeight="1">
      <x:c r="A69" s="2"/>
      <x:c r="B69" s="2"/>
      <x:c r="C69" s="2" t="n">
        <x:v>62</x:v>
      </x:c>
      <x:c r="D69" s="2" t="str">
        <x:v>2031-11</x:v>
      </x:c>
      <x:c r="E69" s="58" t="n">
        <x:f>IF(C69&gt;Controls!$D$12,0,IF(S69=1,SUMIFS('Exported CF'!$G$9:$G$1544,'Exported CF'!$C$9:$C$1544,Controls!$D$5,'Exported CF'!$D$9:$D$1544,Controls!$D$7,'Exported CF'!$E$9:$E$1544,$C69),NA()))</x:f>
        <x:v>0</x:v>
      </x:c>
      <x:c r="F69" s="58" t="n">
        <x:f>IF(C69&gt;Controls!$D$12,0,IF(S69=1,SUMIFS('Exported CF'!$H$9:$H$1544,'Exported CF'!$C$9:$C$1544,Controls!$D$5,'Exported CF'!$D$9:$D$1544,Controls!$D$7,'Exported CF'!$E$9:$E$1544,$C69),NA()))</x:f>
        <x:v>0</x:v>
      </x:c>
      <x:c r="G69" s="58" t="n">
        <x:f>IF(C69&gt;Controls!$D$12,0,IF(S69=1,SUMIFS('Exported CF'!$I$9:$I$1544,'Exported CF'!$C$9:$C$1544,Controls!$D$5,'Exported CF'!$D$9:$D$1544,Controls!$D$7,'Exported CF'!$E$9:$E$1544,$C69),NA()))</x:f>
        <x:v>0</x:v>
      </x:c>
      <x:c r="H69" s="58" t="n">
        <x:f>IF(C69&gt;Controls!$D$12,0,IF(S69=1,SUMIFS('Exported CF'!$J$9:$J$1544,'Exported CF'!$C$9:$C$1544,Controls!$D$5,'Exported CF'!$D$9:$D$1544,Controls!$D$7,'Exported CF'!$E$9:$E$1544,$C69),NA()))</x:f>
        <x:v>0</x:v>
      </x:c>
      <x:c r="I69" s="58" t="n">
        <x:f>IF(C69&gt;Controls!$D$12,0,IF(S69=1,SUMIFS('Exported CF'!$K$9:$K$1544,'Exported CF'!$C$9:$C$1544,Controls!$D$5,'Exported CF'!$D$9:$D$1544,Controls!$D$7,'Exported CF'!$E$9:$E$1544,$C69),NA()))</x:f>
        <x:v>0</x:v>
      </x:c>
      <x:c r="J69" s="58" t="n">
        <x:f>IF(C69&gt;Controls!$D$12,0,IF(S69=1,SUMIFS('Exported CF'!$L$9:$L$1544,'Exported CF'!$C$9:$C$1544,Controls!$D$5,'Exported CF'!$D$9:$D$1544,Controls!$D$7,'Exported CF'!$E$9:$E$1544,$C69),NA()))</x:f>
        <x:v>0</x:v>
      </x:c>
      <x:c r="K69" s="59" t="n">
        <x:f>F69+G69</x:f>
        <x:v>0</x:v>
      </x:c>
      <x:c r="L69" s="61" t="n">
        <x:f>1/(1+Controls!$D$9)^T69</x:f>
        <x:v>1</x:v>
      </x:c>
      <x:c r="M69" s="59" t="n">
        <x:f>K69*L69</x:f>
        <x:v>0</x:v>
      </x:c>
      <x:c r="N69" s="59" t="n">
        <x:f>G69*T69</x:f>
        <x:v>0</x:v>
      </x:c>
      <x:c r="O69" s="59" t="n">
        <x:f>E69-G69-H69</x:f>
        <x:v>0</x:v>
      </x:c>
      <x:c r="P69" s="60" t="n">
        <x:f>O69-I69</x:f>
        <x:v>0</x:v>
      </x:c>
      <x:c r="Q69" s="59" t="n">
        <x:f>K69/(1+MAX(0,Controls!$D$9-Controls!$D$11))^T69</x:f>
        <x:v>0</x:v>
      </x:c>
      <x:c r="R69" s="59" t="n">
        <x:f>K69/(1+Controls!$D$9+Controls!$D$11)^T69</x:f>
        <x:v>0</x:v>
      </x:c>
      <x:c r="S69" s="2" t="n">
        <x:f>COUNTIFS('Exported CF'!$C$9:$C$1544,Controls!$D$5,'Exported CF'!$D$9:$D$1544,Controls!$D$7,'Exported CF'!$E$9:$E$1544,$C69)</x:f>
        <x:v>0</x:v>
      </x:c>
      <x:c r="T69" s="62" t="n">
        <x:f>IF(C69&gt;Controls!$D$12,0,IF(S69=1,SUMIFS('Exported CF'!$M$9:$M$1544,'Exported CF'!$C$9:$C$1544,Controls!$D$5,'Exported CF'!$D$9:$D$1544,Controls!$D$7,'Exported CF'!$E$9:$E$1544,$C69),NA()))</x:f>
        <x:v>0</x:v>
      </x:c>
    </x:row>
    <x:row r="70" ht="20" customHeight="1">
      <x:c r="A70" s="2"/>
      <x:c r="B70" s="2"/>
      <x:c r="C70" s="2" t="n">
        <x:v>63</x:v>
      </x:c>
      <x:c r="D70" s="2" t="str">
        <x:v>2031-12</x:v>
      </x:c>
      <x:c r="E70" s="58" t="n">
        <x:f>IF(C70&gt;Controls!$D$12,0,IF(S70=1,SUMIFS('Exported CF'!$G$9:$G$1544,'Exported CF'!$C$9:$C$1544,Controls!$D$5,'Exported CF'!$D$9:$D$1544,Controls!$D$7,'Exported CF'!$E$9:$E$1544,$C70),NA()))</x:f>
        <x:v>0</x:v>
      </x:c>
      <x:c r="F70" s="58" t="n">
        <x:f>IF(C70&gt;Controls!$D$12,0,IF(S70=1,SUMIFS('Exported CF'!$H$9:$H$1544,'Exported CF'!$C$9:$C$1544,Controls!$D$5,'Exported CF'!$D$9:$D$1544,Controls!$D$7,'Exported CF'!$E$9:$E$1544,$C70),NA()))</x:f>
        <x:v>0</x:v>
      </x:c>
      <x:c r="G70" s="58" t="n">
        <x:f>IF(C70&gt;Controls!$D$12,0,IF(S70=1,SUMIFS('Exported CF'!$I$9:$I$1544,'Exported CF'!$C$9:$C$1544,Controls!$D$5,'Exported CF'!$D$9:$D$1544,Controls!$D$7,'Exported CF'!$E$9:$E$1544,$C70),NA()))</x:f>
        <x:v>0</x:v>
      </x:c>
      <x:c r="H70" s="58" t="n">
        <x:f>IF(C70&gt;Controls!$D$12,0,IF(S70=1,SUMIFS('Exported CF'!$J$9:$J$1544,'Exported CF'!$C$9:$C$1544,Controls!$D$5,'Exported CF'!$D$9:$D$1544,Controls!$D$7,'Exported CF'!$E$9:$E$1544,$C70),NA()))</x:f>
        <x:v>0</x:v>
      </x:c>
      <x:c r="I70" s="58" t="n">
        <x:f>IF(C70&gt;Controls!$D$12,0,IF(S70=1,SUMIFS('Exported CF'!$K$9:$K$1544,'Exported CF'!$C$9:$C$1544,Controls!$D$5,'Exported CF'!$D$9:$D$1544,Controls!$D$7,'Exported CF'!$E$9:$E$1544,$C70),NA()))</x:f>
        <x:v>0</x:v>
      </x:c>
      <x:c r="J70" s="58" t="n">
        <x:f>IF(C70&gt;Controls!$D$12,0,IF(S70=1,SUMIFS('Exported CF'!$L$9:$L$1544,'Exported CF'!$C$9:$C$1544,Controls!$D$5,'Exported CF'!$D$9:$D$1544,Controls!$D$7,'Exported CF'!$E$9:$E$1544,$C70),NA()))</x:f>
        <x:v>0</x:v>
      </x:c>
      <x:c r="K70" s="59" t="n">
        <x:f>F70+G70</x:f>
        <x:v>0</x:v>
      </x:c>
      <x:c r="L70" s="61" t="n">
        <x:f>1/(1+Controls!$D$9)^T70</x:f>
        <x:v>1</x:v>
      </x:c>
      <x:c r="M70" s="59" t="n">
        <x:f>K70*L70</x:f>
        <x:v>0</x:v>
      </x:c>
      <x:c r="N70" s="59" t="n">
        <x:f>G70*T70</x:f>
        <x:v>0</x:v>
      </x:c>
      <x:c r="O70" s="59" t="n">
        <x:f>E70-G70-H70</x:f>
        <x:v>0</x:v>
      </x:c>
      <x:c r="P70" s="60" t="n">
        <x:f>O70-I70</x:f>
        <x:v>0</x:v>
      </x:c>
      <x:c r="Q70" s="59" t="n">
        <x:f>K70/(1+MAX(0,Controls!$D$9-Controls!$D$11))^T70</x:f>
        <x:v>0</x:v>
      </x:c>
      <x:c r="R70" s="59" t="n">
        <x:f>K70/(1+Controls!$D$9+Controls!$D$11)^T70</x:f>
        <x:v>0</x:v>
      </x:c>
      <x:c r="S70" s="2" t="n">
        <x:f>COUNTIFS('Exported CF'!$C$9:$C$1544,Controls!$D$5,'Exported CF'!$D$9:$D$1544,Controls!$D$7,'Exported CF'!$E$9:$E$1544,$C70)</x:f>
        <x:v>0</x:v>
      </x:c>
      <x:c r="T70" s="62" t="n">
        <x:f>IF(C70&gt;Controls!$D$12,0,IF(S70=1,SUMIFS('Exported CF'!$M$9:$M$1544,'Exported CF'!$C$9:$C$1544,Controls!$D$5,'Exported CF'!$D$9:$D$1544,Controls!$D$7,'Exported CF'!$E$9:$E$1544,$C70),NA()))</x:f>
        <x:v>0</x:v>
      </x:c>
    </x:row>
    <x:row r="71" ht="20" customHeight="1">
      <x:c r="A71" s="2"/>
      <x:c r="B71" s="2"/>
      <x:c r="C71" s="2" t="n">
        <x:v>64</x:v>
      </x:c>
      <x:c r="D71" s="2" t="str">
        <x:v>2032-01</x:v>
      </x:c>
      <x:c r="E71" s="58" t="n">
        <x:f>IF(C71&gt;Controls!$D$12,0,IF(S71=1,SUMIFS('Exported CF'!$G$9:$G$1544,'Exported CF'!$C$9:$C$1544,Controls!$D$5,'Exported CF'!$D$9:$D$1544,Controls!$D$7,'Exported CF'!$E$9:$E$1544,$C71),NA()))</x:f>
        <x:v>0</x:v>
      </x:c>
      <x:c r="F71" s="58" t="n">
        <x:f>IF(C71&gt;Controls!$D$12,0,IF(S71=1,SUMIFS('Exported CF'!$H$9:$H$1544,'Exported CF'!$C$9:$C$1544,Controls!$D$5,'Exported CF'!$D$9:$D$1544,Controls!$D$7,'Exported CF'!$E$9:$E$1544,$C71),NA()))</x:f>
        <x:v>0</x:v>
      </x:c>
      <x:c r="G71" s="58" t="n">
        <x:f>IF(C71&gt;Controls!$D$12,0,IF(S71=1,SUMIFS('Exported CF'!$I$9:$I$1544,'Exported CF'!$C$9:$C$1544,Controls!$D$5,'Exported CF'!$D$9:$D$1544,Controls!$D$7,'Exported CF'!$E$9:$E$1544,$C71),NA()))</x:f>
        <x:v>0</x:v>
      </x:c>
      <x:c r="H71" s="58" t="n">
        <x:f>IF(C71&gt;Controls!$D$12,0,IF(S71=1,SUMIFS('Exported CF'!$J$9:$J$1544,'Exported CF'!$C$9:$C$1544,Controls!$D$5,'Exported CF'!$D$9:$D$1544,Controls!$D$7,'Exported CF'!$E$9:$E$1544,$C71),NA()))</x:f>
        <x:v>0</x:v>
      </x:c>
      <x:c r="I71" s="58" t="n">
        <x:f>IF(C71&gt;Controls!$D$12,0,IF(S71=1,SUMIFS('Exported CF'!$K$9:$K$1544,'Exported CF'!$C$9:$C$1544,Controls!$D$5,'Exported CF'!$D$9:$D$1544,Controls!$D$7,'Exported CF'!$E$9:$E$1544,$C71),NA()))</x:f>
        <x:v>0</x:v>
      </x:c>
      <x:c r="J71" s="58" t="n">
        <x:f>IF(C71&gt;Controls!$D$12,0,IF(S71=1,SUMIFS('Exported CF'!$L$9:$L$1544,'Exported CF'!$C$9:$C$1544,Controls!$D$5,'Exported CF'!$D$9:$D$1544,Controls!$D$7,'Exported CF'!$E$9:$E$1544,$C71),NA()))</x:f>
        <x:v>0</x:v>
      </x:c>
      <x:c r="K71" s="59" t="n">
        <x:f>F71+G71</x:f>
        <x:v>0</x:v>
      </x:c>
      <x:c r="L71" s="61" t="n">
        <x:f>1/(1+Controls!$D$9)^T71</x:f>
        <x:v>1</x:v>
      </x:c>
      <x:c r="M71" s="59" t="n">
        <x:f>K71*L71</x:f>
        <x:v>0</x:v>
      </x:c>
      <x:c r="N71" s="59" t="n">
        <x:f>G71*T71</x:f>
        <x:v>0</x:v>
      </x:c>
      <x:c r="O71" s="59" t="n">
        <x:f>E71-G71-H71</x:f>
        <x:v>0</x:v>
      </x:c>
      <x:c r="P71" s="60" t="n">
        <x:f>O71-I71</x:f>
        <x:v>0</x:v>
      </x:c>
      <x:c r="Q71" s="59" t="n">
        <x:f>K71/(1+MAX(0,Controls!$D$9-Controls!$D$11))^T71</x:f>
        <x:v>0</x:v>
      </x:c>
      <x:c r="R71" s="59" t="n">
        <x:f>K71/(1+Controls!$D$9+Controls!$D$11)^T71</x:f>
        <x:v>0</x:v>
      </x:c>
      <x:c r="S71" s="2" t="n">
        <x:f>COUNTIFS('Exported CF'!$C$9:$C$1544,Controls!$D$5,'Exported CF'!$D$9:$D$1544,Controls!$D$7,'Exported CF'!$E$9:$E$1544,$C71)</x:f>
        <x:v>0</x:v>
      </x:c>
      <x:c r="T71" s="62" t="n">
        <x:f>IF(C71&gt;Controls!$D$12,0,IF(S71=1,SUMIFS('Exported CF'!$M$9:$M$1544,'Exported CF'!$C$9:$C$1544,Controls!$D$5,'Exported CF'!$D$9:$D$1544,Controls!$D$7,'Exported CF'!$E$9:$E$1544,$C71),NA()))</x:f>
        <x:v>0</x:v>
      </x:c>
    </x:row>
    <x:row r="72" ht="20" customHeight="1">
      <x:c r="A72" s="2"/>
      <x:c r="B72" s="2"/>
      <x:c r="C72" s="2" t="n">
        <x:v>65</x:v>
      </x:c>
      <x:c r="D72" s="2" t="str">
        <x:v>2032-02</x:v>
      </x:c>
      <x:c r="E72" s="58" t="n">
        <x:f>IF(C72&gt;Controls!$D$12,0,IF(S72=1,SUMIFS('Exported CF'!$G$9:$G$1544,'Exported CF'!$C$9:$C$1544,Controls!$D$5,'Exported CF'!$D$9:$D$1544,Controls!$D$7,'Exported CF'!$E$9:$E$1544,$C72),NA()))</x:f>
        <x:v>0</x:v>
      </x:c>
      <x:c r="F72" s="58" t="n">
        <x:f>IF(C72&gt;Controls!$D$12,0,IF(S72=1,SUMIFS('Exported CF'!$H$9:$H$1544,'Exported CF'!$C$9:$C$1544,Controls!$D$5,'Exported CF'!$D$9:$D$1544,Controls!$D$7,'Exported CF'!$E$9:$E$1544,$C72),NA()))</x:f>
        <x:v>0</x:v>
      </x:c>
      <x:c r="G72" s="58" t="n">
        <x:f>IF(C72&gt;Controls!$D$12,0,IF(S72=1,SUMIFS('Exported CF'!$I$9:$I$1544,'Exported CF'!$C$9:$C$1544,Controls!$D$5,'Exported CF'!$D$9:$D$1544,Controls!$D$7,'Exported CF'!$E$9:$E$1544,$C72),NA()))</x:f>
        <x:v>0</x:v>
      </x:c>
      <x:c r="H72" s="58" t="n">
        <x:f>IF(C72&gt;Controls!$D$12,0,IF(S72=1,SUMIFS('Exported CF'!$J$9:$J$1544,'Exported CF'!$C$9:$C$1544,Controls!$D$5,'Exported CF'!$D$9:$D$1544,Controls!$D$7,'Exported CF'!$E$9:$E$1544,$C72),NA()))</x:f>
        <x:v>0</x:v>
      </x:c>
      <x:c r="I72" s="58" t="n">
        <x:f>IF(C72&gt;Controls!$D$12,0,IF(S72=1,SUMIFS('Exported CF'!$K$9:$K$1544,'Exported CF'!$C$9:$C$1544,Controls!$D$5,'Exported CF'!$D$9:$D$1544,Controls!$D$7,'Exported CF'!$E$9:$E$1544,$C72),NA()))</x:f>
        <x:v>0</x:v>
      </x:c>
      <x:c r="J72" s="58" t="n">
        <x:f>IF(C72&gt;Controls!$D$12,0,IF(S72=1,SUMIFS('Exported CF'!$L$9:$L$1544,'Exported CF'!$C$9:$C$1544,Controls!$D$5,'Exported CF'!$D$9:$D$1544,Controls!$D$7,'Exported CF'!$E$9:$E$1544,$C72),NA()))</x:f>
        <x:v>0</x:v>
      </x:c>
      <x:c r="K72" s="59" t="n">
        <x:f>F72+G72</x:f>
        <x:v>0</x:v>
      </x:c>
      <x:c r="L72" s="61" t="n">
        <x:f>1/(1+Controls!$D$9)^T72</x:f>
        <x:v>1</x:v>
      </x:c>
      <x:c r="M72" s="59" t="n">
        <x:f>K72*L72</x:f>
        <x:v>0</x:v>
      </x:c>
      <x:c r="N72" s="59" t="n">
        <x:f>G72*T72</x:f>
        <x:v>0</x:v>
      </x:c>
      <x:c r="O72" s="59" t="n">
        <x:f>E72-G72-H72</x:f>
        <x:v>0</x:v>
      </x:c>
      <x:c r="P72" s="60" t="n">
        <x:f>O72-I72</x:f>
        <x:v>0</x:v>
      </x:c>
      <x:c r="Q72" s="59" t="n">
        <x:f>K72/(1+MAX(0,Controls!$D$9-Controls!$D$11))^T72</x:f>
        <x:v>0</x:v>
      </x:c>
      <x:c r="R72" s="59" t="n">
        <x:f>K72/(1+Controls!$D$9+Controls!$D$11)^T72</x:f>
        <x:v>0</x:v>
      </x:c>
      <x:c r="S72" s="2" t="n">
        <x:f>COUNTIFS('Exported CF'!$C$9:$C$1544,Controls!$D$5,'Exported CF'!$D$9:$D$1544,Controls!$D$7,'Exported CF'!$E$9:$E$1544,$C72)</x:f>
        <x:v>0</x:v>
      </x:c>
      <x:c r="T72" s="62" t="n">
        <x:f>IF(C72&gt;Controls!$D$12,0,IF(S72=1,SUMIFS('Exported CF'!$M$9:$M$1544,'Exported CF'!$C$9:$C$1544,Controls!$D$5,'Exported CF'!$D$9:$D$1544,Controls!$D$7,'Exported CF'!$E$9:$E$1544,$C72),NA()))</x:f>
        <x:v>0</x:v>
      </x:c>
    </x:row>
    <x:row r="73" ht="20" customHeight="1">
      <x:c r="A73" s="2"/>
      <x:c r="B73" s="2"/>
      <x:c r="C73" s="2" t="n">
        <x:v>66</x:v>
      </x:c>
      <x:c r="D73" s="2" t="str">
        <x:v>2032-03</x:v>
      </x:c>
      <x:c r="E73" s="58" t="n">
        <x:f>IF(C73&gt;Controls!$D$12,0,IF(S73=1,SUMIFS('Exported CF'!$G$9:$G$1544,'Exported CF'!$C$9:$C$1544,Controls!$D$5,'Exported CF'!$D$9:$D$1544,Controls!$D$7,'Exported CF'!$E$9:$E$1544,$C73),NA()))</x:f>
        <x:v>0</x:v>
      </x:c>
      <x:c r="F73" s="58" t="n">
        <x:f>IF(C73&gt;Controls!$D$12,0,IF(S73=1,SUMIFS('Exported CF'!$H$9:$H$1544,'Exported CF'!$C$9:$C$1544,Controls!$D$5,'Exported CF'!$D$9:$D$1544,Controls!$D$7,'Exported CF'!$E$9:$E$1544,$C73),NA()))</x:f>
        <x:v>0</x:v>
      </x:c>
      <x:c r="G73" s="58" t="n">
        <x:f>IF(C73&gt;Controls!$D$12,0,IF(S73=1,SUMIFS('Exported CF'!$I$9:$I$1544,'Exported CF'!$C$9:$C$1544,Controls!$D$5,'Exported CF'!$D$9:$D$1544,Controls!$D$7,'Exported CF'!$E$9:$E$1544,$C73),NA()))</x:f>
        <x:v>0</x:v>
      </x:c>
      <x:c r="H73" s="58" t="n">
        <x:f>IF(C73&gt;Controls!$D$12,0,IF(S73=1,SUMIFS('Exported CF'!$J$9:$J$1544,'Exported CF'!$C$9:$C$1544,Controls!$D$5,'Exported CF'!$D$9:$D$1544,Controls!$D$7,'Exported CF'!$E$9:$E$1544,$C73),NA()))</x:f>
        <x:v>0</x:v>
      </x:c>
      <x:c r="I73" s="58" t="n">
        <x:f>IF(C73&gt;Controls!$D$12,0,IF(S73=1,SUMIFS('Exported CF'!$K$9:$K$1544,'Exported CF'!$C$9:$C$1544,Controls!$D$5,'Exported CF'!$D$9:$D$1544,Controls!$D$7,'Exported CF'!$E$9:$E$1544,$C73),NA()))</x:f>
        <x:v>0</x:v>
      </x:c>
      <x:c r="J73" s="58" t="n">
        <x:f>IF(C73&gt;Controls!$D$12,0,IF(S73=1,SUMIFS('Exported CF'!$L$9:$L$1544,'Exported CF'!$C$9:$C$1544,Controls!$D$5,'Exported CF'!$D$9:$D$1544,Controls!$D$7,'Exported CF'!$E$9:$E$1544,$C73),NA()))</x:f>
        <x:v>0</x:v>
      </x:c>
      <x:c r="K73" s="59" t="n">
        <x:f>F73+G73</x:f>
        <x:v>0</x:v>
      </x:c>
      <x:c r="L73" s="61" t="n">
        <x:f>1/(1+Controls!$D$9)^T73</x:f>
        <x:v>1</x:v>
      </x:c>
      <x:c r="M73" s="59" t="n">
        <x:f>K73*L73</x:f>
        <x:v>0</x:v>
      </x:c>
      <x:c r="N73" s="59" t="n">
        <x:f>G73*T73</x:f>
        <x:v>0</x:v>
      </x:c>
      <x:c r="O73" s="59" t="n">
        <x:f>E73-G73-H73</x:f>
        <x:v>0</x:v>
      </x:c>
      <x:c r="P73" s="60" t="n">
        <x:f>O73-I73</x:f>
        <x:v>0</x:v>
      </x:c>
      <x:c r="Q73" s="59" t="n">
        <x:f>K73/(1+MAX(0,Controls!$D$9-Controls!$D$11))^T73</x:f>
        <x:v>0</x:v>
      </x:c>
      <x:c r="R73" s="59" t="n">
        <x:f>K73/(1+Controls!$D$9+Controls!$D$11)^T73</x:f>
        <x:v>0</x:v>
      </x:c>
      <x:c r="S73" s="2" t="n">
        <x:f>COUNTIFS('Exported CF'!$C$9:$C$1544,Controls!$D$5,'Exported CF'!$D$9:$D$1544,Controls!$D$7,'Exported CF'!$E$9:$E$1544,$C73)</x:f>
        <x:v>0</x:v>
      </x:c>
      <x:c r="T73" s="62" t="n">
        <x:f>IF(C73&gt;Controls!$D$12,0,IF(S73=1,SUMIFS('Exported CF'!$M$9:$M$1544,'Exported CF'!$C$9:$C$1544,Controls!$D$5,'Exported CF'!$D$9:$D$1544,Controls!$D$7,'Exported CF'!$E$9:$E$1544,$C73),NA()))</x:f>
        <x:v>0</x:v>
      </x:c>
    </x:row>
    <x:row r="74" ht="20" customHeight="1">
      <x:c r="A74" s="2"/>
      <x:c r="B74" s="2"/>
      <x:c r="C74" s="2" t="n">
        <x:v>67</x:v>
      </x:c>
      <x:c r="D74" s="2" t="str">
        <x:v>2032-04</x:v>
      </x:c>
      <x:c r="E74" s="58" t="n">
        <x:f>IF(C74&gt;Controls!$D$12,0,IF(S74=1,SUMIFS('Exported CF'!$G$9:$G$1544,'Exported CF'!$C$9:$C$1544,Controls!$D$5,'Exported CF'!$D$9:$D$1544,Controls!$D$7,'Exported CF'!$E$9:$E$1544,$C74),NA()))</x:f>
        <x:v>0</x:v>
      </x:c>
      <x:c r="F74" s="58" t="n">
        <x:f>IF(C74&gt;Controls!$D$12,0,IF(S74=1,SUMIFS('Exported CF'!$H$9:$H$1544,'Exported CF'!$C$9:$C$1544,Controls!$D$5,'Exported CF'!$D$9:$D$1544,Controls!$D$7,'Exported CF'!$E$9:$E$1544,$C74),NA()))</x:f>
        <x:v>0</x:v>
      </x:c>
      <x:c r="G74" s="58" t="n">
        <x:f>IF(C74&gt;Controls!$D$12,0,IF(S74=1,SUMIFS('Exported CF'!$I$9:$I$1544,'Exported CF'!$C$9:$C$1544,Controls!$D$5,'Exported CF'!$D$9:$D$1544,Controls!$D$7,'Exported CF'!$E$9:$E$1544,$C74),NA()))</x:f>
        <x:v>0</x:v>
      </x:c>
      <x:c r="H74" s="58" t="n">
        <x:f>IF(C74&gt;Controls!$D$12,0,IF(S74=1,SUMIFS('Exported CF'!$J$9:$J$1544,'Exported CF'!$C$9:$C$1544,Controls!$D$5,'Exported CF'!$D$9:$D$1544,Controls!$D$7,'Exported CF'!$E$9:$E$1544,$C74),NA()))</x:f>
        <x:v>0</x:v>
      </x:c>
      <x:c r="I74" s="58" t="n">
        <x:f>IF(C74&gt;Controls!$D$12,0,IF(S74=1,SUMIFS('Exported CF'!$K$9:$K$1544,'Exported CF'!$C$9:$C$1544,Controls!$D$5,'Exported CF'!$D$9:$D$1544,Controls!$D$7,'Exported CF'!$E$9:$E$1544,$C74),NA()))</x:f>
        <x:v>0</x:v>
      </x:c>
      <x:c r="J74" s="58" t="n">
        <x:f>IF(C74&gt;Controls!$D$12,0,IF(S74=1,SUMIFS('Exported CF'!$L$9:$L$1544,'Exported CF'!$C$9:$C$1544,Controls!$D$5,'Exported CF'!$D$9:$D$1544,Controls!$D$7,'Exported CF'!$E$9:$E$1544,$C74),NA()))</x:f>
        <x:v>0</x:v>
      </x:c>
      <x:c r="K74" s="59" t="n">
        <x:f>F74+G74</x:f>
        <x:v>0</x:v>
      </x:c>
      <x:c r="L74" s="61" t="n">
        <x:f>1/(1+Controls!$D$9)^T74</x:f>
        <x:v>1</x:v>
      </x:c>
      <x:c r="M74" s="59" t="n">
        <x:f>K74*L74</x:f>
        <x:v>0</x:v>
      </x:c>
      <x:c r="N74" s="59" t="n">
        <x:f>G74*T74</x:f>
        <x:v>0</x:v>
      </x:c>
      <x:c r="O74" s="59" t="n">
        <x:f>E74-G74-H74</x:f>
        <x:v>0</x:v>
      </x:c>
      <x:c r="P74" s="60" t="n">
        <x:f>O74-I74</x:f>
        <x:v>0</x:v>
      </x:c>
      <x:c r="Q74" s="59" t="n">
        <x:f>K74/(1+MAX(0,Controls!$D$9-Controls!$D$11))^T74</x:f>
        <x:v>0</x:v>
      </x:c>
      <x:c r="R74" s="59" t="n">
        <x:f>K74/(1+Controls!$D$9+Controls!$D$11)^T74</x:f>
        <x:v>0</x:v>
      </x:c>
      <x:c r="S74" s="2" t="n">
        <x:f>COUNTIFS('Exported CF'!$C$9:$C$1544,Controls!$D$5,'Exported CF'!$D$9:$D$1544,Controls!$D$7,'Exported CF'!$E$9:$E$1544,$C74)</x:f>
        <x:v>0</x:v>
      </x:c>
      <x:c r="T74" s="62" t="n">
        <x:f>IF(C74&gt;Controls!$D$12,0,IF(S74=1,SUMIFS('Exported CF'!$M$9:$M$1544,'Exported CF'!$C$9:$C$1544,Controls!$D$5,'Exported CF'!$D$9:$D$1544,Controls!$D$7,'Exported CF'!$E$9:$E$1544,$C74),NA()))</x:f>
        <x:v>0</x:v>
      </x:c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6" ySplit="8" topLeftCell="G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Python model cash-flow inputs (USD)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 t="str">
        <x:v>Case selected:</x:v>
      </x:c>
      <x:c r="D4" s="30" t="str">
        <x:f>Controls!D6</x:f>
        <x:v>Central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0" customHeight="1">
      <x:c r="A6" s="2"/>
      <x:c r="B6" s="2"/>
      <x:c r="C6" s="2" t="str">
        <x:v>Saved scenarios: Central, Downside, Severe. These inputs change only when the Python model is rerun.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8" customHeight="1">
      <x:c r="A8" s="2"/>
      <x:c r="B8" s="2"/>
      <x:c r="C8" s="19" t="str">
        <x:v>Scenario ID</x:v>
      </x:c>
      <x:c r="D8" s="20" t="str">
        <x:v>Class ID</x:v>
      </x:c>
      <x:c r="E8" s="20" t="str">
        <x:v>Month</x:v>
      </x:c>
      <x:c r="F8" s="20" t="str">
        <x:v>Period</x:v>
      </x:c>
      <x:c r="G8" s="20" t="str">
        <x:v>Opening note</x:v>
      </x:c>
      <x:c r="H8" s="20" t="str">
        <x:v>Interest paid</x:v>
      </x:c>
      <x:c r="I8" s="20" t="str">
        <x:v>Principal paid</x:v>
      </x:c>
      <x:c r="J8" s="20" t="str">
        <x:v>Principal loss</x:v>
      </x:c>
      <x:c r="K8" s="20" t="str">
        <x:v>Economic closing</x:v>
      </x:c>
      <x:c r="L8" s="20" t="str">
        <x:v>Interest arrears</x:v>
      </x:c>
      <x:c r="M8" s="20" t="str">
        <x:v>Elapsed years</x:v>
      </x:c>
      <x:c r="N8" s="21" t="str">
        <x:v>Contractual closing</x:v>
      </x:c>
      <x:c r="O8" s="2"/>
      <x:c r="P8" s="2"/>
      <x:c r="Q8" s="2"/>
      <x:c r="R8" s="2"/>
      <x:c r="S8" s="2"/>
    </x:row>
    <x:row r="9" ht="20" customHeight="1">
      <x:c r="A9" s="2"/>
      <x:c r="B9" s="2"/>
      <x:c r="C9" s="2" t="n">
        <x:v>1</x:v>
      </x:c>
      <x:c r="D9" s="2" t="n">
        <x:v>1</x:v>
      </x:c>
      <x:c r="E9" s="2" t="n">
        <x:v>1</x:v>
      </x:c>
      <x:c r="F9" s="31" t="n">
        <x:v>46310</x:v>
      </x:c>
      <x:c r="G9" s="35" t="n">
        <x:v>0</x:v>
      </x:c>
      <x:c r="H9" s="35" t="n">
        <x:v>0</x:v>
      </x:c>
      <x:c r="I9" s="35" t="n">
        <x:v>0</x:v>
      </x:c>
      <x:c r="J9" s="35" t="n">
        <x:v>0</x:v>
      </x:c>
      <x:c r="K9" s="35" t="n">
        <x:v>0</x:v>
      </x:c>
      <x:c r="L9" s="35" t="n">
        <x:v>0</x:v>
      </x:c>
      <x:c r="M9" s="37" t="n">
        <x:v>0.08213552361396304</x:v>
      </x:c>
      <x:c r="N9" s="35" t="n">
        <x:v>0</x:v>
      </x:c>
      <x:c r="O9" s="2"/>
      <x:c r="P9" s="2"/>
      <x:c r="Q9" s="2"/>
      <x:c r="R9" s="2"/>
      <x:c r="S9" s="2"/>
    </x:row>
    <x:row r="10" ht="20" customHeight="1">
      <x:c r="A10" s="2"/>
      <x:c r="B10" s="2"/>
      <x:c r="C10" s="2" t="n">
        <x:v>1</x:v>
      </x:c>
      <x:c r="D10" s="2" t="n">
        <x:v>1</x:v>
      </x:c>
      <x:c r="E10" s="2" t="n">
        <x:v>2</x:v>
      </x:c>
      <x:c r="F10" s="31" t="n">
        <x:v>46342</x:v>
      </x:c>
      <x:c r="G10" s="35" t="n">
        <x:v>0</x:v>
      </x:c>
      <x:c r="H10" s="35" t="n">
        <x:v>0</x:v>
      </x:c>
      <x:c r="I10" s="35" t="n">
        <x:v>0</x:v>
      </x:c>
      <x:c r="J10" s="35" t="n">
        <x:v>0</x:v>
      </x:c>
      <x:c r="K10" s="35" t="n">
        <x:v>0</x:v>
      </x:c>
      <x:c r="L10" s="35" t="n">
        <x:v>0</x:v>
      </x:c>
      <x:c r="M10" s="37" t="n">
        <x:v>0.1697467488021903</x:v>
      </x:c>
      <x:c r="N10" s="35" t="n">
        <x:v>0</x:v>
      </x:c>
      <x:c r="O10" s="2"/>
      <x:c r="P10" s="2"/>
      <x:c r="Q10" s="2"/>
      <x:c r="R10" s="2"/>
      <x:c r="S10" s="2"/>
    </x:row>
    <x:row r="11" ht="20" customHeight="1">
      <x:c r="A11" s="2"/>
      <x:c r="B11" s="2"/>
      <x:c r="C11" s="2" t="n">
        <x:v>1</x:v>
      </x:c>
      <x:c r="D11" s="2" t="n">
        <x:v>1</x:v>
      </x:c>
      <x:c r="E11" s="2" t="n">
        <x:v>3</x:v>
      </x:c>
      <x:c r="F11" s="31" t="n">
        <x:v>46371</x:v>
      </x:c>
      <x:c r="G11" s="35" t="n">
        <x:v>0</x:v>
      </x:c>
      <x:c r="H11" s="35" t="n">
        <x:v>0</x:v>
      </x:c>
      <x:c r="I11" s="35" t="n">
        <x:v>0</x:v>
      </x:c>
      <x:c r="J11" s="35" t="n">
        <x:v>0</x:v>
      </x:c>
      <x:c r="K11" s="35" t="n">
        <x:v>0</x:v>
      </x:c>
      <x:c r="L11" s="35" t="n">
        <x:v>0</x:v>
      </x:c>
      <x:c r="M11" s="37" t="n">
        <x:v>0.24914442162902123</x:v>
      </x:c>
      <x:c r="N11" s="35" t="n">
        <x:v>0</x:v>
      </x:c>
      <x:c r="O11" s="2"/>
      <x:c r="P11" s="2"/>
      <x:c r="Q11" s="2"/>
      <x:c r="R11" s="2"/>
      <x:c r="S11" s="2"/>
    </x:row>
    <x:row r="12" ht="20" customHeight="1">
      <x:c r="A12" s="2"/>
      <x:c r="B12" s="2"/>
      <x:c r="C12" s="2" t="n">
        <x:v>1</x:v>
      </x:c>
      <x:c r="D12" s="2" t="n">
        <x:v>1</x:v>
      </x:c>
      <x:c r="E12" s="2" t="n">
        <x:v>4</x:v>
      </x:c>
      <x:c r="F12" s="31" t="n">
        <x:v>46402</x:v>
      </x:c>
      <x:c r="G12" s="35" t="n">
        <x:v>0</x:v>
      </x:c>
      <x:c r="H12" s="35" t="n">
        <x:v>0</x:v>
      </x:c>
      <x:c r="I12" s="35" t="n">
        <x:v>0</x:v>
      </x:c>
      <x:c r="J12" s="35" t="n">
        <x:v>0</x:v>
      </x:c>
      <x:c r="K12" s="35" t="n">
        <x:v>0</x:v>
      </x:c>
      <x:c r="L12" s="35" t="n">
        <x:v>0</x:v>
      </x:c>
      <x:c r="M12" s="37" t="n">
        <x:v>0.33401779603011633</x:v>
      </x:c>
      <x:c r="N12" s="35" t="n">
        <x:v>0</x:v>
      </x:c>
      <x:c r="O12" s="2"/>
      <x:c r="P12" s="2"/>
      <x:c r="Q12" s="2"/>
      <x:c r="R12" s="2"/>
      <x:c r="S12" s="2"/>
    </x:row>
    <x:row r="13" ht="20" customHeight="1">
      <x:c r="A13" s="2"/>
      <x:c r="B13" s="2"/>
      <x:c r="C13" s="2" t="n">
        <x:v>1</x:v>
      </x:c>
      <x:c r="D13" s="2" t="n">
        <x:v>1</x:v>
      </x:c>
      <x:c r="E13" s="2" t="n">
        <x:v>5</x:v>
      </x:c>
      <x:c r="F13" s="31" t="n">
        <x:v>46434</x:v>
      </x:c>
      <x:c r="G13" s="35" t="n">
        <x:v>0</x:v>
      </x:c>
      <x:c r="H13" s="35" t="n">
        <x:v>0</x:v>
      </x:c>
      <x:c r="I13" s="35" t="n">
        <x:v>0</x:v>
      </x:c>
      <x:c r="J13" s="35" t="n">
        <x:v>0</x:v>
      </x:c>
      <x:c r="K13" s="35" t="n">
        <x:v>0</x:v>
      </x:c>
      <x:c r="L13" s="35" t="n">
        <x:v>0</x:v>
      </x:c>
      <x:c r="M13" s="37" t="n">
        <x:v>0.4216290212183436</x:v>
      </x:c>
      <x:c r="N13" s="35" t="n">
        <x:v>0</x:v>
      </x:c>
      <x:c r="O13" s="2"/>
      <x:c r="P13" s="2"/>
      <x:c r="Q13" s="2"/>
      <x:c r="R13" s="2"/>
      <x:c r="S13" s="2"/>
    </x:row>
    <x:row r="14" ht="20" customHeight="1">
      <x:c r="A14" s="2"/>
      <x:c r="B14" s="2"/>
      <x:c r="C14" s="2" t="n">
        <x:v>1</x:v>
      </x:c>
      <x:c r="D14" s="2" t="n">
        <x:v>1</x:v>
      </x:c>
      <x:c r="E14" s="2" t="n">
        <x:v>6</x:v>
      </x:c>
      <x:c r="F14" s="31" t="n">
        <x:v>46461</x:v>
      </x:c>
      <x:c r="G14" s="35" t="n">
        <x:v>0</x:v>
      </x:c>
      <x:c r="H14" s="35" t="n">
        <x:v>0</x:v>
      </x:c>
      <x:c r="I14" s="35" t="n">
        <x:v>0</x:v>
      </x:c>
      <x:c r="J14" s="35" t="n">
        <x:v>0</x:v>
      </x:c>
      <x:c r="K14" s="35" t="n">
        <x:v>0</x:v>
      </x:c>
      <x:c r="L14" s="35" t="n">
        <x:v>0</x:v>
      </x:c>
      <x:c r="M14" s="37" t="n">
        <x:v>0.49555099247091033</x:v>
      </x:c>
      <x:c r="N14" s="35" t="n">
        <x:v>0</x:v>
      </x:c>
      <x:c r="O14" s="2"/>
      <x:c r="P14" s="2"/>
      <x:c r="Q14" s="2"/>
      <x:c r="R14" s="2"/>
      <x:c r="S14" s="2"/>
    </x:row>
    <x:row r="15" ht="20" customHeight="1">
      <x:c r="A15" s="2"/>
      <x:c r="B15" s="2"/>
      <x:c r="C15" s="2" t="n">
        <x:v>1</x:v>
      </x:c>
      <x:c r="D15" s="2" t="n">
        <x:v>1</x:v>
      </x:c>
      <x:c r="E15" s="2" t="n">
        <x:v>7</x:v>
      </x:c>
      <x:c r="F15" s="31" t="n">
        <x:v>46492</x:v>
      </x:c>
      <x:c r="G15" s="35" t="n">
        <x:v>0</x:v>
      </x:c>
      <x:c r="H15" s="35" t="n">
        <x:v>0</x:v>
      </x:c>
      <x:c r="I15" s="35" t="n">
        <x:v>0</x:v>
      </x:c>
      <x:c r="J15" s="35" t="n">
        <x:v>0</x:v>
      </x:c>
      <x:c r="K15" s="35" t="n">
        <x:v>0</x:v>
      </x:c>
      <x:c r="L15" s="35" t="n">
        <x:v>0</x:v>
      </x:c>
      <x:c r="M15" s="37" t="n">
        <x:v>0.5804243668720055</x:v>
      </x:c>
      <x:c r="N15" s="35" t="n">
        <x:v>0</x:v>
      </x:c>
      <x:c r="O15" s="2"/>
      <x:c r="P15" s="2"/>
      <x:c r="Q15" s="2"/>
      <x:c r="R15" s="2"/>
      <x:c r="S15" s="2"/>
    </x:row>
    <x:row r="16" ht="20" customHeight="1">
      <x:c r="A16" s="2"/>
      <x:c r="B16" s="2"/>
      <x:c r="C16" s="2" t="n">
        <x:v>1</x:v>
      </x:c>
      <x:c r="D16" s="2" t="n">
        <x:v>1</x:v>
      </x:c>
      <x:c r="E16" s="2" t="n">
        <x:v>8</x:v>
      </x:c>
      <x:c r="F16" s="31" t="n">
        <x:v>46524</x:v>
      </x:c>
      <x:c r="G16" s="35" t="n">
        <x:v>0</x:v>
      </x:c>
      <x:c r="H16" s="35" t="n">
        <x:v>0</x:v>
      </x:c>
      <x:c r="I16" s="35" t="n">
        <x:v>0</x:v>
      </x:c>
      <x:c r="J16" s="35" t="n">
        <x:v>0</x:v>
      </x:c>
      <x:c r="K16" s="35" t="n">
        <x:v>0</x:v>
      </x:c>
      <x:c r="L16" s="35" t="n">
        <x:v>0</x:v>
      </x:c>
      <x:c r="M16" s="37" t="n">
        <x:v>0.6680355920602327</x:v>
      </x:c>
      <x:c r="N16" s="35" t="n">
        <x:v>0</x:v>
      </x:c>
      <x:c r="O16" s="2"/>
      <x:c r="P16" s="2"/>
      <x:c r="Q16" s="2"/>
      <x:c r="R16" s="2"/>
      <x:c r="S16" s="2"/>
    </x:row>
    <x:row r="17" ht="20" customHeight="1">
      <x:c r="A17" s="2"/>
      <x:c r="B17" s="2"/>
      <x:c r="C17" s="2" t="n">
        <x:v>1</x:v>
      </x:c>
      <x:c r="D17" s="2" t="n">
        <x:v>1</x:v>
      </x:c>
      <x:c r="E17" s="2" t="n">
        <x:v>9</x:v>
      </x:c>
      <x:c r="F17" s="31" t="n">
        <x:v>46553</x:v>
      </x:c>
      <x:c r="G17" s="35" t="n">
        <x:v>0</x:v>
      </x:c>
      <x:c r="H17" s="35" t="n">
        <x:v>0</x:v>
      </x:c>
      <x:c r="I17" s="35" t="n">
        <x:v>0</x:v>
      </x:c>
      <x:c r="J17" s="35" t="n">
        <x:v>0</x:v>
      </x:c>
      <x:c r="K17" s="35" t="n">
        <x:v>0</x:v>
      </x:c>
      <x:c r="L17" s="35" t="n">
        <x:v>0</x:v>
      </x:c>
      <x:c r="M17" s="37" t="n">
        <x:v>0.7474332648870636</x:v>
      </x:c>
      <x:c r="N17" s="35" t="n">
        <x:v>0</x:v>
      </x:c>
      <x:c r="O17" s="2"/>
      <x:c r="P17" s="2"/>
      <x:c r="Q17" s="2"/>
      <x:c r="R17" s="2"/>
      <x:c r="S17" s="2"/>
    </x:row>
    <x:row r="18" ht="20" customHeight="1">
      <x:c r="A18" s="2"/>
      <x:c r="B18" s="2"/>
      <x:c r="C18" s="2" t="n">
        <x:v>1</x:v>
      </x:c>
      <x:c r="D18" s="2" t="n">
        <x:v>1</x:v>
      </x:c>
      <x:c r="E18" s="2" t="n">
        <x:v>10</x:v>
      </x:c>
      <x:c r="F18" s="31" t="n">
        <x:v>46583</x:v>
      </x:c>
      <x:c r="G18" s="35" t="n">
        <x:v>0</x:v>
      </x:c>
      <x:c r="H18" s="35" t="n">
        <x:v>0</x:v>
      </x:c>
      <x:c r="I18" s="35" t="n">
        <x:v>0</x:v>
      </x:c>
      <x:c r="J18" s="35" t="n">
        <x:v>0</x:v>
      </x:c>
      <x:c r="K18" s="35" t="n">
        <x:v>0</x:v>
      </x:c>
      <x:c r="L18" s="35" t="n">
        <x:v>0</x:v>
      </x:c>
      <x:c r="M18" s="37" t="n">
        <x:v>0.8295687885010267</x:v>
      </x:c>
      <x:c r="N18" s="35" t="n">
        <x:v>0</x:v>
      </x:c>
      <x:c r="O18" s="2"/>
      <x:c r="P18" s="2"/>
      <x:c r="Q18" s="2"/>
      <x:c r="R18" s="2"/>
      <x:c r="S18" s="2"/>
    </x:row>
    <x:row r="19" ht="20" customHeight="1">
      <x:c r="A19" s="2"/>
      <x:c r="B19" s="2"/>
      <x:c r="C19" s="2" t="n">
        <x:v>1</x:v>
      </x:c>
      <x:c r="D19" s="2" t="n">
        <x:v>1</x:v>
      </x:c>
      <x:c r="E19" s="2" t="n">
        <x:v>11</x:v>
      </x:c>
      <x:c r="F19" s="31" t="n">
        <x:v>46615</x:v>
      </x:c>
      <x:c r="G19" s="35" t="n">
        <x:v>0</x:v>
      </x:c>
      <x:c r="H19" s="35" t="n">
        <x:v>0</x:v>
      </x:c>
      <x:c r="I19" s="35" t="n">
        <x:v>0</x:v>
      </x:c>
      <x:c r="J19" s="35" t="n">
        <x:v>0</x:v>
      </x:c>
      <x:c r="K19" s="35" t="n">
        <x:v>0</x:v>
      </x:c>
      <x:c r="L19" s="35" t="n">
        <x:v>0</x:v>
      </x:c>
      <x:c r="M19" s="37" t="n">
        <x:v>0.917180013689254</x:v>
      </x:c>
      <x:c r="N19" s="35" t="n">
        <x:v>0</x:v>
      </x:c>
      <x:c r="O19" s="2"/>
      <x:c r="P19" s="2"/>
      <x:c r="Q19" s="2"/>
      <x:c r="R19" s="2"/>
      <x:c r="S19" s="2"/>
    </x:row>
    <x:row r="20" ht="20" customHeight="1">
      <x:c r="A20" s="2"/>
      <x:c r="B20" s="2"/>
      <x:c r="C20" s="2" t="n">
        <x:v>1</x:v>
      </x:c>
      <x:c r="D20" s="2" t="n">
        <x:v>1</x:v>
      </x:c>
      <x:c r="E20" s="2" t="n">
        <x:v>12</x:v>
      </x:c>
      <x:c r="F20" s="31" t="n">
        <x:v>46645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5" t="n">
        <x:v>0</x:v>
      </x:c>
      <x:c r="L20" s="35" t="n">
        <x:v>0</x:v>
      </x:c>
      <x:c r="M20" s="37" t="n">
        <x:v>0.999315537303217</x:v>
      </x:c>
      <x:c r="N20" s="35" t="n">
        <x:v>0</x:v>
      </x:c>
      <x:c r="O20" s="2"/>
      <x:c r="P20" s="2"/>
      <x:c r="Q20" s="2"/>
      <x:c r="R20" s="2"/>
      <x:c r="S20" s="2"/>
    </x:row>
    <x:row r="21" ht="20" customHeight="1">
      <x:c r="A21" s="2"/>
      <x:c r="B21" s="2"/>
      <x:c r="C21" s="2" t="n">
        <x:v>1</x:v>
      </x:c>
      <x:c r="D21" s="2" t="n">
        <x:v>1</x:v>
      </x:c>
      <x:c r="E21" s="2" t="n">
        <x:v>13</x:v>
      </x:c>
      <x:c r="F21" s="31" t="n">
        <x:v>46675</x:v>
      </x:c>
      <x:c r="G21" s="35" t="n">
        <x:v>0</x:v>
      </x:c>
      <x:c r="H21" s="35" t="n">
        <x:v>0</x:v>
      </x:c>
      <x:c r="I21" s="35" t="n">
        <x:v>0</x:v>
      </x:c>
      <x:c r="J21" s="35" t="n">
        <x:v>0</x:v>
      </x:c>
      <x:c r="K21" s="35" t="n">
        <x:v>0</x:v>
      </x:c>
      <x:c r="L21" s="35" t="n">
        <x:v>0</x:v>
      </x:c>
      <x:c r="M21" s="37" t="n">
        <x:v>1.08145106091718</x:v>
      </x:c>
      <x:c r="N21" s="35" t="n">
        <x:v>0</x:v>
      </x:c>
      <x:c r="O21" s="2"/>
      <x:c r="P21" s="2"/>
      <x:c r="Q21" s="2"/>
      <x:c r="R21" s="2"/>
      <x:c r="S21" s="2"/>
    </x:row>
    <x:row r="22" ht="20" customHeight="1">
      <x:c r="A22" s="2"/>
      <x:c r="B22" s="2"/>
      <x:c r="C22" s="2" t="n">
        <x:v>1</x:v>
      </x:c>
      <x:c r="D22" s="2" t="n">
        <x:v>1</x:v>
      </x:c>
      <x:c r="E22" s="2" t="n">
        <x:v>14</x:v>
      </x:c>
      <x:c r="F22" s="31" t="n">
        <x:v>46706</x:v>
      </x:c>
      <x:c r="G22" s="35" t="n">
        <x:v>0</x:v>
      </x:c>
      <x:c r="H22" s="35" t="n">
        <x:v>0</x:v>
      </x:c>
      <x:c r="I22" s="35" t="n">
        <x:v>0</x:v>
      </x:c>
      <x:c r="J22" s="35" t="n">
        <x:v>0</x:v>
      </x:c>
      <x:c r="K22" s="35" t="n">
        <x:v>0</x:v>
      </x:c>
      <x:c r="L22" s="35" t="n">
        <x:v>0</x:v>
      </x:c>
      <x:c r="M22" s="37" t="n">
        <x:v>1.1663244353182751</x:v>
      </x:c>
      <x:c r="N22" s="35" t="n">
        <x:v>0</x:v>
      </x:c>
      <x:c r="O22" s="2"/>
      <x:c r="P22" s="2"/>
      <x:c r="Q22" s="2"/>
      <x:c r="R22" s="2"/>
      <x:c r="S22" s="2"/>
    </x:row>
    <x:row r="23" ht="20" customHeight="1">
      <x:c r="A23" s="2"/>
      <x:c r="B23" s="2"/>
      <x:c r="C23" s="2" t="n">
        <x:v>1</x:v>
      </x:c>
      <x:c r="D23" s="2" t="n">
        <x:v>1</x:v>
      </x:c>
      <x:c r="E23" s="2" t="n">
        <x:v>15</x:v>
      </x:c>
      <x:c r="F23" s="31" t="n">
        <x:v>46736</x:v>
      </x:c>
      <x:c r="G23" s="35" t="n">
        <x:v>0</x:v>
      </x:c>
      <x:c r="H23" s="35" t="n">
        <x:v>0</x:v>
      </x:c>
      <x:c r="I23" s="35" t="n">
        <x:v>0</x:v>
      </x:c>
      <x:c r="J23" s="35" t="n">
        <x:v>0</x:v>
      </x:c>
      <x:c r="K23" s="35" t="n">
        <x:v>0</x:v>
      </x:c>
      <x:c r="L23" s="35" t="n">
        <x:v>0</x:v>
      </x:c>
      <x:c r="M23" s="37" t="n">
        <x:v>1.2484599589322383</x:v>
      </x:c>
      <x:c r="N23" s="35" t="n">
        <x:v>0</x:v>
      </x:c>
      <x:c r="O23" s="2"/>
      <x:c r="P23" s="2"/>
      <x:c r="Q23" s="2"/>
      <x:c r="R23" s="2"/>
      <x:c r="S23" s="2"/>
    </x:row>
    <x:row r="24" ht="20" customHeight="1">
      <x:c r="A24" s="2"/>
      <x:c r="B24" s="2"/>
      <x:c r="C24" s="2" t="n">
        <x:v>1</x:v>
      </x:c>
      <x:c r="D24" s="2" t="n">
        <x:v>1</x:v>
      </x:c>
      <x:c r="E24" s="2" t="n">
        <x:v>16</x:v>
      </x:c>
      <x:c r="F24" s="31" t="n">
        <x:v>46770</x:v>
      </x:c>
      <x:c r="G24" s="35" t="n">
        <x:v>0</x:v>
      </x:c>
      <x:c r="H24" s="35" t="n">
        <x:v>0</x:v>
      </x:c>
      <x:c r="I24" s="35" t="n">
        <x:v>0</x:v>
      </x:c>
      <x:c r="J24" s="35" t="n">
        <x:v>0</x:v>
      </x:c>
      <x:c r="K24" s="35" t="n">
        <x:v>0</x:v>
      </x:c>
      <x:c r="L24" s="35" t="n">
        <x:v>0</x:v>
      </x:c>
      <x:c r="M24" s="37" t="n">
        <x:v>1.3415468856947297</x:v>
      </x:c>
      <x:c r="N24" s="35" t="n">
        <x:v>0</x:v>
      </x:c>
      <x:c r="O24" s="2"/>
      <x:c r="P24" s="2"/>
      <x:c r="Q24" s="2"/>
      <x:c r="R24" s="2"/>
      <x:c r="S24" s="2"/>
    </x:row>
    <x:row r="25" ht="20" customHeight="1">
      <x:c r="A25" s="2"/>
      <x:c r="B25" s="2"/>
      <x:c r="C25" s="2" t="n">
        <x:v>1</x:v>
      </x:c>
      <x:c r="D25" s="2" t="n">
        <x:v>1</x:v>
      </x:c>
      <x:c r="E25" s="2" t="n">
        <x:v>17</x:v>
      </x:c>
      <x:c r="F25" s="31" t="n">
        <x:v>46798</x:v>
      </x:c>
      <x:c r="G25" s="35" t="n">
        <x:v>0</x:v>
      </x:c>
      <x:c r="H25" s="35" t="n">
        <x:v>0</x:v>
      </x:c>
      <x:c r="I25" s="35" t="n">
        <x:v>0</x:v>
      </x:c>
      <x:c r="J25" s="35" t="n">
        <x:v>0</x:v>
      </x:c>
      <x:c r="K25" s="35" t="n">
        <x:v>0</x:v>
      </x:c>
      <x:c r="L25" s="35" t="n">
        <x:v>0</x:v>
      </x:c>
      <x:c r="M25" s="37" t="n">
        <x:v>1.4182067077344285</x:v>
      </x:c>
      <x:c r="N25" s="35" t="n">
        <x:v>0</x:v>
      </x:c>
      <x:c r="O25" s="2"/>
      <x:c r="P25" s="2"/>
      <x:c r="Q25" s="2"/>
      <x:c r="R25" s="2"/>
      <x:c r="S25" s="2"/>
    </x:row>
    <x:row r="26" ht="20" customHeight="1">
      <x:c r="A26" s="2"/>
      <x:c r="B26" s="2"/>
      <x:c r="C26" s="2" t="n">
        <x:v>1</x:v>
      </x:c>
      <x:c r="D26" s="2" t="n">
        <x:v>1</x:v>
      </x:c>
      <x:c r="E26" s="2" t="n">
        <x:v>18</x:v>
      </x:c>
      <x:c r="F26" s="31" t="n">
        <x:v>46827</x:v>
      </x:c>
      <x:c r="G26" s="35" t="n">
        <x:v>0</x:v>
      </x:c>
      <x:c r="H26" s="35" t="n">
        <x:v>0</x:v>
      </x:c>
      <x:c r="I26" s="35" t="n">
        <x:v>0</x:v>
      </x:c>
      <x:c r="J26" s="35" t="n">
        <x:v>0</x:v>
      </x:c>
      <x:c r="K26" s="35" t="n">
        <x:v>0</x:v>
      </x:c>
      <x:c r="L26" s="35" t="n">
        <x:v>0</x:v>
      </x:c>
      <x:c r="M26" s="37" t="n">
        <x:v>1.4976043805612593</x:v>
      </x:c>
      <x:c r="N26" s="35" t="n">
        <x:v>0</x:v>
      </x:c>
      <x:c r="O26" s="2"/>
      <x:c r="P26" s="2"/>
      <x:c r="Q26" s="2"/>
      <x:c r="R26" s="2"/>
      <x:c r="S26" s="2"/>
    </x:row>
    <x:row r="27" ht="20" customHeight="1">
      <x:c r="A27" s="2"/>
      <x:c r="B27" s="2"/>
      <x:c r="C27" s="2" t="n">
        <x:v>1</x:v>
      </x:c>
      <x:c r="D27" s="2" t="n">
        <x:v>1</x:v>
      </x:c>
      <x:c r="E27" s="2" t="n">
        <x:v>19</x:v>
      </x:c>
      <x:c r="F27" s="31" t="n">
        <x:v>46860</x:v>
      </x:c>
      <x:c r="G27" s="35" t="n">
        <x:v>0</x:v>
      </x:c>
      <x:c r="H27" s="35" t="n">
        <x:v>0</x:v>
      </x:c>
      <x:c r="I27" s="35" t="n">
        <x:v>0</x:v>
      </x:c>
      <x:c r="J27" s="35" t="n">
        <x:v>0</x:v>
      </x:c>
      <x:c r="K27" s="35" t="n">
        <x:v>0</x:v>
      </x:c>
      <x:c r="L27" s="35" t="n">
        <x:v>0</x:v>
      </x:c>
      <x:c r="M27" s="37" t="n">
        <x:v>1.5879534565366187</x:v>
      </x:c>
      <x:c r="N27" s="35" t="n">
        <x:v>0</x:v>
      </x:c>
      <x:c r="O27" s="2"/>
      <x:c r="P27" s="2"/>
      <x:c r="Q27" s="2"/>
      <x:c r="R27" s="2"/>
      <x:c r="S27" s="2"/>
    </x:row>
    <x:row r="28" ht="20" customHeight="1">
      <x:c r="A28" s="2"/>
      <x:c r="B28" s="2"/>
      <x:c r="C28" s="2" t="n">
        <x:v>1</x:v>
      </x:c>
      <x:c r="D28" s="2" t="n">
        <x:v>1</x:v>
      </x:c>
      <x:c r="E28" s="2" t="n">
        <x:v>20</x:v>
      </x:c>
      <x:c r="F28" s="31" t="n">
        <x:v>46888</x:v>
      </x:c>
      <x:c r="G28" s="35" t="n">
        <x:v>0</x:v>
      </x:c>
      <x:c r="H28" s="35" t="n">
        <x:v>0</x:v>
      </x:c>
      <x:c r="I28" s="35" t="n">
        <x:v>0</x:v>
      </x:c>
      <x:c r="J28" s="35" t="n">
        <x:v>0</x:v>
      </x:c>
      <x:c r="K28" s="35" t="n">
        <x:v>0</x:v>
      </x:c>
      <x:c r="L28" s="35" t="n">
        <x:v>0</x:v>
      </x:c>
      <x:c r="M28" s="37" t="n">
        <x:v>1.6646132785763177</x:v>
      </x:c>
      <x:c r="N28" s="35" t="n">
        <x:v>0</x:v>
      </x:c>
      <x:c r="O28" s="2"/>
      <x:c r="P28" s="2"/>
      <x:c r="Q28" s="2"/>
      <x:c r="R28" s="2"/>
      <x:c r="S28" s="2"/>
    </x:row>
    <x:row r="29" ht="20" customHeight="1">
      <x:c r="A29" s="2"/>
      <x:c r="B29" s="2"/>
      <x:c r="C29" s="2" t="n">
        <x:v>1</x:v>
      </x:c>
      <x:c r="D29" s="2" t="n">
        <x:v>1</x:v>
      </x:c>
      <x:c r="E29" s="2" t="n">
        <x:v>21</x:v>
      </x:c>
      <x:c r="F29" s="31" t="n">
        <x:v>46919</x:v>
      </x:c>
      <x:c r="G29" s="35" t="n">
        <x:v>0</x:v>
      </x:c>
      <x:c r="H29" s="35" t="n">
        <x:v>0</x:v>
      </x:c>
      <x:c r="I29" s="35" t="n">
        <x:v>0</x:v>
      </x:c>
      <x:c r="J29" s="35" t="n">
        <x:v>0</x:v>
      </x:c>
      <x:c r="K29" s="35" t="n">
        <x:v>0</x:v>
      </x:c>
      <x:c r="L29" s="35" t="n">
        <x:v>0</x:v>
      </x:c>
      <x:c r="M29" s="37" t="n">
        <x:v>1.7494866529774127</x:v>
      </x:c>
      <x:c r="N29" s="35" t="n">
        <x:v>0</x:v>
      </x:c>
      <x:c r="O29" s="2"/>
      <x:c r="P29" s="2"/>
      <x:c r="Q29" s="2"/>
      <x:c r="R29" s="2"/>
      <x:c r="S29" s="2"/>
    </x:row>
    <x:row r="30" ht="20" customHeight="1">
      <x:c r="A30" s="2"/>
      <x:c r="B30" s="2"/>
      <x:c r="C30" s="2" t="n">
        <x:v>1</x:v>
      </x:c>
      <x:c r="D30" s="2" t="n">
        <x:v>1</x:v>
      </x:c>
      <x:c r="E30" s="2" t="n">
        <x:v>22</x:v>
      </x:c>
      <x:c r="F30" s="31" t="n">
        <x:v>46951</x:v>
      </x:c>
      <x:c r="G30" s="35" t="n">
        <x:v>0</x:v>
      </x:c>
      <x:c r="H30" s="35" t="n">
        <x:v>0</x:v>
      </x:c>
      <x:c r="I30" s="35" t="n">
        <x:v>0</x:v>
      </x:c>
      <x:c r="J30" s="35" t="n">
        <x:v>0</x:v>
      </x:c>
      <x:c r="K30" s="35" t="n">
        <x:v>0</x:v>
      </x:c>
      <x:c r="L30" s="35" t="n">
        <x:v>0</x:v>
      </x:c>
      <x:c r="M30" s="37" t="n">
        <x:v>1.83709787816564</x:v>
      </x:c>
      <x:c r="N30" s="35" t="n">
        <x:v>0</x:v>
      </x:c>
      <x:c r="O30" s="2"/>
      <x:c r="P30" s="2"/>
      <x:c r="Q30" s="2"/>
      <x:c r="R30" s="2"/>
      <x:c r="S30" s="2"/>
    </x:row>
    <x:row r="31" ht="20" customHeight="1">
      <x:c r="A31" s="2"/>
      <x:c r="B31" s="2"/>
      <x:c r="C31" s="2" t="n">
        <x:v>1</x:v>
      </x:c>
      <x:c r="D31" s="2" t="n">
        <x:v>1</x:v>
      </x:c>
      <x:c r="E31" s="2" t="n">
        <x:v>23</x:v>
      </x:c>
      <x:c r="F31" s="31" t="n">
        <x:v>46980</x:v>
      </x:c>
      <x:c r="G31" s="35" t="n">
        <x:v>0</x:v>
      </x:c>
      <x:c r="H31" s="35" t="n">
        <x:v>0</x:v>
      </x:c>
      <x:c r="I31" s="35" t="n">
        <x:v>0</x:v>
      </x:c>
      <x:c r="J31" s="35" t="n">
        <x:v>0</x:v>
      </x:c>
      <x:c r="K31" s="35" t="n">
        <x:v>0</x:v>
      </x:c>
      <x:c r="L31" s="35" t="n">
        <x:v>0</x:v>
      </x:c>
      <x:c r="M31" s="37" t="n">
        <x:v>1.9164955509924708</x:v>
      </x:c>
      <x:c r="N31" s="35" t="n">
        <x:v>0</x:v>
      </x:c>
      <x:c r="O31" s="2"/>
      <x:c r="P31" s="2"/>
      <x:c r="Q31" s="2"/>
      <x:c r="R31" s="2"/>
      <x:c r="S31" s="2"/>
    </x:row>
    <x:row r="32" ht="20" customHeight="1">
      <x:c r="A32" s="2"/>
      <x:c r="B32" s="2"/>
      <x:c r="C32" s="2" t="n">
        <x:v>1</x:v>
      </x:c>
      <x:c r="D32" s="2" t="n">
        <x:v>1</x:v>
      </x:c>
      <x:c r="E32" s="2" t="n">
        <x:v>24</x:v>
      </x:c>
      <x:c r="F32" s="31" t="n">
        <x:v>47011</x:v>
      </x:c>
      <x:c r="G32" s="35" t="n">
        <x:v>0</x:v>
      </x:c>
      <x:c r="H32" s="35" t="n">
        <x:v>0</x:v>
      </x:c>
      <x:c r="I32" s="35" t="n">
        <x:v>0</x:v>
      </x:c>
      <x:c r="J32" s="35" t="n">
        <x:v>0</x:v>
      </x:c>
      <x:c r="K32" s="35" t="n">
        <x:v>0</x:v>
      </x:c>
      <x:c r="L32" s="35" t="n">
        <x:v>0</x:v>
      </x:c>
      <x:c r="M32" s="37" t="n">
        <x:v>2.001368925393566</x:v>
      </x:c>
      <x:c r="N32" s="35" t="n">
        <x:v>0</x:v>
      </x:c>
      <x:c r="O32" s="2"/>
      <x:c r="P32" s="2"/>
      <x:c r="Q32" s="2"/>
      <x:c r="R32" s="2"/>
      <x:c r="S32" s="2"/>
    </x:row>
    <x:row r="33" ht="20" customHeight="1">
      <x:c r="A33" s="2"/>
      <x:c r="B33" s="2"/>
      <x:c r="C33" s="2" t="n">
        <x:v>1</x:v>
      </x:c>
      <x:c r="D33" s="2" t="n">
        <x:v>1</x:v>
      </x:c>
      <x:c r="E33" s="2" t="n">
        <x:v>25</x:v>
      </x:c>
      <x:c r="F33" s="31" t="n">
        <x:v>47042</x:v>
      </x:c>
      <x:c r="G33" s="35" t="n">
        <x:v>0</x:v>
      </x:c>
      <x:c r="H33" s="35" t="n">
        <x:v>0</x:v>
      </x:c>
      <x:c r="I33" s="35" t="n">
        <x:v>0</x:v>
      </x:c>
      <x:c r="J33" s="35" t="n">
        <x:v>0</x:v>
      </x:c>
      <x:c r="K33" s="35" t="n">
        <x:v>0</x:v>
      </x:c>
      <x:c r="L33" s="35" t="n">
        <x:v>0</x:v>
      </x:c>
      <x:c r="M33" s="37" t="n">
        <x:v>2.086242299794661</x:v>
      </x:c>
      <x:c r="N33" s="35" t="n">
        <x:v>0</x:v>
      </x:c>
      <x:c r="O33" s="2"/>
      <x:c r="P33" s="2"/>
      <x:c r="Q33" s="2"/>
      <x:c r="R33" s="2"/>
      <x:c r="S33" s="2"/>
    </x:row>
    <x:row r="34" ht="20" customHeight="1">
      <x:c r="A34" s="2"/>
      <x:c r="B34" s="2"/>
      <x:c r="C34" s="2" t="n">
        <x:v>1</x:v>
      </x:c>
      <x:c r="D34" s="2" t="n">
        <x:v>1</x:v>
      </x:c>
      <x:c r="E34" s="2" t="n">
        <x:v>26</x:v>
      </x:c>
      <x:c r="F34" s="31" t="n">
        <x:v>47072</x:v>
      </x:c>
      <x:c r="G34" s="35" t="n">
        <x:v>0</x:v>
      </x:c>
      <x:c r="H34" s="35" t="n">
        <x:v>0</x:v>
      </x:c>
      <x:c r="I34" s="35" t="n">
        <x:v>0</x:v>
      </x:c>
      <x:c r="J34" s="35" t="n">
        <x:v>0</x:v>
      </x:c>
      <x:c r="K34" s="35" t="n">
        <x:v>0</x:v>
      </x:c>
      <x:c r="L34" s="35" t="n">
        <x:v>0</x:v>
      </x:c>
      <x:c r="M34" s="37" t="n">
        <x:v>2.1683778234086244</x:v>
      </x:c>
      <x:c r="N34" s="35" t="n">
        <x:v>0</x:v>
      </x:c>
      <x:c r="O34" s="2"/>
      <x:c r="P34" s="2"/>
      <x:c r="Q34" s="2"/>
      <x:c r="R34" s="2"/>
      <x:c r="S34" s="2"/>
    </x:row>
    <x:row r="35" ht="20" customHeight="1">
      <x:c r="A35" s="2"/>
      <x:c r="B35" s="2"/>
      <x:c r="C35" s="2" t="n">
        <x:v>1</x:v>
      </x:c>
      <x:c r="D35" s="2" t="n">
        <x:v>1</x:v>
      </x:c>
      <x:c r="E35" s="2" t="n">
        <x:v>27</x:v>
      </x:c>
      <x:c r="F35" s="31" t="n">
        <x:v>47102</x:v>
      </x:c>
      <x:c r="G35" s="35" t="n">
        <x:v>0</x:v>
      </x:c>
      <x:c r="H35" s="35" t="n">
        <x:v>0</x:v>
      </x:c>
      <x:c r="I35" s="35" t="n">
        <x:v>0</x:v>
      </x:c>
      <x:c r="J35" s="35" t="n">
        <x:v>0</x:v>
      </x:c>
      <x:c r="K35" s="35" t="n">
        <x:v>0</x:v>
      </x:c>
      <x:c r="L35" s="35" t="n">
        <x:v>0</x:v>
      </x:c>
      <x:c r="M35" s="37" t="n">
        <x:v>2.2505133470225873</x:v>
      </x:c>
      <x:c r="N35" s="35" t="n">
        <x:v>0</x:v>
      </x:c>
      <x:c r="O35" s="2"/>
      <x:c r="P35" s="2"/>
      <x:c r="Q35" s="2"/>
      <x:c r="R35" s="2"/>
      <x:c r="S35" s="2"/>
    </x:row>
    <x:row r="36" ht="20" customHeight="1">
      <x:c r="A36" s="2"/>
      <x:c r="B36" s="2"/>
      <x:c r="C36" s="2" t="n">
        <x:v>1</x:v>
      </x:c>
      <x:c r="D36" s="2" t="n">
        <x:v>1</x:v>
      </x:c>
      <x:c r="E36" s="2" t="n">
        <x:v>28</x:v>
      </x:c>
      <x:c r="F36" s="31" t="n">
        <x:v>47134</x:v>
      </x:c>
      <x:c r="G36" s="35" t="n">
        <x:v>0</x:v>
      </x:c>
      <x:c r="H36" s="35" t="n">
        <x:v>0</x:v>
      </x:c>
      <x:c r="I36" s="35" t="n">
        <x:v>0</x:v>
      </x:c>
      <x:c r="J36" s="35" t="n">
        <x:v>0</x:v>
      </x:c>
      <x:c r="K36" s="35" t="n">
        <x:v>0</x:v>
      </x:c>
      <x:c r="L36" s="35" t="n">
        <x:v>0</x:v>
      </x:c>
      <x:c r="M36" s="37" t="n">
        <x:v>2.3381245722108144</x:v>
      </x:c>
      <x:c r="N36" s="35" t="n">
        <x:v>0</x:v>
      </x:c>
      <x:c r="O36" s="2"/>
      <x:c r="P36" s="2"/>
      <x:c r="Q36" s="2"/>
      <x:c r="R36" s="2"/>
      <x:c r="S36" s="2"/>
    </x:row>
    <x:row r="37" ht="20" customHeight="1">
      <x:c r="A37" s="2"/>
      <x:c r="B37" s="2"/>
      <x:c r="C37" s="2" t="n">
        <x:v>1</x:v>
      </x:c>
      <x:c r="D37" s="2" t="n">
        <x:v>1</x:v>
      </x:c>
      <x:c r="E37" s="2" t="n">
        <x:v>29</x:v>
      </x:c>
      <x:c r="F37" s="31" t="n">
        <x:v>47164</x:v>
      </x:c>
      <x:c r="G37" s="35" t="n">
        <x:v>0</x:v>
      </x:c>
      <x:c r="H37" s="35" t="n">
        <x:v>0</x:v>
      </x:c>
      <x:c r="I37" s="35" t="n">
        <x:v>0</x:v>
      </x:c>
      <x:c r="J37" s="35" t="n">
        <x:v>0</x:v>
      </x:c>
      <x:c r="K37" s="35" t="n">
        <x:v>0</x:v>
      </x:c>
      <x:c r="L37" s="35" t="n">
        <x:v>0</x:v>
      </x:c>
      <x:c r="M37" s="37" t="n">
        <x:v>2.4202600958247777</x:v>
      </x:c>
      <x:c r="N37" s="35" t="n">
        <x:v>0</x:v>
      </x:c>
      <x:c r="O37" s="2"/>
      <x:c r="P37" s="2"/>
      <x:c r="Q37" s="2"/>
      <x:c r="R37" s="2"/>
      <x:c r="S37" s="2"/>
    </x:row>
    <x:row r="38" ht="20" customHeight="1">
      <x:c r="A38" s="2"/>
      <x:c r="B38" s="2"/>
      <x:c r="C38" s="2" t="n">
        <x:v>1</x:v>
      </x:c>
      <x:c r="D38" s="2" t="n">
        <x:v>1</x:v>
      </x:c>
      <x:c r="E38" s="2" t="n">
        <x:v>30</x:v>
      </x:c>
      <x:c r="F38" s="31" t="n">
        <x:v>47192</x:v>
      </x:c>
      <x:c r="G38" s="35" t="n">
        <x:v>0</x:v>
      </x:c>
      <x:c r="H38" s="35" t="n">
        <x:v>0</x:v>
      </x:c>
      <x:c r="I38" s="35" t="n">
        <x:v>0</x:v>
      </x:c>
      <x:c r="J38" s="35" t="n">
        <x:v>0</x:v>
      </x:c>
      <x:c r="K38" s="35" t="n">
        <x:v>0</x:v>
      </x:c>
      <x:c r="L38" s="35" t="n">
        <x:v>0</x:v>
      </x:c>
      <x:c r="M38" s="37" t="n">
        <x:v>2.4969199178644765</x:v>
      </x:c>
      <x:c r="N38" s="35" t="n">
        <x:v>0</x:v>
      </x:c>
      <x:c r="O38" s="2"/>
      <x:c r="P38" s="2"/>
      <x:c r="Q38" s="2"/>
      <x:c r="R38" s="2"/>
      <x:c r="S38" s="2"/>
    </x:row>
    <x:row r="39" ht="20" customHeight="1">
      <x:c r="A39" s="2"/>
      <x:c r="B39" s="2"/>
      <x:c r="C39" s="2" t="n">
        <x:v>1</x:v>
      </x:c>
      <x:c r="D39" s="2" t="n">
        <x:v>1</x:v>
      </x:c>
      <x:c r="E39" s="2" t="n">
        <x:v>31</x:v>
      </x:c>
      <x:c r="F39" s="31" t="n">
        <x:v>47224</x:v>
      </x:c>
      <x:c r="G39" s="35" t="n">
        <x:v>0</x:v>
      </x:c>
      <x:c r="H39" s="35" t="n">
        <x:v>0</x:v>
      </x:c>
      <x:c r="I39" s="35" t="n">
        <x:v>0</x:v>
      </x:c>
      <x:c r="J39" s="35" t="n">
        <x:v>0</x:v>
      </x:c>
      <x:c r="K39" s="35" t="n">
        <x:v>0</x:v>
      </x:c>
      <x:c r="L39" s="35" t="n">
        <x:v>0</x:v>
      </x:c>
      <x:c r="M39" s="37" t="n">
        <x:v>2.5845311430527036</x:v>
      </x:c>
      <x:c r="N39" s="35" t="n">
        <x:v>0</x:v>
      </x:c>
      <x:c r="O39" s="2"/>
      <x:c r="P39" s="2"/>
      <x:c r="Q39" s="2"/>
      <x:c r="R39" s="2"/>
      <x:c r="S39" s="2"/>
    </x:row>
    <x:row r="40" ht="20" customHeight="1">
      <x:c r="A40" s="2"/>
      <x:c r="B40" s="2"/>
      <x:c r="C40" s="2" t="n">
        <x:v>1</x:v>
      </x:c>
      <x:c r="D40" s="2" t="n">
        <x:v>1</x:v>
      </x:c>
      <x:c r="E40" s="2" t="n">
        <x:v>32</x:v>
      </x:c>
      <x:c r="F40" s="31" t="n">
        <x:v>47253</x:v>
      </x:c>
      <x:c r="G40" s="35" t="n">
        <x:v>0</x:v>
      </x:c>
      <x:c r="H40" s="35" t="n">
        <x:v>0</x:v>
      </x:c>
      <x:c r="I40" s="35" t="n">
        <x:v>0</x:v>
      </x:c>
      <x:c r="J40" s="35" t="n">
        <x:v>0</x:v>
      </x:c>
      <x:c r="K40" s="35" t="n">
        <x:v>0</x:v>
      </x:c>
      <x:c r="L40" s="35" t="n">
        <x:v>0</x:v>
      </x:c>
      <x:c r="M40" s="37" t="n">
        <x:v>2.6639288158795345</x:v>
      </x:c>
      <x:c r="N40" s="35" t="n">
        <x:v>0</x:v>
      </x:c>
      <x:c r="O40" s="2"/>
      <x:c r="P40" s="2"/>
      <x:c r="Q40" s="2"/>
      <x:c r="R40" s="2"/>
      <x:c r="S40" s="2"/>
    </x:row>
    <x:row r="41" ht="20" customHeight="1">
      <x:c r="A41" s="2"/>
      <x:c r="B41" s="2"/>
      <x:c r="C41" s="2" t="n">
        <x:v>1</x:v>
      </x:c>
      <x:c r="D41" s="2" t="n">
        <x:v>1</x:v>
      </x:c>
      <x:c r="E41" s="2" t="n">
        <x:v>33</x:v>
      </x:c>
      <x:c r="F41" s="31" t="n">
        <x:v>47284</x:v>
      </x:c>
      <x:c r="G41" s="35" t="n">
        <x:v>0</x:v>
      </x:c>
      <x:c r="H41" s="35" t="n">
        <x:v>0</x:v>
      </x:c>
      <x:c r="I41" s="35" t="n">
        <x:v>0</x:v>
      </x:c>
      <x:c r="J41" s="35" t="n">
        <x:v>0</x:v>
      </x:c>
      <x:c r="K41" s="35" t="n">
        <x:v>0</x:v>
      </x:c>
      <x:c r="L41" s="35" t="n">
        <x:v>0</x:v>
      </x:c>
      <x:c r="M41" s="37" t="n">
        <x:v>2.74880219028063</x:v>
      </x:c>
      <x:c r="N41" s="35" t="n">
        <x:v>0</x:v>
      </x:c>
      <x:c r="O41" s="2"/>
      <x:c r="P41" s="2"/>
      <x:c r="Q41" s="2"/>
      <x:c r="R41" s="2"/>
      <x:c r="S41" s="2"/>
    </x:row>
    <x:row r="42" ht="20" customHeight="1">
      <x:c r="A42" s="2"/>
      <x:c r="B42" s="2"/>
      <x:c r="C42" s="2" t="n">
        <x:v>1</x:v>
      </x:c>
      <x:c r="D42" s="2" t="n">
        <x:v>1</x:v>
      </x:c>
      <x:c r="E42" s="2" t="n">
        <x:v>34</x:v>
      </x:c>
      <x:c r="F42" s="31" t="n">
        <x:v>47315</x:v>
      </x:c>
      <x:c r="G42" s="35" t="n">
        <x:v>0</x:v>
      </x:c>
      <x:c r="H42" s="35" t="n">
        <x:v>0</x:v>
      </x:c>
      <x:c r="I42" s="35" t="n">
        <x:v>0</x:v>
      </x:c>
      <x:c r="J42" s="35" t="n">
        <x:v>0</x:v>
      </x:c>
      <x:c r="K42" s="35" t="n">
        <x:v>0</x:v>
      </x:c>
      <x:c r="L42" s="35" t="n">
        <x:v>0</x:v>
      </x:c>
      <x:c r="M42" s="37" t="n">
        <x:v>2.833675564681725</x:v>
      </x:c>
      <x:c r="N42" s="35" t="n">
        <x:v>0</x:v>
      </x:c>
      <x:c r="O42" s="2"/>
      <x:c r="P42" s="2"/>
      <x:c r="Q42" s="2"/>
      <x:c r="R42" s="2"/>
      <x:c r="S42" s="2"/>
    </x:row>
    <x:row r="43" ht="20" customHeight="1">
      <x:c r="A43" s="2"/>
      <x:c r="B43" s="2"/>
      <x:c r="C43" s="2" t="n">
        <x:v>1</x:v>
      </x:c>
      <x:c r="D43" s="2" t="n">
        <x:v>1</x:v>
      </x:c>
      <x:c r="E43" s="2" t="n">
        <x:v>35</x:v>
      </x:c>
      <x:c r="F43" s="31" t="n">
        <x:v>47345</x:v>
      </x:c>
      <x:c r="G43" s="35" t="n">
        <x:v>0</x:v>
      </x:c>
      <x:c r="H43" s="35" t="n">
        <x:v>0</x:v>
      </x:c>
      <x:c r="I43" s="35" t="n">
        <x:v>0</x:v>
      </x:c>
      <x:c r="J43" s="35" t="n">
        <x:v>0</x:v>
      </x:c>
      <x:c r="K43" s="35" t="n">
        <x:v>0</x:v>
      </x:c>
      <x:c r="L43" s="35" t="n">
        <x:v>0</x:v>
      </x:c>
      <x:c r="M43" s="37" t="n">
        <x:v>2.915811088295688</x:v>
      </x:c>
      <x:c r="N43" s="35" t="n">
        <x:v>0</x:v>
      </x:c>
      <x:c r="O43" s="2"/>
      <x:c r="P43" s="2"/>
      <x:c r="Q43" s="2"/>
      <x:c r="R43" s="2"/>
      <x:c r="S43" s="2"/>
    </x:row>
    <x:row r="44" ht="20" customHeight="1">
      <x:c r="A44" s="2"/>
      <x:c r="B44" s="2"/>
      <x:c r="C44" s="2" t="n">
        <x:v>1</x:v>
      </x:c>
      <x:c r="D44" s="2" t="n">
        <x:v>1</x:v>
      </x:c>
      <x:c r="E44" s="2" t="n">
        <x:v>36</x:v>
      </x:c>
      <x:c r="F44" s="31" t="n">
        <x:v>47378</x:v>
      </x:c>
      <x:c r="G44" s="35" t="n">
        <x:v>0</x:v>
      </x:c>
      <x:c r="H44" s="35" t="n">
        <x:v>0</x:v>
      </x:c>
      <x:c r="I44" s="35" t="n">
        <x:v>0</x:v>
      </x:c>
      <x:c r="J44" s="35" t="n">
        <x:v>0</x:v>
      </x:c>
      <x:c r="K44" s="35" t="n">
        <x:v>0</x:v>
      </x:c>
      <x:c r="L44" s="35" t="n">
        <x:v>0</x:v>
      </x:c>
      <x:c r="M44" s="37" t="n">
        <x:v>3.0061601642710474</x:v>
      </x:c>
      <x:c r="N44" s="35" t="n">
        <x:v>0</x:v>
      </x:c>
      <x:c r="O44" s="2"/>
      <x:c r="P44" s="2"/>
      <x:c r="Q44" s="2"/>
      <x:c r="R44" s="2"/>
      <x:c r="S44" s="2"/>
    </x:row>
    <x:row r="45" ht="20" customHeight="1">
      <x:c r="A45" s="2"/>
      <x:c r="B45" s="2"/>
      <x:c r="C45" s="2" t="n">
        <x:v>1</x:v>
      </x:c>
      <x:c r="D45" s="2" t="n">
        <x:v>1</x:v>
      </x:c>
      <x:c r="E45" s="2" t="n">
        <x:v>37</x:v>
      </x:c>
      <x:c r="F45" s="31" t="n">
        <x:v>47406</x:v>
      </x:c>
      <x:c r="G45" s="35" t="n">
        <x:v>0</x:v>
      </x:c>
      <x:c r="H45" s="35" t="n">
        <x:v>0</x:v>
      </x:c>
      <x:c r="I45" s="35" t="n">
        <x:v>0</x:v>
      </x:c>
      <x:c r="J45" s="35" t="n">
        <x:v>0</x:v>
      </x:c>
      <x:c r="K45" s="35" t="n">
        <x:v>0</x:v>
      </x:c>
      <x:c r="L45" s="35" t="n">
        <x:v>0</x:v>
      </x:c>
      <x:c r="M45" s="37" t="n">
        <x:v>3.082819986310746</x:v>
      </x:c>
      <x:c r="N45" s="35" t="n">
        <x:v>0</x:v>
      </x:c>
      <x:c r="O45" s="2"/>
      <x:c r="P45" s="2"/>
      <x:c r="Q45" s="2"/>
      <x:c r="R45" s="2"/>
      <x:c r="S45" s="2"/>
    </x:row>
    <x:row r="46" ht="20" customHeight="1">
      <x:c r="A46" s="2"/>
      <x:c r="B46" s="2"/>
      <x:c r="C46" s="2" t="n">
        <x:v>1</x:v>
      </x:c>
      <x:c r="D46" s="2" t="n">
        <x:v>1</x:v>
      </x:c>
      <x:c r="E46" s="2" t="n">
        <x:v>38</x:v>
      </x:c>
      <x:c r="F46" s="31" t="n">
        <x:v>47437</x:v>
      </x:c>
      <x:c r="G46" s="35" t="n">
        <x:v>0</x:v>
      </x:c>
      <x:c r="H46" s="35" t="n">
        <x:v>0</x:v>
      </x:c>
      <x:c r="I46" s="35" t="n">
        <x:v>0</x:v>
      </x:c>
      <x:c r="J46" s="35" t="n">
        <x:v>0</x:v>
      </x:c>
      <x:c r="K46" s="35" t="n">
        <x:v>0</x:v>
      </x:c>
      <x:c r="L46" s="35" t="n">
        <x:v>0</x:v>
      </x:c>
      <x:c r="M46" s="37" t="n">
        <x:v>3.167693360711841</x:v>
      </x:c>
      <x:c r="N46" s="35" t="n">
        <x:v>0</x:v>
      </x:c>
      <x:c r="O46" s="2"/>
      <x:c r="P46" s="2"/>
      <x:c r="Q46" s="2"/>
      <x:c r="R46" s="2"/>
      <x:c r="S46" s="2"/>
    </x:row>
    <x:row r="47" ht="20" customHeight="1">
      <x:c r="A47" s="2"/>
      <x:c r="B47" s="2"/>
      <x:c r="C47" s="2" t="n">
        <x:v>1</x:v>
      </x:c>
      <x:c r="D47" s="2" t="n">
        <x:v>1</x:v>
      </x:c>
      <x:c r="E47" s="2" t="n">
        <x:v>39</x:v>
      </x:c>
      <x:c r="F47" s="31" t="n">
        <x:v>47469</x:v>
      </x:c>
      <x:c r="G47" s="35" t="n">
        <x:v>0</x:v>
      </x:c>
      <x:c r="H47" s="35" t="n">
        <x:v>0</x:v>
      </x:c>
      <x:c r="I47" s="35" t="n">
        <x:v>0</x:v>
      </x:c>
      <x:c r="J47" s="35" t="n">
        <x:v>0</x:v>
      </x:c>
      <x:c r="K47" s="35" t="n">
        <x:v>0</x:v>
      </x:c>
      <x:c r="L47" s="35" t="n">
        <x:v>0</x:v>
      </x:c>
      <x:c r="M47" s="37" t="n">
        <x:v>3.2553045859000687</x:v>
      </x:c>
      <x:c r="N47" s="35" t="n">
        <x:v>0</x:v>
      </x:c>
      <x:c r="O47" s="2"/>
      <x:c r="P47" s="2"/>
      <x:c r="Q47" s="2"/>
      <x:c r="R47" s="2"/>
      <x:c r="S47" s="2"/>
    </x:row>
    <x:row r="48" ht="20" customHeight="1">
      <x:c r="A48" s="2"/>
      <x:c r="B48" s="2"/>
      <x:c r="C48" s="2" t="n">
        <x:v>1</x:v>
      </x:c>
      <x:c r="D48" s="2" t="n">
        <x:v>1</x:v>
      </x:c>
      <x:c r="E48" s="2" t="n">
        <x:v>40</x:v>
      </x:c>
      <x:c r="F48" s="31" t="n">
        <x:v>47498</x:v>
      </x:c>
      <x:c r="G48" s="35" t="n">
        <x:v>0</x:v>
      </x:c>
      <x:c r="H48" s="35" t="n">
        <x:v>0</x:v>
      </x:c>
      <x:c r="I48" s="35" t="n">
        <x:v>0</x:v>
      </x:c>
      <x:c r="J48" s="35" t="n">
        <x:v>0</x:v>
      </x:c>
      <x:c r="K48" s="35" t="n">
        <x:v>0</x:v>
      </x:c>
      <x:c r="L48" s="35" t="n">
        <x:v>0</x:v>
      </x:c>
      <x:c r="M48" s="37" t="n">
        <x:v>3.3347022587268995</x:v>
      </x:c>
      <x:c r="N48" s="35" t="n">
        <x:v>0</x:v>
      </x:c>
      <x:c r="O48" s="2"/>
      <x:c r="P48" s="2"/>
      <x:c r="Q48" s="2"/>
      <x:c r="R48" s="2"/>
      <x:c r="S48" s="2"/>
    </x:row>
    <x:row r="49" ht="20" customHeight="1">
      <x:c r="A49" s="2"/>
      <x:c r="B49" s="2"/>
      <x:c r="C49" s="2" t="n">
        <x:v>1</x:v>
      </x:c>
      <x:c r="D49" s="2" t="n">
        <x:v>1</x:v>
      </x:c>
      <x:c r="E49" s="2" t="n">
        <x:v>41</x:v>
      </x:c>
      <x:c r="F49" s="31" t="n">
        <x:v>47529</x:v>
      </x:c>
      <x:c r="G49" s="35" t="n">
        <x:v>0</x:v>
      </x:c>
      <x:c r="H49" s="35" t="n">
        <x:v>0</x:v>
      </x:c>
      <x:c r="I49" s="35" t="n">
        <x:v>0</x:v>
      </x:c>
      <x:c r="J49" s="35" t="n">
        <x:v>0</x:v>
      </x:c>
      <x:c r="K49" s="35" t="n">
        <x:v>0</x:v>
      </x:c>
      <x:c r="L49" s="35" t="n">
        <x:v>0</x:v>
      </x:c>
      <x:c r="M49" s="37" t="n">
        <x:v>3.4195756331279945</x:v>
      </x:c>
      <x:c r="N49" s="35" t="n">
        <x:v>0</x:v>
      </x:c>
      <x:c r="O49" s="2"/>
      <x:c r="P49" s="2"/>
      <x:c r="Q49" s="2"/>
      <x:c r="R49" s="2"/>
      <x:c r="S49" s="2"/>
    </x:row>
    <x:row r="50" ht="20" customHeight="1">
      <x:c r="A50" s="2"/>
      <x:c r="B50" s="2"/>
      <x:c r="C50" s="2" t="n">
        <x:v>1</x:v>
      </x:c>
      <x:c r="D50" s="2" t="n">
        <x:v>1</x:v>
      </x:c>
      <x:c r="E50" s="2" t="n">
        <x:v>42</x:v>
      </x:c>
      <x:c r="F50" s="31" t="n">
        <x:v>47557</x:v>
      </x:c>
      <x:c r="G50" s="35" t="n">
        <x:v>0</x:v>
      </x:c>
      <x:c r="H50" s="35" t="n">
        <x:v>0</x:v>
      </x:c>
      <x:c r="I50" s="35" t="n">
        <x:v>0</x:v>
      </x:c>
      <x:c r="J50" s="35" t="n">
        <x:v>0</x:v>
      </x:c>
      <x:c r="K50" s="35" t="n">
        <x:v>0</x:v>
      </x:c>
      <x:c r="L50" s="35" t="n">
        <x:v>0</x:v>
      </x:c>
      <x:c r="M50" s="37" t="n">
        <x:v>3.4962354551676933</x:v>
      </x:c>
      <x:c r="N50" s="35" t="n">
        <x:v>0</x:v>
      </x:c>
      <x:c r="O50" s="2"/>
      <x:c r="P50" s="2"/>
      <x:c r="Q50" s="2"/>
      <x:c r="R50" s="2"/>
      <x:c r="S50" s="2"/>
    </x:row>
    <x:row r="51" ht="20" customHeight="1">
      <x:c r="A51" s="2"/>
      <x:c r="B51" s="2"/>
      <x:c r="C51" s="2" t="n">
        <x:v>1</x:v>
      </x:c>
      <x:c r="D51" s="2" t="n">
        <x:v>1</x:v>
      </x:c>
      <x:c r="E51" s="2" t="n">
        <x:v>43</x:v>
      </x:c>
      <x:c r="F51" s="31" t="n">
        <x:v>47588</x:v>
      </x:c>
      <x:c r="G51" s="35" t="n">
        <x:v>0</x:v>
      </x:c>
      <x:c r="H51" s="35" t="n">
        <x:v>0</x:v>
      </x:c>
      <x:c r="I51" s="35" t="n">
        <x:v>0</x:v>
      </x:c>
      <x:c r="J51" s="35" t="n">
        <x:v>0</x:v>
      </x:c>
      <x:c r="K51" s="35" t="n">
        <x:v>0</x:v>
      </x:c>
      <x:c r="L51" s="35" t="n">
        <x:v>0</x:v>
      </x:c>
      <x:c r="M51" s="37" t="n">
        <x:v>3.5811088295687883</x:v>
      </x:c>
      <x:c r="N51" s="35" t="n">
        <x:v>0</x:v>
      </x:c>
      <x:c r="O51" s="2"/>
      <x:c r="P51" s="2"/>
      <x:c r="Q51" s="2"/>
      <x:c r="R51" s="2"/>
      <x:c r="S51" s="2"/>
    </x:row>
    <x:row r="52" ht="20" customHeight="1">
      <x:c r="A52" s="2"/>
      <x:c r="B52" s="2"/>
      <x:c r="C52" s="2" t="n">
        <x:v>1</x:v>
      </x:c>
      <x:c r="D52" s="2" t="n">
        <x:v>1</x:v>
      </x:c>
      <x:c r="E52" s="2" t="n">
        <x:v>44</x:v>
      </x:c>
      <x:c r="F52" s="31" t="n">
        <x:v>47618</x:v>
      </x:c>
      <x:c r="G52" s="35" t="n">
        <x:v>0</x:v>
      </x:c>
      <x:c r="H52" s="35" t="n">
        <x:v>0</x:v>
      </x:c>
      <x:c r="I52" s="35" t="n">
        <x:v>0</x:v>
      </x:c>
      <x:c r="J52" s="35" t="n">
        <x:v>0</x:v>
      </x:c>
      <x:c r="K52" s="35" t="n">
        <x:v>0</x:v>
      </x:c>
      <x:c r="L52" s="35" t="n">
        <x:v>0</x:v>
      </x:c>
      <x:c r="M52" s="37" t="n">
        <x:v>3.6632443531827517</x:v>
      </x:c>
      <x:c r="N52" s="35" t="n">
        <x:v>0</x:v>
      </x:c>
      <x:c r="O52" s="2"/>
      <x:c r="P52" s="2"/>
      <x:c r="Q52" s="2"/>
      <x:c r="R52" s="2"/>
      <x:c r="S52" s="2"/>
    </x:row>
    <x:row r="53" ht="20" customHeight="1">
      <x:c r="A53" s="2"/>
      <x:c r="B53" s="2"/>
      <x:c r="C53" s="2" t="n">
        <x:v>1</x:v>
      </x:c>
      <x:c r="D53" s="2" t="n">
        <x:v>1</x:v>
      </x:c>
      <x:c r="E53" s="2" t="n">
        <x:v>45</x:v>
      </x:c>
      <x:c r="F53" s="31" t="n">
        <x:v>47651</x:v>
      </x:c>
      <x:c r="G53" s="35" t="n">
        <x:v>0</x:v>
      </x:c>
      <x:c r="H53" s="35" t="n">
        <x:v>0</x:v>
      </x:c>
      <x:c r="I53" s="35" t="n">
        <x:v>0</x:v>
      </x:c>
      <x:c r="J53" s="35" t="n">
        <x:v>0</x:v>
      </x:c>
      <x:c r="K53" s="35" t="n">
        <x:v>0</x:v>
      </x:c>
      <x:c r="L53" s="35" t="n">
        <x:v>0</x:v>
      </x:c>
      <x:c r="M53" s="37" t="n">
        <x:v>3.753593429158111</x:v>
      </x:c>
      <x:c r="N53" s="35" t="n">
        <x:v>0</x:v>
      </x:c>
      <x:c r="O53" s="2"/>
      <x:c r="P53" s="2"/>
      <x:c r="Q53" s="2"/>
      <x:c r="R53" s="2"/>
      <x:c r="S53" s="2"/>
    </x:row>
    <x:row r="54" ht="20" customHeight="1">
      <x:c r="A54" s="2"/>
      <x:c r="B54" s="2"/>
      <x:c r="C54" s="2" t="n">
        <x:v>1</x:v>
      </x:c>
      <x:c r="D54" s="2" t="n">
        <x:v>1</x:v>
      </x:c>
      <x:c r="E54" s="2" t="n">
        <x:v>46</x:v>
      </x:c>
      <x:c r="F54" s="31" t="n">
        <x:v>47679</x:v>
      </x:c>
      <x:c r="G54" s="35" t="n">
        <x:v>0</x:v>
      </x:c>
      <x:c r="H54" s="35" t="n">
        <x:v>0</x:v>
      </x:c>
      <x:c r="I54" s="35" t="n">
        <x:v>0</x:v>
      </x:c>
      <x:c r="J54" s="35" t="n">
        <x:v>0</x:v>
      </x:c>
      <x:c r="K54" s="35" t="n">
        <x:v>0</x:v>
      </x:c>
      <x:c r="L54" s="35" t="n">
        <x:v>0</x:v>
      </x:c>
      <x:c r="M54" s="37" t="n">
        <x:v>3.8302532511978096</x:v>
      </x:c>
      <x:c r="N54" s="35" t="n">
        <x:v>0</x:v>
      </x:c>
      <x:c r="O54" s="2"/>
      <x:c r="P54" s="2"/>
      <x:c r="Q54" s="2"/>
      <x:c r="R54" s="2"/>
      <x:c r="S54" s="2"/>
    </x:row>
    <x:row r="55" ht="20" customHeight="1">
      <x:c r="A55" s="2"/>
      <x:c r="B55" s="2"/>
      <x:c r="C55" s="2" t="n">
        <x:v>1</x:v>
      </x:c>
      <x:c r="D55" s="2" t="n">
        <x:v>1</x:v>
      </x:c>
      <x:c r="E55" s="2" t="n">
        <x:v>47</x:v>
      </x:c>
      <x:c r="F55" s="31" t="n">
        <x:v>47710</x:v>
      </x:c>
      <x:c r="G55" s="35" t="n">
        <x:v>0</x:v>
      </x:c>
      <x:c r="H55" s="35" t="n">
        <x:v>0</x:v>
      </x:c>
      <x:c r="I55" s="35" t="n">
        <x:v>0</x:v>
      </x:c>
      <x:c r="J55" s="35" t="n">
        <x:v>0</x:v>
      </x:c>
      <x:c r="K55" s="35" t="n">
        <x:v>0</x:v>
      </x:c>
      <x:c r="L55" s="35" t="n">
        <x:v>0</x:v>
      </x:c>
      <x:c r="M55" s="37" t="n">
        <x:v>3.915126625598905</x:v>
      </x:c>
      <x:c r="N55" s="35" t="n">
        <x:v>0</x:v>
      </x:c>
      <x:c r="O55" s="2"/>
      <x:c r="P55" s="2"/>
      <x:c r="Q55" s="2"/>
      <x:c r="R55" s="2"/>
      <x:c r="S55" s="2"/>
    </x:row>
    <x:row r="56" ht="20" customHeight="1">
      <x:c r="A56" s="2"/>
      <x:c r="B56" s="2"/>
      <x:c r="C56" s="2" t="n">
        <x:v>1</x:v>
      </x:c>
      <x:c r="D56" s="2" t="n">
        <x:v>1</x:v>
      </x:c>
      <x:c r="E56" s="2" t="n">
        <x:v>48</x:v>
      </x:c>
      <x:c r="F56" s="31" t="n">
        <x:v>47742</x:v>
      </x:c>
      <x:c r="G56" s="35" t="n">
        <x:v>0</x:v>
      </x:c>
      <x:c r="H56" s="35" t="n">
        <x:v>0</x:v>
      </x:c>
      <x:c r="I56" s="35" t="n">
        <x:v>0</x:v>
      </x:c>
      <x:c r="J56" s="35" t="n">
        <x:v>0</x:v>
      </x:c>
      <x:c r="K56" s="35" t="n">
        <x:v>0</x:v>
      </x:c>
      <x:c r="L56" s="35" t="n">
        <x:v>0</x:v>
      </x:c>
      <x:c r="M56" s="37" t="n">
        <x:v>4.002737850787132</x:v>
      </x:c>
      <x:c r="N56" s="35" t="n">
        <x:v>0</x:v>
      </x:c>
      <x:c r="O56" s="2"/>
      <x:c r="P56" s="2"/>
      <x:c r="Q56" s="2"/>
      <x:c r="R56" s="2"/>
      <x:c r="S56" s="2"/>
    </x:row>
    <x:row r="57" ht="20" customHeight="1">
      <x:c r="A57" s="2"/>
      <x:c r="B57" s="2"/>
      <x:c r="C57" s="2" t="n">
        <x:v>1</x:v>
      </x:c>
      <x:c r="D57" s="2" t="n">
        <x:v>1</x:v>
      </x:c>
      <x:c r="E57" s="2" t="n">
        <x:v>49</x:v>
      </x:c>
      <x:c r="F57" s="31" t="n">
        <x:v>47771</x:v>
      </x:c>
      <x:c r="G57" s="35" t="n">
        <x:v>0</x:v>
      </x:c>
      <x:c r="H57" s="35" t="n">
        <x:v>0</x:v>
      </x:c>
      <x:c r="I57" s="35" t="n">
        <x:v>0</x:v>
      </x:c>
      <x:c r="J57" s="35" t="n">
        <x:v>0</x:v>
      </x:c>
      <x:c r="K57" s="35" t="n">
        <x:v>0</x:v>
      </x:c>
      <x:c r="L57" s="35" t="n">
        <x:v>0</x:v>
      </x:c>
      <x:c r="M57" s="37" t="n">
        <x:v>4.082135523613963</x:v>
      </x:c>
      <x:c r="N57" s="35" t="n">
        <x:v>0</x:v>
      </x:c>
      <x:c r="O57" s="2"/>
      <x:c r="P57" s="2"/>
      <x:c r="Q57" s="2"/>
      <x:c r="R57" s="2"/>
      <x:c r="S57" s="2"/>
    </x:row>
    <x:row r="58" ht="20" customHeight="1">
      <x:c r="A58" s="2"/>
      <x:c r="B58" s="2"/>
      <x:c r="C58" s="2" t="n">
        <x:v>1</x:v>
      </x:c>
      <x:c r="D58" s="2" t="n">
        <x:v>1</x:v>
      </x:c>
      <x:c r="E58" s="2" t="n">
        <x:v>50</x:v>
      </x:c>
      <x:c r="F58" s="31" t="n">
        <x:v>47802</x:v>
      </x:c>
      <x:c r="G58" s="35" t="n">
        <x:v>0</x:v>
      </x:c>
      <x:c r="H58" s="35" t="n">
        <x:v>0</x:v>
      </x:c>
      <x:c r="I58" s="35" t="n">
        <x:v>0</x:v>
      </x:c>
      <x:c r="J58" s="35" t="n">
        <x:v>0</x:v>
      </x:c>
      <x:c r="K58" s="35" t="n">
        <x:v>0</x:v>
      </x:c>
      <x:c r="L58" s="35" t="n">
        <x:v>0</x:v>
      </x:c>
      <x:c r="M58" s="37" t="n">
        <x:v>4.167008898015058</x:v>
      </x:c>
      <x:c r="N58" s="35" t="n">
        <x:v>0</x:v>
      </x:c>
      <x:c r="O58" s="2"/>
      <x:c r="P58" s="2"/>
      <x:c r="Q58" s="2"/>
      <x:c r="R58" s="2"/>
      <x:c r="S58" s="2"/>
    </x:row>
    <x:row r="59" ht="20" customHeight="1">
      <x:c r="A59" s="2"/>
      <x:c r="B59" s="2"/>
      <x:c r="C59" s="2" t="n">
        <x:v>1</x:v>
      </x:c>
      <x:c r="D59" s="2" t="n">
        <x:v>1</x:v>
      </x:c>
      <x:c r="E59" s="2" t="n">
        <x:v>51</x:v>
      </x:c>
      <x:c r="F59" s="31" t="n">
        <x:v>47833</x:v>
      </x:c>
      <x:c r="G59" s="35" t="n">
        <x:v>0</x:v>
      </x:c>
      <x:c r="H59" s="35" t="n">
        <x:v>0</x:v>
      </x:c>
      <x:c r="I59" s="35" t="n">
        <x:v>0</x:v>
      </x:c>
      <x:c r="J59" s="35" t="n">
        <x:v>0</x:v>
      </x:c>
      <x:c r="K59" s="35" t="n">
        <x:v>0</x:v>
      </x:c>
      <x:c r="L59" s="35" t="n">
        <x:v>0</x:v>
      </x:c>
      <x:c r="M59" s="37" t="n">
        <x:v>4.251882272416153</x:v>
      </x:c>
      <x:c r="N59" s="35" t="n">
        <x:v>0</x:v>
      </x:c>
      <x:c r="O59" s="2"/>
      <x:c r="P59" s="2"/>
      <x:c r="Q59" s="2"/>
      <x:c r="R59" s="2"/>
      <x:c r="S59" s="2"/>
    </x:row>
    <x:row r="60" ht="20" customHeight="1">
      <x:c r="A60" s="2"/>
      <x:c r="B60" s="2"/>
      <x:c r="C60" s="2" t="n">
        <x:v>1</x:v>
      </x:c>
      <x:c r="D60" s="2" t="n">
        <x:v>1</x:v>
      </x:c>
      <x:c r="E60" s="2" t="n">
        <x:v>52</x:v>
      </x:c>
      <x:c r="F60" s="31" t="n">
        <x:v>47863</x:v>
      </x:c>
      <x:c r="G60" s="35" t="n">
        <x:v>0</x:v>
      </x:c>
      <x:c r="H60" s="35" t="n">
        <x:v>0</x:v>
      </x:c>
      <x:c r="I60" s="35" t="n">
        <x:v>0</x:v>
      </x:c>
      <x:c r="J60" s="35" t="n">
        <x:v>0</x:v>
      </x:c>
      <x:c r="K60" s="35" t="n">
        <x:v>0</x:v>
      </x:c>
      <x:c r="L60" s="35" t="n">
        <x:v>0</x:v>
      </x:c>
      <x:c r="M60" s="37" t="n">
        <x:v>4.334017796030117</x:v>
      </x:c>
      <x:c r="N60" s="35" t="n">
        <x:v>0</x:v>
      </x:c>
      <x:c r="O60" s="2"/>
      <x:c r="P60" s="2"/>
      <x:c r="Q60" s="2"/>
      <x:c r="R60" s="2"/>
      <x:c r="S60" s="2"/>
    </x:row>
    <x:row r="61" ht="20" customHeight="1">
      <x:c r="A61" s="2"/>
      <x:c r="B61" s="2"/>
      <x:c r="C61" s="2" t="n">
        <x:v>1</x:v>
      </x:c>
      <x:c r="D61" s="2" t="n">
        <x:v>1</x:v>
      </x:c>
      <x:c r="E61" s="2" t="n">
        <x:v>53</x:v>
      </x:c>
      <x:c r="F61" s="31" t="n">
        <x:v>47897</x:v>
      </x:c>
      <x:c r="G61" s="35" t="n">
        <x:v>0</x:v>
      </x:c>
      <x:c r="H61" s="35" t="n">
        <x:v>0</x:v>
      </x:c>
      <x:c r="I61" s="35" t="n">
        <x:v>0</x:v>
      </x:c>
      <x:c r="J61" s="35" t="n">
        <x:v>0</x:v>
      </x:c>
      <x:c r="K61" s="35" t="n">
        <x:v>0</x:v>
      </x:c>
      <x:c r="L61" s="35" t="n">
        <x:v>0</x:v>
      </x:c>
      <x:c r="M61" s="37" t="n">
        <x:v>4.427104722792608</x:v>
      </x:c>
      <x:c r="N61" s="35" t="n">
        <x:v>0</x:v>
      </x:c>
      <x:c r="O61" s="2"/>
      <x:c r="P61" s="2"/>
      <x:c r="Q61" s="2"/>
      <x:c r="R61" s="2"/>
      <x:c r="S61" s="2"/>
    </x:row>
    <x:row r="62" ht="20" customHeight="1">
      <x:c r="A62" s="2"/>
      <x:c r="B62" s="2"/>
      <x:c r="C62" s="2" t="n">
        <x:v>1</x:v>
      </x:c>
      <x:c r="D62" s="2" t="n">
        <x:v>1</x:v>
      </x:c>
      <x:c r="E62" s="2" t="n">
        <x:v>54</x:v>
      </x:c>
      <x:c r="F62" s="31" t="n">
        <x:v>47924</x:v>
      </x:c>
      <x:c r="G62" s="35" t="n">
        <x:v>0</x:v>
      </x:c>
      <x:c r="H62" s="35" t="n">
        <x:v>0</x:v>
      </x:c>
      <x:c r="I62" s="35" t="n">
        <x:v>0</x:v>
      </x:c>
      <x:c r="J62" s="35" t="n">
        <x:v>0</x:v>
      </x:c>
      <x:c r="K62" s="35" t="n">
        <x:v>0</x:v>
      </x:c>
      <x:c r="L62" s="35" t="n">
        <x:v>0</x:v>
      </x:c>
      <x:c r="M62" s="37" t="n">
        <x:v>4.501026694045175</x:v>
      </x:c>
      <x:c r="N62" s="35" t="n">
        <x:v>0</x:v>
      </x:c>
      <x:c r="O62" s="2"/>
      <x:c r="P62" s="2"/>
      <x:c r="Q62" s="2"/>
      <x:c r="R62" s="2"/>
      <x:c r="S62" s="2"/>
    </x:row>
    <x:row r="63" ht="20" customHeight="1">
      <x:c r="A63" s="2"/>
      <x:c r="B63" s="2"/>
      <x:c r="C63" s="2" t="n">
        <x:v>1</x:v>
      </x:c>
      <x:c r="D63" s="2" t="n">
        <x:v>1</x:v>
      </x:c>
      <x:c r="E63" s="2" t="n">
        <x:v>55</x:v>
      </x:c>
      <x:c r="F63" s="31" t="n">
        <x:v>47953</x:v>
      </x:c>
      <x:c r="G63" s="35" t="n">
        <x:v>0</x:v>
      </x:c>
      <x:c r="H63" s="35" t="n">
        <x:v>0</x:v>
      </x:c>
      <x:c r="I63" s="35" t="n">
        <x:v>0</x:v>
      </x:c>
      <x:c r="J63" s="35" t="n">
        <x:v>0</x:v>
      </x:c>
      <x:c r="K63" s="35" t="n">
        <x:v>0</x:v>
      </x:c>
      <x:c r="L63" s="35" t="n">
        <x:v>0</x:v>
      </x:c>
      <x:c r="M63" s="37" t="n">
        <x:v>4.5804243668720055</x:v>
      </x:c>
      <x:c r="N63" s="35" t="n">
        <x:v>0</x:v>
      </x:c>
      <x:c r="O63" s="2"/>
      <x:c r="P63" s="2"/>
      <x:c r="Q63" s="2"/>
      <x:c r="R63" s="2"/>
      <x:c r="S63" s="2"/>
    </x:row>
    <x:row r="64" ht="20" customHeight="1">
      <x:c r="A64" s="2"/>
      <x:c r="B64" s="2"/>
      <x:c r="C64" s="2" t="n">
        <x:v>1</x:v>
      </x:c>
      <x:c r="D64" s="2" t="n">
        <x:v>1</x:v>
      </x:c>
      <x:c r="E64" s="2" t="n">
        <x:v>56</x:v>
      </x:c>
      <x:c r="F64" s="31" t="n">
        <x:v>47983</x:v>
      </x:c>
      <x:c r="G64" s="35" t="n">
        <x:v>0</x:v>
      </x:c>
      <x:c r="H64" s="35" t="n">
        <x:v>0</x:v>
      </x:c>
      <x:c r="I64" s="35" t="n">
        <x:v>0</x:v>
      </x:c>
      <x:c r="J64" s="35" t="n">
        <x:v>0</x:v>
      </x:c>
      <x:c r="K64" s="35" t="n">
        <x:v>0</x:v>
      </x:c>
      <x:c r="L64" s="35" t="n">
        <x:v>0</x:v>
      </x:c>
      <x:c r="M64" s="37" t="n">
        <x:v>4.662559890485968</x:v>
      </x:c>
      <x:c r="N64" s="35" t="n">
        <x:v>0</x:v>
      </x:c>
      <x:c r="O64" s="2"/>
      <x:c r="P64" s="2"/>
      <x:c r="Q64" s="2"/>
      <x:c r="R64" s="2"/>
      <x:c r="S64" s="2"/>
    </x:row>
    <x:row r="65" ht="20" customHeight="1">
      <x:c r="A65" s="2"/>
      <x:c r="B65" s="2"/>
      <x:c r="C65" s="2" t="n">
        <x:v>1</x:v>
      </x:c>
      <x:c r="D65" s="2" t="n">
        <x:v>1</x:v>
      </x:c>
      <x:c r="E65" s="2" t="n">
        <x:v>57</x:v>
      </x:c>
      <x:c r="F65" s="31" t="n">
        <x:v>48015</x:v>
      </x:c>
      <x:c r="G65" s="35" t="n">
        <x:v>0</x:v>
      </x:c>
      <x:c r="H65" s="35" t="n">
        <x:v>0</x:v>
      </x:c>
      <x:c r="I65" s="35" t="n">
        <x:v>0</x:v>
      </x:c>
      <x:c r="J65" s="35" t="n">
        <x:v>0</x:v>
      </x:c>
      <x:c r="K65" s="35" t="n">
        <x:v>0</x:v>
      </x:c>
      <x:c r="L65" s="35" t="n">
        <x:v>0</x:v>
      </x:c>
      <x:c r="M65" s="37" t="n">
        <x:v>4.7501711156741955</x:v>
      </x:c>
      <x:c r="N65" s="35" t="n">
        <x:v>0</x:v>
      </x:c>
      <x:c r="O65" s="2"/>
      <x:c r="P65" s="2"/>
      <x:c r="Q65" s="2"/>
      <x:c r="R65" s="2"/>
      <x:c r="S65" s="2"/>
    </x:row>
    <x:row r="66" ht="20" customHeight="1">
      <x:c r="A66" s="2"/>
      <x:c r="B66" s="2"/>
      <x:c r="C66" s="2" t="n">
        <x:v>1</x:v>
      </x:c>
      <x:c r="D66" s="2" t="n">
        <x:v>1</x:v>
      </x:c>
      <x:c r="E66" s="2" t="n">
        <x:v>58</x:v>
      </x:c>
      <x:c r="F66" s="31" t="n">
        <x:v>48044</x:v>
      </x:c>
      <x:c r="G66" s="35" t="n">
        <x:v>0</x:v>
      </x:c>
      <x:c r="H66" s="35" t="n">
        <x:v>0</x:v>
      </x:c>
      <x:c r="I66" s="35" t="n">
        <x:v>0</x:v>
      </x:c>
      <x:c r="J66" s="35" t="n">
        <x:v>0</x:v>
      </x:c>
      <x:c r="K66" s="35" t="n">
        <x:v>0</x:v>
      </x:c>
      <x:c r="L66" s="35" t="n">
        <x:v>0</x:v>
      </x:c>
      <x:c r="M66" s="37" t="n">
        <x:v>4.829568788501026</x:v>
      </x:c>
      <x:c r="N66" s="35" t="n">
        <x:v>0</x:v>
      </x:c>
      <x:c r="O66" s="2"/>
      <x:c r="P66" s="2"/>
      <x:c r="Q66" s="2"/>
      <x:c r="R66" s="2"/>
      <x:c r="S66" s="2"/>
    </x:row>
    <x:row r="67" ht="20" customHeight="1">
      <x:c r="A67" s="2"/>
      <x:c r="B67" s="2"/>
      <x:c r="C67" s="2" t="n">
        <x:v>1</x:v>
      </x:c>
      <x:c r="D67" s="2" t="n">
        <x:v>1</x:v>
      </x:c>
      <x:c r="E67" s="2" t="n">
        <x:v>59</x:v>
      </x:c>
      <x:c r="F67" s="31" t="n">
        <x:v>48075</x:v>
      </x:c>
      <x:c r="G67" s="35" t="n">
        <x:v>0</x:v>
      </x:c>
      <x:c r="H67" s="35" t="n">
        <x:v>0</x:v>
      </x:c>
      <x:c r="I67" s="35" t="n">
        <x:v>0</x:v>
      </x:c>
      <x:c r="J67" s="35" t="n">
        <x:v>0</x:v>
      </x:c>
      <x:c r="K67" s="35" t="n">
        <x:v>0</x:v>
      </x:c>
      <x:c r="L67" s="35" t="n">
        <x:v>0</x:v>
      </x:c>
      <x:c r="M67" s="37" t="n">
        <x:v>4.914442162902122</x:v>
      </x:c>
      <x:c r="N67" s="35" t="n">
        <x:v>0</x:v>
      </x:c>
      <x:c r="O67" s="2"/>
      <x:c r="P67" s="2"/>
      <x:c r="Q67" s="2"/>
      <x:c r="R67" s="2"/>
      <x:c r="S67" s="2"/>
    </x:row>
    <x:row r="68" ht="20" customHeight="1">
      <x:c r="A68" s="2"/>
      <x:c r="B68" s="2"/>
      <x:c r="C68" s="2" t="n">
        <x:v>1</x:v>
      </x:c>
      <x:c r="D68" s="2" t="n">
        <x:v>1</x:v>
      </x:c>
      <x:c r="E68" s="2" t="n">
        <x:v>60</x:v>
      </x:c>
      <x:c r="F68" s="31" t="n">
        <x:v>48106</x:v>
      </x:c>
      <x:c r="G68" s="35" t="n">
        <x:v>0</x:v>
      </x:c>
      <x:c r="H68" s="35" t="n">
        <x:v>0</x:v>
      </x:c>
      <x:c r="I68" s="35" t="n">
        <x:v>0</x:v>
      </x:c>
      <x:c r="J68" s="35" t="n">
        <x:v>0</x:v>
      </x:c>
      <x:c r="K68" s="35" t="n">
        <x:v>0</x:v>
      </x:c>
      <x:c r="L68" s="35" t="n">
        <x:v>0</x:v>
      </x:c>
      <x:c r="M68" s="37" t="n">
        <x:v>4.999315537303217</x:v>
      </x:c>
      <x:c r="N68" s="35" t="n">
        <x:v>0</x:v>
      </x:c>
      <x:c r="O68" s="2"/>
      <x:c r="P68" s="2"/>
      <x:c r="Q68" s="2"/>
      <x:c r="R68" s="2"/>
      <x:c r="S68" s="2"/>
    </x:row>
    <x:row r="69" ht="20" customHeight="1">
      <x:c r="A69" s="2"/>
      <x:c r="B69" s="2"/>
      <x:c r="C69" s="2" t="n">
        <x:v>1</x:v>
      </x:c>
      <x:c r="D69" s="2" t="n">
        <x:v>1</x:v>
      </x:c>
      <x:c r="E69" s="2" t="n">
        <x:v>61</x:v>
      </x:c>
      <x:c r="F69" s="31" t="n">
        <x:v>48136</x:v>
      </x:c>
      <x:c r="G69" s="35" t="n">
        <x:v>0</x:v>
      </x:c>
      <x:c r="H69" s="35" t="n">
        <x:v>0</x:v>
      </x:c>
      <x:c r="I69" s="35" t="n">
        <x:v>0</x:v>
      </x:c>
      <x:c r="J69" s="35" t="n">
        <x:v>0</x:v>
      </x:c>
      <x:c r="K69" s="35" t="n">
        <x:v>0</x:v>
      </x:c>
      <x:c r="L69" s="35" t="n">
        <x:v>0</x:v>
      </x:c>
      <x:c r="M69" s="37" t="n">
        <x:v>5.08145106091718</x:v>
      </x:c>
      <x:c r="N69" s="35" t="n">
        <x:v>0</x:v>
      </x:c>
      <x:c r="O69" s="2"/>
      <x:c r="P69" s="2"/>
      <x:c r="Q69" s="2"/>
      <x:c r="R69" s="2"/>
      <x:c r="S69" s="2"/>
    </x:row>
    <x:row r="70" ht="20" customHeight="1">
      <x:c r="A70" s="2"/>
      <x:c r="B70" s="2"/>
      <x:c r="C70" s="2" t="n">
        <x:v>1</x:v>
      </x:c>
      <x:c r="D70" s="2" t="n">
        <x:v>2</x:v>
      </x:c>
      <x:c r="E70" s="2" t="n">
        <x:v>1</x:v>
      </x:c>
      <x:c r="F70" s="31" t="n">
        <x:v>46310</x:v>
      </x:c>
      <x:c r="G70" s="35" t="n">
        <x:v>88337412.47</x:v>
      </x:c>
      <x:c r="H70" s="35" t="n">
        <x:v>337890.6</x:v>
      </x:c>
      <x:c r="I70" s="35" t="n">
        <x:v>18057724.51</x:v>
      </x:c>
      <x:c r="J70" s="35" t="n">
        <x:v>0</x:v>
      </x:c>
      <x:c r="K70" s="35" t="n">
        <x:v>70279687.96</x:v>
      </x:c>
      <x:c r="L70" s="35" t="n">
        <x:v>0</x:v>
      </x:c>
      <x:c r="M70" s="37" t="n">
        <x:v>0.08213552361396304</x:v>
      </x:c>
      <x:c r="N70" s="35" t="n">
        <x:v>70279687.96</x:v>
      </x:c>
      <x:c r="O70" s="2"/>
      <x:c r="P70" s="2"/>
      <x:c r="Q70" s="2"/>
      <x:c r="R70" s="2"/>
      <x:c r="S70" s="2"/>
    </x:row>
    <x:row r="71" ht="20" customHeight="1">
      <x:c r="A71" s="2"/>
      <x:c r="B71" s="2"/>
      <x:c r="C71" s="2" t="n">
        <x:v>1</x:v>
      </x:c>
      <x:c r="D71" s="2" t="n">
        <x:v>2</x:v>
      </x:c>
      <x:c r="E71" s="2" t="n">
        <x:v>2</x:v>
      </x:c>
      <x:c r="F71" s="31" t="n">
        <x:v>46342</x:v>
      </x:c>
      <x:c r="G71" s="35" t="n">
        <x:v>70279687.96</x:v>
      </x:c>
      <x:c r="H71" s="35" t="n">
        <x:v>268819.81</x:v>
      </x:c>
      <x:c r="I71" s="35" t="n">
        <x:v>17436511.75</x:v>
      </x:c>
      <x:c r="J71" s="35" t="n">
        <x:v>0</x:v>
      </x:c>
      <x:c r="K71" s="35" t="n">
        <x:v>52843176.21</x:v>
      </x:c>
      <x:c r="L71" s="35" t="n">
        <x:v>0</x:v>
      </x:c>
      <x:c r="M71" s="37" t="n">
        <x:v>0.1697467488021903</x:v>
      </x:c>
      <x:c r="N71" s="35" t="n">
        <x:v>52843176.21</x:v>
      </x:c>
      <x:c r="O71" s="2"/>
      <x:c r="P71" s="2"/>
      <x:c r="Q71" s="2"/>
      <x:c r="R71" s="2"/>
      <x:c r="S71" s="2"/>
    </x:row>
    <x:row r="72" ht="20" customHeight="1">
      <x:c r="A72" s="2"/>
      <x:c r="B72" s="2"/>
      <x:c r="C72" s="2" t="n">
        <x:v>1</x:v>
      </x:c>
      <x:c r="D72" s="2" t="n">
        <x:v>2</x:v>
      </x:c>
      <x:c r="E72" s="2" t="n">
        <x:v>3</x:v>
      </x:c>
      <x:c r="F72" s="31" t="n">
        <x:v>46371</x:v>
      </x:c>
      <x:c r="G72" s="35" t="n">
        <x:v>52843176.21</x:v>
      </x:c>
      <x:c r="H72" s="35" t="n">
        <x:v>202125.15</x:v>
      </x:c>
      <x:c r="I72" s="35" t="n">
        <x:v>16857016.36</x:v>
      </x:c>
      <x:c r="J72" s="35" t="n">
        <x:v>0</x:v>
      </x:c>
      <x:c r="K72" s="35" t="n">
        <x:v>35986159.85</x:v>
      </x:c>
      <x:c r="L72" s="35" t="n">
        <x:v>0</x:v>
      </x:c>
      <x:c r="M72" s="37" t="n">
        <x:v>0.24914442162902123</x:v>
      </x:c>
      <x:c r="N72" s="35" t="n">
        <x:v>35986159.85</x:v>
      </x:c>
      <x:c r="O72" s="2"/>
      <x:c r="P72" s="2"/>
      <x:c r="Q72" s="2"/>
      <x:c r="R72" s="2"/>
      <x:c r="S72" s="2"/>
    </x:row>
    <x:row r="73" ht="20" customHeight="1">
      <x:c r="A73" s="2"/>
      <x:c r="B73" s="2"/>
      <x:c r="C73" s="2" t="n">
        <x:v>1</x:v>
      </x:c>
      <x:c r="D73" s="2" t="n">
        <x:v>2</x:v>
      </x:c>
      <x:c r="E73" s="2" t="n">
        <x:v>4</x:v>
      </x:c>
      <x:c r="F73" s="31" t="n">
        <x:v>46402</x:v>
      </x:c>
      <x:c r="G73" s="35" t="n">
        <x:v>35986159.85</x:v>
      </x:c>
      <x:c r="H73" s="35" t="n">
        <x:v>137647.06</x:v>
      </x:c>
      <x:c r="I73" s="35" t="n">
        <x:v>16265984.72</x:v>
      </x:c>
      <x:c r="J73" s="35" t="n">
        <x:v>0</x:v>
      </x:c>
      <x:c r="K73" s="35" t="n">
        <x:v>19720175.13</x:v>
      </x:c>
      <x:c r="L73" s="35" t="n">
        <x:v>0</x:v>
      </x:c>
      <x:c r="M73" s="37" t="n">
        <x:v>0.33401779603011633</x:v>
      </x:c>
      <x:c r="N73" s="35" t="n">
        <x:v>19720175.13</x:v>
      </x:c>
      <x:c r="O73" s="2"/>
      <x:c r="P73" s="2"/>
      <x:c r="Q73" s="2"/>
      <x:c r="R73" s="2"/>
      <x:c r="S73" s="2"/>
    </x:row>
    <x:row r="74" ht="20" customHeight="1">
      <x:c r="A74" s="2"/>
      <x:c r="B74" s="2"/>
      <x:c r="C74" s="2" t="n">
        <x:v>1</x:v>
      </x:c>
      <x:c r="D74" s="2" t="n">
        <x:v>2</x:v>
      </x:c>
      <x:c r="E74" s="2" t="n">
        <x:v>5</x:v>
      </x:c>
      <x:c r="F74" s="31" t="n">
        <x:v>46434</x:v>
      </x:c>
      <x:c r="G74" s="35" t="n">
        <x:v>19720175.13</x:v>
      </x:c>
      <x:c r="H74" s="35" t="n">
        <x:v>75429.67</x:v>
      </x:c>
      <x:c r="I74" s="35" t="n">
        <x:v>15882068.19</x:v>
      </x:c>
      <x:c r="J74" s="35" t="n">
        <x:v>0</x:v>
      </x:c>
      <x:c r="K74" s="35" t="n">
        <x:v>3838106.94</x:v>
      </x:c>
      <x:c r="L74" s="35" t="n">
        <x:v>0</x:v>
      </x:c>
      <x:c r="M74" s="37" t="n">
        <x:v>0.4216290212183436</x:v>
      </x:c>
      <x:c r="N74" s="35" t="n">
        <x:v>3838106.94</x:v>
      </x:c>
      <x:c r="O74" s="2"/>
      <x:c r="P74" s="2"/>
      <x:c r="Q74" s="2"/>
      <x:c r="R74" s="2"/>
      <x:c r="S74" s="2"/>
    </x:row>
    <x:row r="75" ht="20" customHeight="1">
      <x:c r="A75" s="2"/>
      <x:c r="B75" s="2"/>
      <x:c r="C75" s="2" t="n">
        <x:v>1</x:v>
      </x:c>
      <x:c r="D75" s="2" t="n">
        <x:v>2</x:v>
      </x:c>
      <x:c r="E75" s="2" t="n">
        <x:v>6</x:v>
      </x:c>
      <x:c r="F75" s="31" t="n">
        <x:v>46461</x:v>
      </x:c>
      <x:c r="G75" s="35" t="n">
        <x:v>3838106.94</x:v>
      </x:c>
      <x:c r="H75" s="35" t="n">
        <x:v>14680.76</x:v>
      </x:c>
      <x:c r="I75" s="35" t="n">
        <x:v>3838106.94</x:v>
      </x:c>
      <x:c r="J75" s="35" t="n">
        <x:v>0</x:v>
      </x:c>
      <x:c r="K75" s="35" t="n">
        <x:v>0</x:v>
      </x:c>
      <x:c r="L75" s="35" t="n">
        <x:v>0</x:v>
      </x:c>
      <x:c r="M75" s="37" t="n">
        <x:v>0.49555099247091033</x:v>
      </x:c>
      <x:c r="N75" s="35" t="n">
        <x:v>0</x:v>
      </x:c>
      <x:c r="O75" s="2"/>
      <x:c r="P75" s="2"/>
      <x:c r="Q75" s="2"/>
      <x:c r="R75" s="2"/>
      <x:c r="S75" s="2"/>
    </x:row>
    <x:row r="76" ht="20" customHeight="1">
      <x:c r="A76" s="2"/>
      <x:c r="B76" s="2"/>
      <x:c r="C76" s="2" t="n">
        <x:v>1</x:v>
      </x:c>
      <x:c r="D76" s="2" t="n">
        <x:v>2</x:v>
      </x:c>
      <x:c r="E76" s="2" t="n">
        <x:v>7</x:v>
      </x:c>
      <x:c r="F76" s="31" t="n">
        <x:v>46492</x:v>
      </x:c>
      <x:c r="G76" s="35" t="n">
        <x:v>0</x:v>
      </x:c>
      <x:c r="H76" s="35" t="n">
        <x:v>0</x:v>
      </x:c>
      <x:c r="I76" s="35" t="n">
        <x:v>0</x:v>
      </x:c>
      <x:c r="J76" s="35" t="n">
        <x:v>0</x:v>
      </x:c>
      <x:c r="K76" s="35" t="n">
        <x:v>0</x:v>
      </x:c>
      <x:c r="L76" s="35" t="n">
        <x:v>0</x:v>
      </x:c>
      <x:c r="M76" s="37" t="n">
        <x:v>0.5804243668720055</x:v>
      </x:c>
      <x:c r="N76" s="35" t="n">
        <x:v>0</x:v>
      </x:c>
      <x:c r="O76" s="2"/>
      <x:c r="P76" s="2"/>
      <x:c r="Q76" s="2"/>
      <x:c r="R76" s="2"/>
      <x:c r="S76" s="2"/>
    </x:row>
    <x:row r="77" ht="20" customHeight="1">
      <x:c r="A77" s="2"/>
      <x:c r="B77" s="2"/>
      <x:c r="C77" s="2" t="n">
        <x:v>1</x:v>
      </x:c>
      <x:c r="D77" s="2" t="n">
        <x:v>2</x:v>
      </x:c>
      <x:c r="E77" s="2" t="n">
        <x:v>8</x:v>
      </x:c>
      <x:c r="F77" s="31" t="n">
        <x:v>46524</x:v>
      </x:c>
      <x:c r="G77" s="35" t="n">
        <x:v>0</x:v>
      </x:c>
      <x:c r="H77" s="35" t="n">
        <x:v>0</x:v>
      </x:c>
      <x:c r="I77" s="35" t="n">
        <x:v>0</x:v>
      </x:c>
      <x:c r="J77" s="35" t="n">
        <x:v>0</x:v>
      </x:c>
      <x:c r="K77" s="35" t="n">
        <x:v>0</x:v>
      </x:c>
      <x:c r="L77" s="35" t="n">
        <x:v>0</x:v>
      </x:c>
      <x:c r="M77" s="37" t="n">
        <x:v>0.6680355920602327</x:v>
      </x:c>
      <x:c r="N77" s="35" t="n">
        <x:v>0</x:v>
      </x:c>
      <x:c r="O77" s="2"/>
      <x:c r="P77" s="2"/>
      <x:c r="Q77" s="2"/>
      <x:c r="R77" s="2"/>
      <x:c r="S77" s="2"/>
    </x:row>
    <x:row r="78" ht="20" customHeight="1">
      <x:c r="A78" s="2"/>
      <x:c r="B78" s="2"/>
      <x:c r="C78" s="2" t="n">
        <x:v>1</x:v>
      </x:c>
      <x:c r="D78" s="2" t="n">
        <x:v>2</x:v>
      </x:c>
      <x:c r="E78" s="2" t="n">
        <x:v>9</x:v>
      </x:c>
      <x:c r="F78" s="31" t="n">
        <x:v>46553</x:v>
      </x:c>
      <x:c r="G78" s="35" t="n">
        <x:v>0</x:v>
      </x:c>
      <x:c r="H78" s="35" t="n">
        <x:v>0</x:v>
      </x:c>
      <x:c r="I78" s="35" t="n">
        <x:v>0</x:v>
      </x:c>
      <x:c r="J78" s="35" t="n">
        <x:v>0</x:v>
      </x:c>
      <x:c r="K78" s="35" t="n">
        <x:v>0</x:v>
      </x:c>
      <x:c r="L78" s="35" t="n">
        <x:v>0</x:v>
      </x:c>
      <x:c r="M78" s="37" t="n">
        <x:v>0.7474332648870636</x:v>
      </x:c>
      <x:c r="N78" s="35" t="n">
        <x:v>0</x:v>
      </x:c>
      <x:c r="O78" s="2"/>
      <x:c r="P78" s="2"/>
      <x:c r="Q78" s="2"/>
      <x:c r="R78" s="2"/>
      <x:c r="S78" s="2"/>
    </x:row>
    <x:row r="79" ht="20" customHeight="1">
      <x:c r="A79" s="2"/>
      <x:c r="B79" s="2"/>
      <x:c r="C79" s="2" t="n">
        <x:v>1</x:v>
      </x:c>
      <x:c r="D79" s="2" t="n">
        <x:v>2</x:v>
      </x:c>
      <x:c r="E79" s="2" t="n">
        <x:v>10</x:v>
      </x:c>
      <x:c r="F79" s="31" t="n">
        <x:v>46583</x:v>
      </x:c>
      <x:c r="G79" s="35" t="n">
        <x:v>0</x:v>
      </x:c>
      <x:c r="H79" s="35" t="n">
        <x:v>0</x:v>
      </x:c>
      <x:c r="I79" s="35" t="n">
        <x:v>0</x:v>
      </x:c>
      <x:c r="J79" s="35" t="n">
        <x:v>0</x:v>
      </x:c>
      <x:c r="K79" s="35" t="n">
        <x:v>0</x:v>
      </x:c>
      <x:c r="L79" s="35" t="n">
        <x:v>0</x:v>
      </x:c>
      <x:c r="M79" s="37" t="n">
        <x:v>0.8295687885010267</x:v>
      </x:c>
      <x:c r="N79" s="35" t="n">
        <x:v>0</x:v>
      </x:c>
      <x:c r="O79" s="2"/>
      <x:c r="P79" s="2"/>
      <x:c r="Q79" s="2"/>
      <x:c r="R79" s="2"/>
      <x:c r="S79" s="2"/>
    </x:row>
    <x:row r="80" ht="20" customHeight="1">
      <x:c r="A80" s="2"/>
      <x:c r="B80" s="2"/>
      <x:c r="C80" s="2" t="n">
        <x:v>1</x:v>
      </x:c>
      <x:c r="D80" s="2" t="n">
        <x:v>2</x:v>
      </x:c>
      <x:c r="E80" s="2" t="n">
        <x:v>11</x:v>
      </x:c>
      <x:c r="F80" s="31" t="n">
        <x:v>46615</x:v>
      </x:c>
      <x:c r="G80" s="35" t="n">
        <x:v>0</x:v>
      </x:c>
      <x:c r="H80" s="35" t="n">
        <x:v>0</x:v>
      </x:c>
      <x:c r="I80" s="35" t="n">
        <x:v>0</x:v>
      </x:c>
      <x:c r="J80" s="35" t="n">
        <x:v>0</x:v>
      </x:c>
      <x:c r="K80" s="35" t="n">
        <x:v>0</x:v>
      </x:c>
      <x:c r="L80" s="35" t="n">
        <x:v>0</x:v>
      </x:c>
      <x:c r="M80" s="37" t="n">
        <x:v>0.917180013689254</x:v>
      </x:c>
      <x:c r="N80" s="35" t="n">
        <x:v>0</x:v>
      </x:c>
      <x:c r="O80" s="2"/>
      <x:c r="P80" s="2"/>
      <x:c r="Q80" s="2"/>
      <x:c r="R80" s="2"/>
      <x:c r="S80" s="2"/>
    </x:row>
    <x:row r="81" ht="20" customHeight="1">
      <x:c r="A81" s="2"/>
      <x:c r="B81" s="2"/>
      <x:c r="C81" s="2" t="n">
        <x:v>1</x:v>
      </x:c>
      <x:c r="D81" s="2" t="n">
        <x:v>2</x:v>
      </x:c>
      <x:c r="E81" s="2" t="n">
        <x:v>12</x:v>
      </x:c>
      <x:c r="F81" s="31" t="n">
        <x:v>46645</x:v>
      </x:c>
      <x:c r="G81" s="35" t="n">
        <x:v>0</x:v>
      </x:c>
      <x:c r="H81" s="35" t="n">
        <x:v>0</x:v>
      </x:c>
      <x:c r="I81" s="35" t="n">
        <x:v>0</x:v>
      </x:c>
      <x:c r="J81" s="35" t="n">
        <x:v>0</x:v>
      </x:c>
      <x:c r="K81" s="35" t="n">
        <x:v>0</x:v>
      </x:c>
      <x:c r="L81" s="35" t="n">
        <x:v>0</x:v>
      </x:c>
      <x:c r="M81" s="37" t="n">
        <x:v>0.999315537303217</x:v>
      </x:c>
      <x:c r="N81" s="35" t="n">
        <x:v>0</x:v>
      </x:c>
      <x:c r="O81" s="2"/>
      <x:c r="P81" s="2"/>
      <x:c r="Q81" s="2"/>
      <x:c r="R81" s="2"/>
      <x:c r="S81" s="2"/>
    </x:row>
    <x:row r="82" ht="20" customHeight="1">
      <x:c r="A82" s="2"/>
      <x:c r="B82" s="2"/>
      <x:c r="C82" s="2" t="n">
        <x:v>1</x:v>
      </x:c>
      <x:c r="D82" s="2" t="n">
        <x:v>2</x:v>
      </x:c>
      <x:c r="E82" s="2" t="n">
        <x:v>13</x:v>
      </x:c>
      <x:c r="F82" s="31" t="n">
        <x:v>46675</x:v>
      </x:c>
      <x:c r="G82" s="35" t="n">
        <x:v>0</x:v>
      </x:c>
      <x:c r="H82" s="35" t="n">
        <x:v>0</x:v>
      </x:c>
      <x:c r="I82" s="35" t="n">
        <x:v>0</x:v>
      </x:c>
      <x:c r="J82" s="35" t="n">
        <x:v>0</x:v>
      </x:c>
      <x:c r="K82" s="35" t="n">
        <x:v>0</x:v>
      </x:c>
      <x:c r="L82" s="35" t="n">
        <x:v>0</x:v>
      </x:c>
      <x:c r="M82" s="37" t="n">
        <x:v>1.08145106091718</x:v>
      </x:c>
      <x:c r="N82" s="35" t="n">
        <x:v>0</x:v>
      </x:c>
      <x:c r="O82" s="2"/>
      <x:c r="P82" s="2"/>
      <x:c r="Q82" s="2"/>
      <x:c r="R82" s="2"/>
      <x:c r="S82" s="2"/>
    </x:row>
    <x:row r="83" ht="20" customHeight="1">
      <x:c r="A83" s="2"/>
      <x:c r="B83" s="2"/>
      <x:c r="C83" s="2" t="n">
        <x:v>1</x:v>
      </x:c>
      <x:c r="D83" s="2" t="n">
        <x:v>2</x:v>
      </x:c>
      <x:c r="E83" s="2" t="n">
        <x:v>14</x:v>
      </x:c>
      <x:c r="F83" s="31" t="n">
        <x:v>46706</x:v>
      </x:c>
      <x:c r="G83" s="35" t="n">
        <x:v>0</x:v>
      </x:c>
      <x:c r="H83" s="35" t="n">
        <x:v>0</x:v>
      </x:c>
      <x:c r="I83" s="35" t="n">
        <x:v>0</x:v>
      </x:c>
      <x:c r="J83" s="35" t="n">
        <x:v>0</x:v>
      </x:c>
      <x:c r="K83" s="35" t="n">
        <x:v>0</x:v>
      </x:c>
      <x:c r="L83" s="35" t="n">
        <x:v>0</x:v>
      </x:c>
      <x:c r="M83" s="37" t="n">
        <x:v>1.1663244353182751</x:v>
      </x:c>
      <x:c r="N83" s="35" t="n">
        <x:v>0</x:v>
      </x:c>
      <x:c r="O83" s="2"/>
      <x:c r="P83" s="2"/>
      <x:c r="Q83" s="2"/>
      <x:c r="R83" s="2"/>
      <x:c r="S83" s="2"/>
    </x:row>
    <x:row r="84" ht="20" customHeight="1">
      <x:c r="A84" s="2"/>
      <x:c r="B84" s="2"/>
      <x:c r="C84" s="2" t="n">
        <x:v>1</x:v>
      </x:c>
      <x:c r="D84" s="2" t="n">
        <x:v>2</x:v>
      </x:c>
      <x:c r="E84" s="2" t="n">
        <x:v>15</x:v>
      </x:c>
      <x:c r="F84" s="31" t="n">
        <x:v>46736</x:v>
      </x:c>
      <x:c r="G84" s="35" t="n">
        <x:v>0</x:v>
      </x:c>
      <x:c r="H84" s="35" t="n">
        <x:v>0</x:v>
      </x:c>
      <x:c r="I84" s="35" t="n">
        <x:v>0</x:v>
      </x:c>
      <x:c r="J84" s="35" t="n">
        <x:v>0</x:v>
      </x:c>
      <x:c r="K84" s="35" t="n">
        <x:v>0</x:v>
      </x:c>
      <x:c r="L84" s="35" t="n">
        <x:v>0</x:v>
      </x:c>
      <x:c r="M84" s="37" t="n">
        <x:v>1.2484599589322383</x:v>
      </x:c>
      <x:c r="N84" s="35" t="n">
        <x:v>0</x:v>
      </x:c>
      <x:c r="O84" s="2"/>
      <x:c r="P84" s="2"/>
      <x:c r="Q84" s="2"/>
      <x:c r="R84" s="2"/>
      <x:c r="S84" s="2"/>
    </x:row>
    <x:row r="85" ht="20" customHeight="1">
      <x:c r="A85" s="2"/>
      <x:c r="B85" s="2"/>
      <x:c r="C85" s="2" t="n">
        <x:v>1</x:v>
      </x:c>
      <x:c r="D85" s="2" t="n">
        <x:v>2</x:v>
      </x:c>
      <x:c r="E85" s="2" t="n">
        <x:v>16</x:v>
      </x:c>
      <x:c r="F85" s="31" t="n">
        <x:v>46770</x:v>
      </x:c>
      <x:c r="G85" s="35" t="n">
        <x:v>0</x:v>
      </x:c>
      <x:c r="H85" s="35" t="n">
        <x:v>0</x:v>
      </x:c>
      <x:c r="I85" s="35" t="n">
        <x:v>0</x:v>
      </x:c>
      <x:c r="J85" s="35" t="n">
        <x:v>0</x:v>
      </x:c>
      <x:c r="K85" s="35" t="n">
        <x:v>0</x:v>
      </x:c>
      <x:c r="L85" s="35" t="n">
        <x:v>0</x:v>
      </x:c>
      <x:c r="M85" s="37" t="n">
        <x:v>1.3415468856947297</x:v>
      </x:c>
      <x:c r="N85" s="35" t="n">
        <x:v>0</x:v>
      </x:c>
      <x:c r="O85" s="2"/>
      <x:c r="P85" s="2"/>
      <x:c r="Q85" s="2"/>
      <x:c r="R85" s="2"/>
      <x:c r="S85" s="2"/>
    </x:row>
    <x:row r="86" ht="20" customHeight="1">
      <x:c r="A86" s="2"/>
      <x:c r="B86" s="2"/>
      <x:c r="C86" s="2" t="n">
        <x:v>1</x:v>
      </x:c>
      <x:c r="D86" s="2" t="n">
        <x:v>2</x:v>
      </x:c>
      <x:c r="E86" s="2" t="n">
        <x:v>17</x:v>
      </x:c>
      <x:c r="F86" s="31" t="n">
        <x:v>46798</x:v>
      </x:c>
      <x:c r="G86" s="35" t="n">
        <x:v>0</x:v>
      </x:c>
      <x:c r="H86" s="35" t="n">
        <x:v>0</x:v>
      </x:c>
      <x:c r="I86" s="35" t="n">
        <x:v>0</x:v>
      </x:c>
      <x:c r="J86" s="35" t="n">
        <x:v>0</x:v>
      </x:c>
      <x:c r="K86" s="35" t="n">
        <x:v>0</x:v>
      </x:c>
      <x:c r="L86" s="35" t="n">
        <x:v>0</x:v>
      </x:c>
      <x:c r="M86" s="37" t="n">
        <x:v>1.4182067077344285</x:v>
      </x:c>
      <x:c r="N86" s="35" t="n">
        <x:v>0</x:v>
      </x:c>
      <x:c r="O86" s="2"/>
      <x:c r="P86" s="2"/>
      <x:c r="Q86" s="2"/>
      <x:c r="R86" s="2"/>
      <x:c r="S86" s="2"/>
    </x:row>
    <x:row r="87" ht="20" customHeight="1">
      <x:c r="A87" s="2"/>
      <x:c r="B87" s="2"/>
      <x:c r="C87" s="2" t="n">
        <x:v>1</x:v>
      </x:c>
      <x:c r="D87" s="2" t="n">
        <x:v>2</x:v>
      </x:c>
      <x:c r="E87" s="2" t="n">
        <x:v>18</x:v>
      </x:c>
      <x:c r="F87" s="31" t="n">
        <x:v>46827</x:v>
      </x:c>
      <x:c r="G87" s="35" t="n">
        <x:v>0</x:v>
      </x:c>
      <x:c r="H87" s="35" t="n">
        <x:v>0</x:v>
      </x:c>
      <x:c r="I87" s="35" t="n">
        <x:v>0</x:v>
      </x:c>
      <x:c r="J87" s="35" t="n">
        <x:v>0</x:v>
      </x:c>
      <x:c r="K87" s="35" t="n">
        <x:v>0</x:v>
      </x:c>
      <x:c r="L87" s="35" t="n">
        <x:v>0</x:v>
      </x:c>
      <x:c r="M87" s="37" t="n">
        <x:v>1.4976043805612593</x:v>
      </x:c>
      <x:c r="N87" s="35" t="n">
        <x:v>0</x:v>
      </x:c>
      <x:c r="O87" s="2"/>
      <x:c r="P87" s="2"/>
      <x:c r="Q87" s="2"/>
      <x:c r="R87" s="2"/>
      <x:c r="S87" s="2"/>
    </x:row>
    <x:row r="88" ht="20" customHeight="1">
      <x:c r="A88" s="2"/>
      <x:c r="B88" s="2"/>
      <x:c r="C88" s="2" t="n">
        <x:v>1</x:v>
      </x:c>
      <x:c r="D88" s="2" t="n">
        <x:v>2</x:v>
      </x:c>
      <x:c r="E88" s="2" t="n">
        <x:v>19</x:v>
      </x:c>
      <x:c r="F88" s="31" t="n">
        <x:v>46860</x:v>
      </x:c>
      <x:c r="G88" s="35" t="n">
        <x:v>0</x:v>
      </x:c>
      <x:c r="H88" s="35" t="n">
        <x:v>0</x:v>
      </x:c>
      <x:c r="I88" s="35" t="n">
        <x:v>0</x:v>
      </x:c>
      <x:c r="J88" s="35" t="n">
        <x:v>0</x:v>
      </x:c>
      <x:c r="K88" s="35" t="n">
        <x:v>0</x:v>
      </x:c>
      <x:c r="L88" s="35" t="n">
        <x:v>0</x:v>
      </x:c>
      <x:c r="M88" s="37" t="n">
        <x:v>1.5879534565366187</x:v>
      </x:c>
      <x:c r="N88" s="35" t="n">
        <x:v>0</x:v>
      </x:c>
      <x:c r="O88" s="2"/>
      <x:c r="P88" s="2"/>
      <x:c r="Q88" s="2"/>
      <x:c r="R88" s="2"/>
      <x:c r="S88" s="2"/>
    </x:row>
    <x:row r="89" ht="20" customHeight="1">
      <x:c r="A89" s="2"/>
      <x:c r="B89" s="2"/>
      <x:c r="C89" s="2" t="n">
        <x:v>1</x:v>
      </x:c>
      <x:c r="D89" s="2" t="n">
        <x:v>2</x:v>
      </x:c>
      <x:c r="E89" s="2" t="n">
        <x:v>20</x:v>
      </x:c>
      <x:c r="F89" s="31" t="n">
        <x:v>46888</x:v>
      </x:c>
      <x:c r="G89" s="35" t="n">
        <x:v>0</x:v>
      </x:c>
      <x:c r="H89" s="35" t="n">
        <x:v>0</x:v>
      </x:c>
      <x:c r="I89" s="35" t="n">
        <x:v>0</x:v>
      </x:c>
      <x:c r="J89" s="35" t="n">
        <x:v>0</x:v>
      </x:c>
      <x:c r="K89" s="35" t="n">
        <x:v>0</x:v>
      </x:c>
      <x:c r="L89" s="35" t="n">
        <x:v>0</x:v>
      </x:c>
      <x:c r="M89" s="37" t="n">
        <x:v>1.6646132785763177</x:v>
      </x:c>
      <x:c r="N89" s="35" t="n">
        <x:v>0</x:v>
      </x:c>
      <x:c r="O89" s="2"/>
      <x:c r="P89" s="2"/>
      <x:c r="Q89" s="2"/>
      <x:c r="R89" s="2"/>
      <x:c r="S89" s="2"/>
    </x:row>
    <x:row r="90" ht="20" customHeight="1">
      <x:c r="A90" s="2"/>
      <x:c r="B90" s="2"/>
      <x:c r="C90" s="2" t="n">
        <x:v>1</x:v>
      </x:c>
      <x:c r="D90" s="2" t="n">
        <x:v>2</x:v>
      </x:c>
      <x:c r="E90" s="2" t="n">
        <x:v>21</x:v>
      </x:c>
      <x:c r="F90" s="31" t="n">
        <x:v>46919</x:v>
      </x:c>
      <x:c r="G90" s="35" t="n">
        <x:v>0</x:v>
      </x:c>
      <x:c r="H90" s="35" t="n">
        <x:v>0</x:v>
      </x:c>
      <x:c r="I90" s="35" t="n">
        <x:v>0</x:v>
      </x:c>
      <x:c r="J90" s="35" t="n">
        <x:v>0</x:v>
      </x:c>
      <x:c r="K90" s="35" t="n">
        <x:v>0</x:v>
      </x:c>
      <x:c r="L90" s="35" t="n">
        <x:v>0</x:v>
      </x:c>
      <x:c r="M90" s="37" t="n">
        <x:v>1.7494866529774127</x:v>
      </x:c>
      <x:c r="N90" s="35" t="n">
        <x:v>0</x:v>
      </x:c>
      <x:c r="O90" s="2"/>
      <x:c r="P90" s="2"/>
      <x:c r="Q90" s="2"/>
      <x:c r="R90" s="2"/>
      <x:c r="S90" s="2"/>
    </x:row>
    <x:row r="91" ht="20" customHeight="1">
      <x:c r="A91" s="2"/>
      <x:c r="B91" s="2"/>
      <x:c r="C91" s="2" t="n">
        <x:v>1</x:v>
      </x:c>
      <x:c r="D91" s="2" t="n">
        <x:v>2</x:v>
      </x:c>
      <x:c r="E91" s="2" t="n">
        <x:v>22</x:v>
      </x:c>
      <x:c r="F91" s="31" t="n">
        <x:v>46951</x:v>
      </x:c>
      <x:c r="G91" s="35" t="n">
        <x:v>0</x:v>
      </x:c>
      <x:c r="H91" s="35" t="n">
        <x:v>0</x:v>
      </x:c>
      <x:c r="I91" s="35" t="n">
        <x:v>0</x:v>
      </x:c>
      <x:c r="J91" s="35" t="n">
        <x:v>0</x:v>
      </x:c>
      <x:c r="K91" s="35" t="n">
        <x:v>0</x:v>
      </x:c>
      <x:c r="L91" s="35" t="n">
        <x:v>0</x:v>
      </x:c>
      <x:c r="M91" s="37" t="n">
        <x:v>1.83709787816564</x:v>
      </x:c>
      <x:c r="N91" s="35" t="n">
        <x:v>0</x:v>
      </x:c>
      <x:c r="O91" s="2"/>
      <x:c r="P91" s="2"/>
      <x:c r="Q91" s="2"/>
      <x:c r="R91" s="2"/>
      <x:c r="S91" s="2"/>
    </x:row>
    <x:row r="92" ht="20" customHeight="1">
      <x:c r="A92" s="2"/>
      <x:c r="B92" s="2"/>
      <x:c r="C92" s="2" t="n">
        <x:v>1</x:v>
      </x:c>
      <x:c r="D92" s="2" t="n">
        <x:v>2</x:v>
      </x:c>
      <x:c r="E92" s="2" t="n">
        <x:v>23</x:v>
      </x:c>
      <x:c r="F92" s="31" t="n">
        <x:v>46980</x:v>
      </x:c>
      <x:c r="G92" s="35" t="n">
        <x:v>0</x:v>
      </x:c>
      <x:c r="H92" s="35" t="n">
        <x:v>0</x:v>
      </x:c>
      <x:c r="I92" s="35" t="n">
        <x:v>0</x:v>
      </x:c>
      <x:c r="J92" s="35" t="n">
        <x:v>0</x:v>
      </x:c>
      <x:c r="K92" s="35" t="n">
        <x:v>0</x:v>
      </x:c>
      <x:c r="L92" s="35" t="n">
        <x:v>0</x:v>
      </x:c>
      <x:c r="M92" s="37" t="n">
        <x:v>1.9164955509924708</x:v>
      </x:c>
      <x:c r="N92" s="35" t="n">
        <x:v>0</x:v>
      </x:c>
      <x:c r="O92" s="2"/>
      <x:c r="P92" s="2"/>
      <x:c r="Q92" s="2"/>
      <x:c r="R92" s="2"/>
      <x:c r="S92" s="2"/>
    </x:row>
    <x:row r="93" ht="20" customHeight="1">
      <x:c r="A93" s="2"/>
      <x:c r="B93" s="2"/>
      <x:c r="C93" s="2" t="n">
        <x:v>1</x:v>
      </x:c>
      <x:c r="D93" s="2" t="n">
        <x:v>2</x:v>
      </x:c>
      <x:c r="E93" s="2" t="n">
        <x:v>24</x:v>
      </x:c>
      <x:c r="F93" s="31" t="n">
        <x:v>47011</x:v>
      </x:c>
      <x:c r="G93" s="35" t="n">
        <x:v>0</x:v>
      </x:c>
      <x:c r="H93" s="35" t="n">
        <x:v>0</x:v>
      </x:c>
      <x:c r="I93" s="35" t="n">
        <x:v>0</x:v>
      </x:c>
      <x:c r="J93" s="35" t="n">
        <x:v>0</x:v>
      </x:c>
      <x:c r="K93" s="35" t="n">
        <x:v>0</x:v>
      </x:c>
      <x:c r="L93" s="35" t="n">
        <x:v>0</x:v>
      </x:c>
      <x:c r="M93" s="37" t="n">
        <x:v>2.001368925393566</x:v>
      </x:c>
      <x:c r="N93" s="35" t="n">
        <x:v>0</x:v>
      </x:c>
      <x:c r="O93" s="2"/>
      <x:c r="P93" s="2"/>
      <x:c r="Q93" s="2"/>
      <x:c r="R93" s="2"/>
      <x:c r="S93" s="2"/>
    </x:row>
    <x:row r="94" ht="20" customHeight="1">
      <x:c r="A94" s="2"/>
      <x:c r="B94" s="2"/>
      <x:c r="C94" s="2" t="n">
        <x:v>1</x:v>
      </x:c>
      <x:c r="D94" s="2" t="n">
        <x:v>2</x:v>
      </x:c>
      <x:c r="E94" s="2" t="n">
        <x:v>25</x:v>
      </x:c>
      <x:c r="F94" s="31" t="n">
        <x:v>47042</x:v>
      </x:c>
      <x:c r="G94" s="35" t="n">
        <x:v>0</x:v>
      </x:c>
      <x:c r="H94" s="35" t="n">
        <x:v>0</x:v>
      </x:c>
      <x:c r="I94" s="35" t="n">
        <x:v>0</x:v>
      </x:c>
      <x:c r="J94" s="35" t="n">
        <x:v>0</x:v>
      </x:c>
      <x:c r="K94" s="35" t="n">
        <x:v>0</x:v>
      </x:c>
      <x:c r="L94" s="35" t="n">
        <x:v>0</x:v>
      </x:c>
      <x:c r="M94" s="37" t="n">
        <x:v>2.086242299794661</x:v>
      </x:c>
      <x:c r="N94" s="35" t="n">
        <x:v>0</x:v>
      </x:c>
      <x:c r="O94" s="2"/>
      <x:c r="P94" s="2"/>
      <x:c r="Q94" s="2"/>
      <x:c r="R94" s="2"/>
      <x:c r="S94" s="2"/>
    </x:row>
    <x:row r="95" ht="20" customHeight="1">
      <x:c r="A95" s="2"/>
      <x:c r="B95" s="2"/>
      <x:c r="C95" s="2" t="n">
        <x:v>1</x:v>
      </x:c>
      <x:c r="D95" s="2" t="n">
        <x:v>2</x:v>
      </x:c>
      <x:c r="E95" s="2" t="n">
        <x:v>26</x:v>
      </x:c>
      <x:c r="F95" s="31" t="n">
        <x:v>47072</x:v>
      </x:c>
      <x:c r="G95" s="35" t="n">
        <x:v>0</x:v>
      </x:c>
      <x:c r="H95" s="35" t="n">
        <x:v>0</x:v>
      </x:c>
      <x:c r="I95" s="35" t="n">
        <x:v>0</x:v>
      </x:c>
      <x:c r="J95" s="35" t="n">
        <x:v>0</x:v>
      </x:c>
      <x:c r="K95" s="35" t="n">
        <x:v>0</x:v>
      </x:c>
      <x:c r="L95" s="35" t="n">
        <x:v>0</x:v>
      </x:c>
      <x:c r="M95" s="37" t="n">
        <x:v>2.1683778234086244</x:v>
      </x:c>
      <x:c r="N95" s="35" t="n">
        <x:v>0</x:v>
      </x:c>
      <x:c r="O95" s="2"/>
      <x:c r="P95" s="2"/>
      <x:c r="Q95" s="2"/>
      <x:c r="R95" s="2"/>
      <x:c r="S95" s="2"/>
    </x:row>
    <x:row r="96" ht="20" customHeight="1">
      <x:c r="A96" s="2"/>
      <x:c r="B96" s="2"/>
      <x:c r="C96" s="2" t="n">
        <x:v>1</x:v>
      </x:c>
      <x:c r="D96" s="2" t="n">
        <x:v>2</x:v>
      </x:c>
      <x:c r="E96" s="2" t="n">
        <x:v>27</x:v>
      </x:c>
      <x:c r="F96" s="31" t="n">
        <x:v>47102</x:v>
      </x:c>
      <x:c r="G96" s="35" t="n">
        <x:v>0</x:v>
      </x:c>
      <x:c r="H96" s="35" t="n">
        <x:v>0</x:v>
      </x:c>
      <x:c r="I96" s="35" t="n">
        <x:v>0</x:v>
      </x:c>
      <x:c r="J96" s="35" t="n">
        <x:v>0</x:v>
      </x:c>
      <x:c r="K96" s="35" t="n">
        <x:v>0</x:v>
      </x:c>
      <x:c r="L96" s="35" t="n">
        <x:v>0</x:v>
      </x:c>
      <x:c r="M96" s="37" t="n">
        <x:v>2.2505133470225873</x:v>
      </x:c>
      <x:c r="N96" s="35" t="n">
        <x:v>0</x:v>
      </x:c>
      <x:c r="O96" s="2"/>
      <x:c r="P96" s="2"/>
      <x:c r="Q96" s="2"/>
      <x:c r="R96" s="2"/>
      <x:c r="S96" s="2"/>
    </x:row>
    <x:row r="97" ht="20" customHeight="1">
      <x:c r="A97" s="2"/>
      <x:c r="B97" s="2"/>
      <x:c r="C97" s="2" t="n">
        <x:v>1</x:v>
      </x:c>
      <x:c r="D97" s="2" t="n">
        <x:v>2</x:v>
      </x:c>
      <x:c r="E97" s="2" t="n">
        <x:v>28</x:v>
      </x:c>
      <x:c r="F97" s="31" t="n">
        <x:v>47134</x:v>
      </x:c>
      <x:c r="G97" s="35" t="n">
        <x:v>0</x:v>
      </x:c>
      <x:c r="H97" s="35" t="n">
        <x:v>0</x:v>
      </x:c>
      <x:c r="I97" s="35" t="n">
        <x:v>0</x:v>
      </x:c>
      <x:c r="J97" s="35" t="n">
        <x:v>0</x:v>
      </x:c>
      <x:c r="K97" s="35" t="n">
        <x:v>0</x:v>
      </x:c>
      <x:c r="L97" s="35" t="n">
        <x:v>0</x:v>
      </x:c>
      <x:c r="M97" s="37" t="n">
        <x:v>2.3381245722108144</x:v>
      </x:c>
      <x:c r="N97" s="35" t="n">
        <x:v>0</x:v>
      </x:c>
      <x:c r="O97" s="2"/>
      <x:c r="P97" s="2"/>
      <x:c r="Q97" s="2"/>
      <x:c r="R97" s="2"/>
      <x:c r="S97" s="2"/>
    </x:row>
    <x:row r="98" ht="20" customHeight="1">
      <x:c r="A98" s="2"/>
      <x:c r="B98" s="2"/>
      <x:c r="C98" s="2" t="n">
        <x:v>1</x:v>
      </x:c>
      <x:c r="D98" s="2" t="n">
        <x:v>2</x:v>
      </x:c>
      <x:c r="E98" s="2" t="n">
        <x:v>29</x:v>
      </x:c>
      <x:c r="F98" s="31" t="n">
        <x:v>47164</x:v>
      </x:c>
      <x:c r="G98" s="35" t="n">
        <x:v>0</x:v>
      </x:c>
      <x:c r="H98" s="35" t="n">
        <x:v>0</x:v>
      </x:c>
      <x:c r="I98" s="35" t="n">
        <x:v>0</x:v>
      </x:c>
      <x:c r="J98" s="35" t="n">
        <x:v>0</x:v>
      </x:c>
      <x:c r="K98" s="35" t="n">
        <x:v>0</x:v>
      </x:c>
      <x:c r="L98" s="35" t="n">
        <x:v>0</x:v>
      </x:c>
      <x:c r="M98" s="37" t="n">
        <x:v>2.4202600958247777</x:v>
      </x:c>
      <x:c r="N98" s="35" t="n">
        <x:v>0</x:v>
      </x:c>
      <x:c r="O98" s="2"/>
      <x:c r="P98" s="2"/>
      <x:c r="Q98" s="2"/>
      <x:c r="R98" s="2"/>
      <x:c r="S98" s="2"/>
    </x:row>
    <x:row r="99" ht="20" customHeight="1">
      <x:c r="A99" s="2"/>
      <x:c r="B99" s="2"/>
      <x:c r="C99" s="2" t="n">
        <x:v>1</x:v>
      </x:c>
      <x:c r="D99" s="2" t="n">
        <x:v>2</x:v>
      </x:c>
      <x:c r="E99" s="2" t="n">
        <x:v>30</x:v>
      </x:c>
      <x:c r="F99" s="31" t="n">
        <x:v>47192</x:v>
      </x:c>
      <x:c r="G99" s="35" t="n">
        <x:v>0</x:v>
      </x:c>
      <x:c r="H99" s="35" t="n">
        <x:v>0</x:v>
      </x:c>
      <x:c r="I99" s="35" t="n">
        <x:v>0</x:v>
      </x:c>
      <x:c r="J99" s="35" t="n">
        <x:v>0</x:v>
      </x:c>
      <x:c r="K99" s="35" t="n">
        <x:v>0</x:v>
      </x:c>
      <x:c r="L99" s="35" t="n">
        <x:v>0</x:v>
      </x:c>
      <x:c r="M99" s="37" t="n">
        <x:v>2.4969199178644765</x:v>
      </x:c>
      <x:c r="N99" s="35" t="n">
        <x:v>0</x:v>
      </x:c>
      <x:c r="O99" s="2"/>
      <x:c r="P99" s="2"/>
      <x:c r="Q99" s="2"/>
      <x:c r="R99" s="2"/>
      <x:c r="S99" s="2"/>
    </x:row>
    <x:row r="100" ht="20" customHeight="1">
      <x:c r="A100" s="2"/>
      <x:c r="B100" s="2"/>
      <x:c r="C100" s="2" t="n">
        <x:v>1</x:v>
      </x:c>
      <x:c r="D100" s="2" t="n">
        <x:v>2</x:v>
      </x:c>
      <x:c r="E100" s="2" t="n">
        <x:v>31</x:v>
      </x:c>
      <x:c r="F100" s="31" t="n">
        <x:v>47224</x:v>
      </x:c>
      <x:c r="G100" s="35" t="n">
        <x:v>0</x:v>
      </x:c>
      <x:c r="H100" s="35" t="n">
        <x:v>0</x:v>
      </x:c>
      <x:c r="I100" s="35" t="n">
        <x:v>0</x:v>
      </x:c>
      <x:c r="J100" s="35" t="n">
        <x:v>0</x:v>
      </x:c>
      <x:c r="K100" s="35" t="n">
        <x:v>0</x:v>
      </x:c>
      <x:c r="L100" s="35" t="n">
        <x:v>0</x:v>
      </x:c>
      <x:c r="M100" s="37" t="n">
        <x:v>2.5845311430527036</x:v>
      </x:c>
      <x:c r="N100" s="35" t="n">
        <x:v>0</x:v>
      </x:c>
      <x:c r="O100" s="2"/>
      <x:c r="P100" s="2"/>
      <x:c r="Q100" s="2"/>
      <x:c r="R100" s="2"/>
      <x:c r="S100" s="2"/>
    </x:row>
    <x:row r="101" ht="20" customHeight="1">
      <x:c r="C101" s="1" t="n">
        <x:v>1</x:v>
      </x:c>
      <x:c r="D101" s="1" t="n">
        <x:v>2</x:v>
      </x:c>
      <x:c r="E101" s="1" t="n">
        <x:v>32</x:v>
      </x:c>
      <x:c r="F101" s="32" t="n">
        <x:v>47253</x:v>
      </x:c>
      <x:c r="G101" s="36" t="n">
        <x:v>0</x:v>
      </x:c>
      <x:c r="H101" s="36" t="n">
        <x:v>0</x:v>
      </x:c>
      <x:c r="I101" s="36" t="n">
        <x:v>0</x:v>
      </x:c>
      <x:c r="J101" s="36" t="n">
        <x:v>0</x:v>
      </x:c>
      <x:c r="K101" s="36" t="n">
        <x:v>0</x:v>
      </x:c>
      <x:c r="L101" s="36" t="n">
        <x:v>0</x:v>
      </x:c>
      <x:c r="M101" s="38" t="n">
        <x:v>2.6639288158795345</x:v>
      </x:c>
      <x:c r="N101" s="36" t="n">
        <x:v>0</x:v>
      </x:c>
    </x:row>
    <x:row r="102" ht="20" customHeight="1">
      <x:c r="C102" s="1" t="n">
        <x:v>1</x:v>
      </x:c>
      <x:c r="D102" s="1" t="n">
        <x:v>2</x:v>
      </x:c>
      <x:c r="E102" s="1" t="n">
        <x:v>33</x:v>
      </x:c>
      <x:c r="F102" s="32" t="n">
        <x:v>47284</x:v>
      </x:c>
      <x:c r="G102" s="36" t="n">
        <x:v>0</x:v>
      </x:c>
      <x:c r="H102" s="36" t="n">
        <x:v>0</x:v>
      </x:c>
      <x:c r="I102" s="36" t="n">
        <x:v>0</x:v>
      </x:c>
      <x:c r="J102" s="36" t="n">
        <x:v>0</x:v>
      </x:c>
      <x:c r="K102" s="36" t="n">
        <x:v>0</x:v>
      </x:c>
      <x:c r="L102" s="36" t="n">
        <x:v>0</x:v>
      </x:c>
      <x:c r="M102" s="38" t="n">
        <x:v>2.74880219028063</x:v>
      </x:c>
      <x:c r="N102" s="36" t="n">
        <x:v>0</x:v>
      </x:c>
    </x:row>
    <x:row r="103" ht="20" customHeight="1">
      <x:c r="C103" s="1" t="n">
        <x:v>1</x:v>
      </x:c>
      <x:c r="D103" s="1" t="n">
        <x:v>2</x:v>
      </x:c>
      <x:c r="E103" s="1" t="n">
        <x:v>34</x:v>
      </x:c>
      <x:c r="F103" s="32" t="n">
        <x:v>47315</x:v>
      </x:c>
      <x:c r="G103" s="36" t="n">
        <x:v>0</x:v>
      </x:c>
      <x:c r="H103" s="36" t="n">
        <x:v>0</x:v>
      </x:c>
      <x:c r="I103" s="36" t="n">
        <x:v>0</x:v>
      </x:c>
      <x:c r="J103" s="36" t="n">
        <x:v>0</x:v>
      </x:c>
      <x:c r="K103" s="36" t="n">
        <x:v>0</x:v>
      </x:c>
      <x:c r="L103" s="36" t="n">
        <x:v>0</x:v>
      </x:c>
      <x:c r="M103" s="38" t="n">
        <x:v>2.833675564681725</x:v>
      </x:c>
      <x:c r="N103" s="36" t="n">
        <x:v>0</x:v>
      </x:c>
    </x:row>
    <x:row r="104" ht="20" customHeight="1">
      <x:c r="C104" s="1" t="n">
        <x:v>1</x:v>
      </x:c>
      <x:c r="D104" s="1" t="n">
        <x:v>2</x:v>
      </x:c>
      <x:c r="E104" s="1" t="n">
        <x:v>35</x:v>
      </x:c>
      <x:c r="F104" s="32" t="n">
        <x:v>47345</x:v>
      </x:c>
      <x:c r="G104" s="36" t="n">
        <x:v>0</x:v>
      </x:c>
      <x:c r="H104" s="36" t="n">
        <x:v>0</x:v>
      </x:c>
      <x:c r="I104" s="36" t="n">
        <x:v>0</x:v>
      </x:c>
      <x:c r="J104" s="36" t="n">
        <x:v>0</x:v>
      </x:c>
      <x:c r="K104" s="36" t="n">
        <x:v>0</x:v>
      </x:c>
      <x:c r="L104" s="36" t="n">
        <x:v>0</x:v>
      </x:c>
      <x:c r="M104" s="38" t="n">
        <x:v>2.915811088295688</x:v>
      </x:c>
      <x:c r="N104" s="36" t="n">
        <x:v>0</x:v>
      </x:c>
    </x:row>
    <x:row r="105" ht="20" customHeight="1">
      <x:c r="C105" s="1" t="n">
        <x:v>1</x:v>
      </x:c>
      <x:c r="D105" s="1" t="n">
        <x:v>2</x:v>
      </x:c>
      <x:c r="E105" s="1" t="n">
        <x:v>36</x:v>
      </x:c>
      <x:c r="F105" s="32" t="n">
        <x:v>47378</x:v>
      </x:c>
      <x:c r="G105" s="36" t="n">
        <x:v>0</x:v>
      </x:c>
      <x:c r="H105" s="36" t="n">
        <x:v>0</x:v>
      </x:c>
      <x:c r="I105" s="36" t="n">
        <x:v>0</x:v>
      </x:c>
      <x:c r="J105" s="36" t="n">
        <x:v>0</x:v>
      </x:c>
      <x:c r="K105" s="36" t="n">
        <x:v>0</x:v>
      </x:c>
      <x:c r="L105" s="36" t="n">
        <x:v>0</x:v>
      </x:c>
      <x:c r="M105" s="38" t="n">
        <x:v>3.0061601642710474</x:v>
      </x:c>
      <x:c r="N105" s="36" t="n">
        <x:v>0</x:v>
      </x:c>
    </x:row>
    <x:row r="106" ht="20" customHeight="1">
      <x:c r="C106" s="1" t="n">
        <x:v>1</x:v>
      </x:c>
      <x:c r="D106" s="1" t="n">
        <x:v>2</x:v>
      </x:c>
      <x:c r="E106" s="1" t="n">
        <x:v>37</x:v>
      </x:c>
      <x:c r="F106" s="32" t="n">
        <x:v>47406</x:v>
      </x:c>
      <x:c r="G106" s="36" t="n">
        <x:v>0</x:v>
      </x:c>
      <x:c r="H106" s="36" t="n">
        <x:v>0</x:v>
      </x:c>
      <x:c r="I106" s="36" t="n">
        <x:v>0</x:v>
      </x:c>
      <x:c r="J106" s="36" t="n">
        <x:v>0</x:v>
      </x:c>
      <x:c r="K106" s="36" t="n">
        <x:v>0</x:v>
      </x:c>
      <x:c r="L106" s="36" t="n">
        <x:v>0</x:v>
      </x:c>
      <x:c r="M106" s="38" t="n">
        <x:v>3.082819986310746</x:v>
      </x:c>
      <x:c r="N106" s="36" t="n">
        <x:v>0</x:v>
      </x:c>
    </x:row>
    <x:row r="107" ht="20" customHeight="1">
      <x:c r="C107" s="1" t="n">
        <x:v>1</x:v>
      </x:c>
      <x:c r="D107" s="1" t="n">
        <x:v>2</x:v>
      </x:c>
      <x:c r="E107" s="1" t="n">
        <x:v>38</x:v>
      </x:c>
      <x:c r="F107" s="32" t="n">
        <x:v>47437</x:v>
      </x:c>
      <x:c r="G107" s="36" t="n">
        <x:v>0</x:v>
      </x:c>
      <x:c r="H107" s="36" t="n">
        <x:v>0</x:v>
      </x:c>
      <x:c r="I107" s="36" t="n">
        <x:v>0</x:v>
      </x:c>
      <x:c r="J107" s="36" t="n">
        <x:v>0</x:v>
      </x:c>
      <x:c r="K107" s="36" t="n">
        <x:v>0</x:v>
      </x:c>
      <x:c r="L107" s="36" t="n">
        <x:v>0</x:v>
      </x:c>
      <x:c r="M107" s="38" t="n">
        <x:v>3.167693360711841</x:v>
      </x:c>
      <x:c r="N107" s="36" t="n">
        <x:v>0</x:v>
      </x:c>
    </x:row>
    <x:row r="108" ht="20" customHeight="1">
      <x:c r="C108" s="1" t="n">
        <x:v>1</x:v>
      </x:c>
      <x:c r="D108" s="1" t="n">
        <x:v>2</x:v>
      </x:c>
      <x:c r="E108" s="1" t="n">
        <x:v>39</x:v>
      </x:c>
      <x:c r="F108" s="32" t="n">
        <x:v>47469</x:v>
      </x:c>
      <x:c r="G108" s="36" t="n">
        <x:v>0</x:v>
      </x:c>
      <x:c r="H108" s="36" t="n">
        <x:v>0</x:v>
      </x:c>
      <x:c r="I108" s="36" t="n">
        <x:v>0</x:v>
      </x:c>
      <x:c r="J108" s="36" t="n">
        <x:v>0</x:v>
      </x:c>
      <x:c r="K108" s="36" t="n">
        <x:v>0</x:v>
      </x:c>
      <x:c r="L108" s="36" t="n">
        <x:v>0</x:v>
      </x:c>
      <x:c r="M108" s="38" t="n">
        <x:v>3.2553045859000687</x:v>
      </x:c>
      <x:c r="N108" s="36" t="n">
        <x:v>0</x:v>
      </x:c>
    </x:row>
    <x:row r="109" ht="20" customHeight="1">
      <x:c r="C109" s="1" t="n">
        <x:v>1</x:v>
      </x:c>
      <x:c r="D109" s="1" t="n">
        <x:v>2</x:v>
      </x:c>
      <x:c r="E109" s="1" t="n">
        <x:v>40</x:v>
      </x:c>
      <x:c r="F109" s="32" t="n">
        <x:v>47498</x:v>
      </x:c>
      <x:c r="G109" s="36" t="n">
        <x:v>0</x:v>
      </x:c>
      <x:c r="H109" s="36" t="n">
        <x:v>0</x:v>
      </x:c>
      <x:c r="I109" s="36" t="n">
        <x:v>0</x:v>
      </x:c>
      <x:c r="J109" s="36" t="n">
        <x:v>0</x:v>
      </x:c>
      <x:c r="K109" s="36" t="n">
        <x:v>0</x:v>
      </x:c>
      <x:c r="L109" s="36" t="n">
        <x:v>0</x:v>
      </x:c>
      <x:c r="M109" s="38" t="n">
        <x:v>3.3347022587268995</x:v>
      </x:c>
      <x:c r="N109" s="36" t="n">
        <x:v>0</x:v>
      </x:c>
    </x:row>
    <x:row r="110" ht="20" customHeight="1">
      <x:c r="C110" s="1" t="n">
        <x:v>1</x:v>
      </x:c>
      <x:c r="D110" s="1" t="n">
        <x:v>2</x:v>
      </x:c>
      <x:c r="E110" s="1" t="n">
        <x:v>41</x:v>
      </x:c>
      <x:c r="F110" s="32" t="n">
        <x:v>47529</x:v>
      </x:c>
      <x:c r="G110" s="36" t="n">
        <x:v>0</x:v>
      </x:c>
      <x:c r="H110" s="36" t="n">
        <x:v>0</x:v>
      </x:c>
      <x:c r="I110" s="36" t="n">
        <x:v>0</x:v>
      </x:c>
      <x:c r="J110" s="36" t="n">
        <x:v>0</x:v>
      </x:c>
      <x:c r="K110" s="36" t="n">
        <x:v>0</x:v>
      </x:c>
      <x:c r="L110" s="36" t="n">
        <x:v>0</x:v>
      </x:c>
      <x:c r="M110" s="38" t="n">
        <x:v>3.4195756331279945</x:v>
      </x:c>
      <x:c r="N110" s="36" t="n">
        <x:v>0</x:v>
      </x:c>
    </x:row>
    <x:row r="111" ht="20" customHeight="1">
      <x:c r="C111" s="1" t="n">
        <x:v>1</x:v>
      </x:c>
      <x:c r="D111" s="1" t="n">
        <x:v>2</x:v>
      </x:c>
      <x:c r="E111" s="1" t="n">
        <x:v>42</x:v>
      </x:c>
      <x:c r="F111" s="32" t="n">
        <x:v>47557</x:v>
      </x:c>
      <x:c r="G111" s="36" t="n">
        <x:v>0</x:v>
      </x:c>
      <x:c r="H111" s="36" t="n">
        <x:v>0</x:v>
      </x:c>
      <x:c r="I111" s="36" t="n">
        <x:v>0</x:v>
      </x:c>
      <x:c r="J111" s="36" t="n">
        <x:v>0</x:v>
      </x:c>
      <x:c r="K111" s="36" t="n">
        <x:v>0</x:v>
      </x:c>
      <x:c r="L111" s="36" t="n">
        <x:v>0</x:v>
      </x:c>
      <x:c r="M111" s="38" t="n">
        <x:v>3.4962354551676933</x:v>
      </x:c>
      <x:c r="N111" s="36" t="n">
        <x:v>0</x:v>
      </x:c>
    </x:row>
    <x:row r="112" ht="20" customHeight="1">
      <x:c r="C112" s="1" t="n">
        <x:v>1</x:v>
      </x:c>
      <x:c r="D112" s="1" t="n">
        <x:v>2</x:v>
      </x:c>
      <x:c r="E112" s="1" t="n">
        <x:v>43</x:v>
      </x:c>
      <x:c r="F112" s="32" t="n">
        <x:v>47588</x:v>
      </x:c>
      <x:c r="G112" s="36" t="n">
        <x:v>0</x:v>
      </x:c>
      <x:c r="H112" s="36" t="n">
        <x:v>0</x:v>
      </x:c>
      <x:c r="I112" s="36" t="n">
        <x:v>0</x:v>
      </x:c>
      <x:c r="J112" s="36" t="n">
        <x:v>0</x:v>
      </x:c>
      <x:c r="K112" s="36" t="n">
        <x:v>0</x:v>
      </x:c>
      <x:c r="L112" s="36" t="n">
        <x:v>0</x:v>
      </x:c>
      <x:c r="M112" s="38" t="n">
        <x:v>3.5811088295687883</x:v>
      </x:c>
      <x:c r="N112" s="36" t="n">
        <x:v>0</x:v>
      </x:c>
    </x:row>
    <x:row r="113" ht="20" customHeight="1">
      <x:c r="C113" s="1" t="n">
        <x:v>1</x:v>
      </x:c>
      <x:c r="D113" s="1" t="n">
        <x:v>2</x:v>
      </x:c>
      <x:c r="E113" s="1" t="n">
        <x:v>44</x:v>
      </x:c>
      <x:c r="F113" s="32" t="n">
        <x:v>47618</x:v>
      </x:c>
      <x:c r="G113" s="36" t="n">
        <x:v>0</x:v>
      </x:c>
      <x:c r="H113" s="36" t="n">
        <x:v>0</x:v>
      </x:c>
      <x:c r="I113" s="36" t="n">
        <x:v>0</x:v>
      </x:c>
      <x:c r="J113" s="36" t="n">
        <x:v>0</x:v>
      </x:c>
      <x:c r="K113" s="36" t="n">
        <x:v>0</x:v>
      </x:c>
      <x:c r="L113" s="36" t="n">
        <x:v>0</x:v>
      </x:c>
      <x:c r="M113" s="38" t="n">
        <x:v>3.6632443531827517</x:v>
      </x:c>
      <x:c r="N113" s="36" t="n">
        <x:v>0</x:v>
      </x:c>
    </x:row>
    <x:row r="114" ht="20" customHeight="1">
      <x:c r="C114" s="1" t="n">
        <x:v>1</x:v>
      </x:c>
      <x:c r="D114" s="1" t="n">
        <x:v>2</x:v>
      </x:c>
      <x:c r="E114" s="1" t="n">
        <x:v>45</x:v>
      </x:c>
      <x:c r="F114" s="32" t="n">
        <x:v>47651</x:v>
      </x:c>
      <x:c r="G114" s="36" t="n">
        <x:v>0</x:v>
      </x:c>
      <x:c r="H114" s="36" t="n">
        <x:v>0</x:v>
      </x:c>
      <x:c r="I114" s="36" t="n">
        <x:v>0</x:v>
      </x:c>
      <x:c r="J114" s="36" t="n">
        <x:v>0</x:v>
      </x:c>
      <x:c r="K114" s="36" t="n">
        <x:v>0</x:v>
      </x:c>
      <x:c r="L114" s="36" t="n">
        <x:v>0</x:v>
      </x:c>
      <x:c r="M114" s="38" t="n">
        <x:v>3.753593429158111</x:v>
      </x:c>
      <x:c r="N114" s="36" t="n">
        <x:v>0</x:v>
      </x:c>
    </x:row>
    <x:row r="115" ht="20" customHeight="1">
      <x:c r="C115" s="1" t="n">
        <x:v>1</x:v>
      </x:c>
      <x:c r="D115" s="1" t="n">
        <x:v>2</x:v>
      </x:c>
      <x:c r="E115" s="1" t="n">
        <x:v>46</x:v>
      </x:c>
      <x:c r="F115" s="32" t="n">
        <x:v>47679</x:v>
      </x:c>
      <x:c r="G115" s="36" t="n">
        <x:v>0</x:v>
      </x:c>
      <x:c r="H115" s="36" t="n">
        <x:v>0</x:v>
      </x:c>
      <x:c r="I115" s="36" t="n">
        <x:v>0</x:v>
      </x:c>
      <x:c r="J115" s="36" t="n">
        <x:v>0</x:v>
      </x:c>
      <x:c r="K115" s="36" t="n">
        <x:v>0</x:v>
      </x:c>
      <x:c r="L115" s="36" t="n">
        <x:v>0</x:v>
      </x:c>
      <x:c r="M115" s="38" t="n">
        <x:v>3.8302532511978096</x:v>
      </x:c>
      <x:c r="N115" s="36" t="n">
        <x:v>0</x:v>
      </x:c>
    </x:row>
    <x:row r="116" ht="20" customHeight="1">
      <x:c r="C116" s="1" t="n">
        <x:v>1</x:v>
      </x:c>
      <x:c r="D116" s="1" t="n">
        <x:v>2</x:v>
      </x:c>
      <x:c r="E116" s="1" t="n">
        <x:v>47</x:v>
      </x:c>
      <x:c r="F116" s="32" t="n">
        <x:v>47710</x:v>
      </x:c>
      <x:c r="G116" s="36" t="n">
        <x:v>0</x:v>
      </x:c>
      <x:c r="H116" s="36" t="n">
        <x:v>0</x:v>
      </x:c>
      <x:c r="I116" s="36" t="n">
        <x:v>0</x:v>
      </x:c>
      <x:c r="J116" s="36" t="n">
        <x:v>0</x:v>
      </x:c>
      <x:c r="K116" s="36" t="n">
        <x:v>0</x:v>
      </x:c>
      <x:c r="L116" s="36" t="n">
        <x:v>0</x:v>
      </x:c>
      <x:c r="M116" s="38" t="n">
        <x:v>3.915126625598905</x:v>
      </x:c>
      <x:c r="N116" s="36" t="n">
        <x:v>0</x:v>
      </x:c>
    </x:row>
    <x:row r="117" ht="20" customHeight="1">
      <x:c r="C117" s="1" t="n">
        <x:v>1</x:v>
      </x:c>
      <x:c r="D117" s="1" t="n">
        <x:v>2</x:v>
      </x:c>
      <x:c r="E117" s="1" t="n">
        <x:v>48</x:v>
      </x:c>
      <x:c r="F117" s="32" t="n">
        <x:v>47742</x:v>
      </x:c>
      <x:c r="G117" s="36" t="n">
        <x:v>0</x:v>
      </x:c>
      <x:c r="H117" s="36" t="n">
        <x:v>0</x:v>
      </x:c>
      <x:c r="I117" s="36" t="n">
        <x:v>0</x:v>
      </x:c>
      <x:c r="J117" s="36" t="n">
        <x:v>0</x:v>
      </x:c>
      <x:c r="K117" s="36" t="n">
        <x:v>0</x:v>
      </x:c>
      <x:c r="L117" s="36" t="n">
        <x:v>0</x:v>
      </x:c>
      <x:c r="M117" s="38" t="n">
        <x:v>4.002737850787132</x:v>
      </x:c>
      <x:c r="N117" s="36" t="n">
        <x:v>0</x:v>
      </x:c>
    </x:row>
    <x:row r="118" ht="20" customHeight="1">
      <x:c r="C118" s="1" t="n">
        <x:v>1</x:v>
      </x:c>
      <x:c r="D118" s="1" t="n">
        <x:v>2</x:v>
      </x:c>
      <x:c r="E118" s="1" t="n">
        <x:v>49</x:v>
      </x:c>
      <x:c r="F118" s="32" t="n">
        <x:v>47771</x:v>
      </x:c>
      <x:c r="G118" s="36" t="n">
        <x:v>0</x:v>
      </x:c>
      <x:c r="H118" s="36" t="n">
        <x:v>0</x:v>
      </x:c>
      <x:c r="I118" s="36" t="n">
        <x:v>0</x:v>
      </x:c>
      <x:c r="J118" s="36" t="n">
        <x:v>0</x:v>
      </x:c>
      <x:c r="K118" s="36" t="n">
        <x:v>0</x:v>
      </x:c>
      <x:c r="L118" s="36" t="n">
        <x:v>0</x:v>
      </x:c>
      <x:c r="M118" s="38" t="n">
        <x:v>4.082135523613963</x:v>
      </x:c>
      <x:c r="N118" s="36" t="n">
        <x:v>0</x:v>
      </x:c>
    </x:row>
    <x:row r="119" ht="20" customHeight="1">
      <x:c r="C119" s="1" t="n">
        <x:v>1</x:v>
      </x:c>
      <x:c r="D119" s="1" t="n">
        <x:v>2</x:v>
      </x:c>
      <x:c r="E119" s="1" t="n">
        <x:v>50</x:v>
      </x:c>
      <x:c r="F119" s="32" t="n">
        <x:v>47802</x:v>
      </x:c>
      <x:c r="G119" s="36" t="n">
        <x:v>0</x:v>
      </x:c>
      <x:c r="H119" s="36" t="n">
        <x:v>0</x:v>
      </x:c>
      <x:c r="I119" s="36" t="n">
        <x:v>0</x:v>
      </x:c>
      <x:c r="J119" s="36" t="n">
        <x:v>0</x:v>
      </x:c>
      <x:c r="K119" s="36" t="n">
        <x:v>0</x:v>
      </x:c>
      <x:c r="L119" s="36" t="n">
        <x:v>0</x:v>
      </x:c>
      <x:c r="M119" s="38" t="n">
        <x:v>4.167008898015058</x:v>
      </x:c>
      <x:c r="N119" s="36" t="n">
        <x:v>0</x:v>
      </x:c>
    </x:row>
    <x:row r="120" ht="20" customHeight="1">
      <x:c r="C120" s="1" t="n">
        <x:v>1</x:v>
      </x:c>
      <x:c r="D120" s="1" t="n">
        <x:v>2</x:v>
      </x:c>
      <x:c r="E120" s="1" t="n">
        <x:v>51</x:v>
      </x:c>
      <x:c r="F120" s="32" t="n">
        <x:v>47833</x:v>
      </x:c>
      <x:c r="G120" s="36" t="n">
        <x:v>0</x:v>
      </x:c>
      <x:c r="H120" s="36" t="n">
        <x:v>0</x:v>
      </x:c>
      <x:c r="I120" s="36" t="n">
        <x:v>0</x:v>
      </x:c>
      <x:c r="J120" s="36" t="n">
        <x:v>0</x:v>
      </x:c>
      <x:c r="K120" s="36" t="n">
        <x:v>0</x:v>
      </x:c>
      <x:c r="L120" s="36" t="n">
        <x:v>0</x:v>
      </x:c>
      <x:c r="M120" s="38" t="n">
        <x:v>4.251882272416153</x:v>
      </x:c>
      <x:c r="N120" s="36" t="n">
        <x:v>0</x:v>
      </x:c>
    </x:row>
    <x:row r="121" ht="20" customHeight="1">
      <x:c r="C121" s="1" t="n">
        <x:v>1</x:v>
      </x:c>
      <x:c r="D121" s="1" t="n">
        <x:v>2</x:v>
      </x:c>
      <x:c r="E121" s="1" t="n">
        <x:v>52</x:v>
      </x:c>
      <x:c r="F121" s="32" t="n">
        <x:v>47863</x:v>
      </x:c>
      <x:c r="G121" s="36" t="n">
        <x:v>0</x:v>
      </x:c>
      <x:c r="H121" s="36" t="n">
        <x:v>0</x:v>
      </x:c>
      <x:c r="I121" s="36" t="n">
        <x:v>0</x:v>
      </x:c>
      <x:c r="J121" s="36" t="n">
        <x:v>0</x:v>
      </x:c>
      <x:c r="K121" s="36" t="n">
        <x:v>0</x:v>
      </x:c>
      <x:c r="L121" s="36" t="n">
        <x:v>0</x:v>
      </x:c>
      <x:c r="M121" s="38" t="n">
        <x:v>4.334017796030117</x:v>
      </x:c>
      <x:c r="N121" s="36" t="n">
        <x:v>0</x:v>
      </x:c>
    </x:row>
    <x:row r="122" ht="20" customHeight="1">
      <x:c r="C122" s="1" t="n">
        <x:v>1</x:v>
      </x:c>
      <x:c r="D122" s="1" t="n">
        <x:v>2</x:v>
      </x:c>
      <x:c r="E122" s="1" t="n">
        <x:v>53</x:v>
      </x:c>
      <x:c r="F122" s="32" t="n">
        <x:v>47897</x:v>
      </x:c>
      <x:c r="G122" s="36" t="n">
        <x:v>0</x:v>
      </x:c>
      <x:c r="H122" s="36" t="n">
        <x:v>0</x:v>
      </x:c>
      <x:c r="I122" s="36" t="n">
        <x:v>0</x:v>
      </x:c>
      <x:c r="J122" s="36" t="n">
        <x:v>0</x:v>
      </x:c>
      <x:c r="K122" s="36" t="n">
        <x:v>0</x:v>
      </x:c>
      <x:c r="L122" s="36" t="n">
        <x:v>0</x:v>
      </x:c>
      <x:c r="M122" s="38" t="n">
        <x:v>4.427104722792608</x:v>
      </x:c>
      <x:c r="N122" s="36" t="n">
        <x:v>0</x:v>
      </x:c>
    </x:row>
    <x:row r="123" ht="20" customHeight="1">
      <x:c r="C123" s="1" t="n">
        <x:v>1</x:v>
      </x:c>
      <x:c r="D123" s="1" t="n">
        <x:v>2</x:v>
      </x:c>
      <x:c r="E123" s="1" t="n">
        <x:v>54</x:v>
      </x:c>
      <x:c r="F123" s="32" t="n">
        <x:v>47924</x:v>
      </x:c>
      <x:c r="G123" s="36" t="n">
        <x:v>0</x:v>
      </x:c>
      <x:c r="H123" s="36" t="n">
        <x:v>0</x:v>
      </x:c>
      <x:c r="I123" s="36" t="n">
        <x:v>0</x:v>
      </x:c>
      <x:c r="J123" s="36" t="n">
        <x:v>0</x:v>
      </x:c>
      <x:c r="K123" s="36" t="n">
        <x:v>0</x:v>
      </x:c>
      <x:c r="L123" s="36" t="n">
        <x:v>0</x:v>
      </x:c>
      <x:c r="M123" s="38" t="n">
        <x:v>4.501026694045175</x:v>
      </x:c>
      <x:c r="N123" s="36" t="n">
        <x:v>0</x:v>
      </x:c>
    </x:row>
    <x:row r="124" ht="20" customHeight="1">
      <x:c r="C124" s="1" t="n">
        <x:v>1</x:v>
      </x:c>
      <x:c r="D124" s="1" t="n">
        <x:v>2</x:v>
      </x:c>
      <x:c r="E124" s="1" t="n">
        <x:v>55</x:v>
      </x:c>
      <x:c r="F124" s="32" t="n">
        <x:v>47953</x:v>
      </x:c>
      <x:c r="G124" s="36" t="n">
        <x:v>0</x:v>
      </x:c>
      <x:c r="H124" s="36" t="n">
        <x:v>0</x:v>
      </x:c>
      <x:c r="I124" s="36" t="n">
        <x:v>0</x:v>
      </x:c>
      <x:c r="J124" s="36" t="n">
        <x:v>0</x:v>
      </x:c>
      <x:c r="K124" s="36" t="n">
        <x:v>0</x:v>
      </x:c>
      <x:c r="L124" s="36" t="n">
        <x:v>0</x:v>
      </x:c>
      <x:c r="M124" s="38" t="n">
        <x:v>4.5804243668720055</x:v>
      </x:c>
      <x:c r="N124" s="36" t="n">
        <x:v>0</x:v>
      </x:c>
    </x:row>
    <x:row r="125" ht="20" customHeight="1">
      <x:c r="C125" s="1" t="n">
        <x:v>1</x:v>
      </x:c>
      <x:c r="D125" s="1" t="n">
        <x:v>2</x:v>
      </x:c>
      <x:c r="E125" s="1" t="n">
        <x:v>56</x:v>
      </x:c>
      <x:c r="F125" s="32" t="n">
        <x:v>47983</x:v>
      </x:c>
      <x:c r="G125" s="36" t="n">
        <x:v>0</x:v>
      </x:c>
      <x:c r="H125" s="36" t="n">
        <x:v>0</x:v>
      </x:c>
      <x:c r="I125" s="36" t="n">
        <x:v>0</x:v>
      </x:c>
      <x:c r="J125" s="36" t="n">
        <x:v>0</x:v>
      </x:c>
      <x:c r="K125" s="36" t="n">
        <x:v>0</x:v>
      </x:c>
      <x:c r="L125" s="36" t="n">
        <x:v>0</x:v>
      </x:c>
      <x:c r="M125" s="38" t="n">
        <x:v>4.662559890485968</x:v>
      </x:c>
      <x:c r="N125" s="36" t="n">
        <x:v>0</x:v>
      </x:c>
    </x:row>
    <x:row r="126" ht="20" customHeight="1">
      <x:c r="C126" s="1" t="n">
        <x:v>1</x:v>
      </x:c>
      <x:c r="D126" s="1" t="n">
        <x:v>2</x:v>
      </x:c>
      <x:c r="E126" s="1" t="n">
        <x:v>57</x:v>
      </x:c>
      <x:c r="F126" s="32" t="n">
        <x:v>48015</x:v>
      </x:c>
      <x:c r="G126" s="36" t="n">
        <x:v>0</x:v>
      </x:c>
      <x:c r="H126" s="36" t="n">
        <x:v>0</x:v>
      </x:c>
      <x:c r="I126" s="36" t="n">
        <x:v>0</x:v>
      </x:c>
      <x:c r="J126" s="36" t="n">
        <x:v>0</x:v>
      </x:c>
      <x:c r="K126" s="36" t="n">
        <x:v>0</x:v>
      </x:c>
      <x:c r="L126" s="36" t="n">
        <x:v>0</x:v>
      </x:c>
      <x:c r="M126" s="38" t="n">
        <x:v>4.7501711156741955</x:v>
      </x:c>
      <x:c r="N126" s="36" t="n">
        <x:v>0</x:v>
      </x:c>
    </x:row>
    <x:row r="127" ht="20" customHeight="1">
      <x:c r="C127" s="1" t="n">
        <x:v>1</x:v>
      </x:c>
      <x:c r="D127" s="1" t="n">
        <x:v>2</x:v>
      </x:c>
      <x:c r="E127" s="1" t="n">
        <x:v>58</x:v>
      </x:c>
      <x:c r="F127" s="32" t="n">
        <x:v>48044</x:v>
      </x:c>
      <x:c r="G127" s="36" t="n">
        <x:v>0</x:v>
      </x:c>
      <x:c r="H127" s="36" t="n">
        <x:v>0</x:v>
      </x:c>
      <x:c r="I127" s="36" t="n">
        <x:v>0</x:v>
      </x:c>
      <x:c r="J127" s="36" t="n">
        <x:v>0</x:v>
      </x:c>
      <x:c r="K127" s="36" t="n">
        <x:v>0</x:v>
      </x:c>
      <x:c r="L127" s="36" t="n">
        <x:v>0</x:v>
      </x:c>
      <x:c r="M127" s="38" t="n">
        <x:v>4.829568788501026</x:v>
      </x:c>
      <x:c r="N127" s="36" t="n">
        <x:v>0</x:v>
      </x:c>
    </x:row>
    <x:row r="128" ht="20" customHeight="1">
      <x:c r="C128" s="1" t="n">
        <x:v>1</x:v>
      </x:c>
      <x:c r="D128" s="1" t="n">
        <x:v>2</x:v>
      </x:c>
      <x:c r="E128" s="1" t="n">
        <x:v>59</x:v>
      </x:c>
      <x:c r="F128" s="32" t="n">
        <x:v>48075</x:v>
      </x:c>
      <x:c r="G128" s="36" t="n">
        <x:v>0</x:v>
      </x:c>
      <x:c r="H128" s="36" t="n">
        <x:v>0</x:v>
      </x:c>
      <x:c r="I128" s="36" t="n">
        <x:v>0</x:v>
      </x:c>
      <x:c r="J128" s="36" t="n">
        <x:v>0</x:v>
      </x:c>
      <x:c r="K128" s="36" t="n">
        <x:v>0</x:v>
      </x:c>
      <x:c r="L128" s="36" t="n">
        <x:v>0</x:v>
      </x:c>
      <x:c r="M128" s="38" t="n">
        <x:v>4.914442162902122</x:v>
      </x:c>
      <x:c r="N128" s="36" t="n">
        <x:v>0</x:v>
      </x:c>
    </x:row>
    <x:row r="129" ht="20" customHeight="1">
      <x:c r="C129" s="1" t="n">
        <x:v>1</x:v>
      </x:c>
      <x:c r="D129" s="1" t="n">
        <x:v>2</x:v>
      </x:c>
      <x:c r="E129" s="1" t="n">
        <x:v>60</x:v>
      </x:c>
      <x:c r="F129" s="32" t="n">
        <x:v>48106</x:v>
      </x:c>
      <x:c r="G129" s="36" t="n">
        <x:v>0</x:v>
      </x:c>
      <x:c r="H129" s="36" t="n">
        <x:v>0</x:v>
      </x:c>
      <x:c r="I129" s="36" t="n">
        <x:v>0</x:v>
      </x:c>
      <x:c r="J129" s="36" t="n">
        <x:v>0</x:v>
      </x:c>
      <x:c r="K129" s="36" t="n">
        <x:v>0</x:v>
      </x:c>
      <x:c r="L129" s="36" t="n">
        <x:v>0</x:v>
      </x:c>
      <x:c r="M129" s="38" t="n">
        <x:v>4.999315537303217</x:v>
      </x:c>
      <x:c r="N129" s="36" t="n">
        <x:v>0</x:v>
      </x:c>
    </x:row>
    <x:row r="130" ht="20" customHeight="1">
      <x:c r="C130" s="1" t="n">
        <x:v>1</x:v>
      </x:c>
      <x:c r="D130" s="1" t="n">
        <x:v>2</x:v>
      </x:c>
      <x:c r="E130" s="1" t="n">
        <x:v>61</x:v>
      </x:c>
      <x:c r="F130" s="32" t="n">
        <x:v>48136</x:v>
      </x:c>
      <x:c r="G130" s="36" t="n">
        <x:v>0</x:v>
      </x:c>
      <x:c r="H130" s="36" t="n">
        <x:v>0</x:v>
      </x:c>
      <x:c r="I130" s="36" t="n">
        <x:v>0</x:v>
      </x:c>
      <x:c r="J130" s="36" t="n">
        <x:v>0</x:v>
      </x:c>
      <x:c r="K130" s="36" t="n">
        <x:v>0</x:v>
      </x:c>
      <x:c r="L130" s="36" t="n">
        <x:v>0</x:v>
      </x:c>
      <x:c r="M130" s="38" t="n">
        <x:v>5.08145106091718</x:v>
      </x:c>
      <x:c r="N130" s="36" t="n">
        <x:v>0</x:v>
      </x:c>
    </x:row>
    <x:row r="131" ht="20" customHeight="1">
      <x:c r="C131" s="1" t="n">
        <x:v>1</x:v>
      </x:c>
      <x:c r="D131" s="1" t="n">
        <x:v>3</x:v>
      </x:c>
      <x:c r="E131" s="1" t="n">
        <x:v>1</x:v>
      </x:c>
      <x:c r="F131" s="32" t="n">
        <x:v>46310</x:v>
      </x:c>
      <x:c r="G131" s="36" t="n">
        <x:v>40763929.95</x:v>
      </x:c>
      <x:c r="H131" s="36" t="n">
        <x:v>146970.95</x:v>
      </x:c>
      <x:c r="I131" s="36" t="n">
        <x:v>8332865.95</x:v>
      </x:c>
      <x:c r="J131" s="36" t="n">
        <x:v>0</x:v>
      </x:c>
      <x:c r="K131" s="36" t="n">
        <x:v>32431064</x:v>
      </x:c>
      <x:c r="L131" s="36" t="n">
        <x:v>0</x:v>
      </x:c>
      <x:c r="M131" s="38" t="n">
        <x:v>0.08213552361396304</x:v>
      </x:c>
      <x:c r="N131" s="36" t="n">
        <x:v>32431064</x:v>
      </x:c>
    </x:row>
    <x:row r="132" ht="20" customHeight="1">
      <x:c r="C132" s="1" t="n">
        <x:v>1</x:v>
      </x:c>
      <x:c r="D132" s="1" t="n">
        <x:v>3</x:v>
      </x:c>
      <x:c r="E132" s="1" t="n">
        <x:v>2</x:v>
      </x:c>
      <x:c r="F132" s="32" t="n">
        <x:v>46342</x:v>
      </x:c>
      <x:c r="G132" s="36" t="n">
        <x:v>32431064</x:v>
      </x:c>
      <x:c r="H132" s="36" t="n">
        <x:v>124722.67</x:v>
      </x:c>
      <x:c r="I132" s="36" t="n">
        <x:v>8046202.89</x:v>
      </x:c>
      <x:c r="J132" s="36" t="n">
        <x:v>0</x:v>
      </x:c>
      <x:c r="K132" s="36" t="n">
        <x:v>24384861.11</x:v>
      </x:c>
      <x:c r="L132" s="36" t="n">
        <x:v>0</x:v>
      </x:c>
      <x:c r="M132" s="38" t="n">
        <x:v>0.1697467488021903</x:v>
      </x:c>
      <x:c r="N132" s="36" t="n">
        <x:v>24384861.11</x:v>
      </x:c>
    </x:row>
    <x:row r="133" ht="20" customHeight="1">
      <x:c r="C133" s="1" t="n">
        <x:v>1</x:v>
      </x:c>
      <x:c r="D133" s="1" t="n">
        <x:v>3</x:v>
      </x:c>
      <x:c r="E133" s="1" t="n">
        <x:v>3</x:v>
      </x:c>
      <x:c r="F133" s="32" t="n">
        <x:v>46371</x:v>
      </x:c>
      <x:c r="G133" s="36" t="n">
        <x:v>24384861.11</x:v>
      </x:c>
      <x:c r="H133" s="36" t="n">
        <x:v>84987</x:v>
      </x:c>
      <x:c r="I133" s="36" t="n">
        <x:v>7778790.61</x:v>
      </x:c>
      <x:c r="J133" s="36" t="n">
        <x:v>0</x:v>
      </x:c>
      <x:c r="K133" s="36" t="n">
        <x:v>16606070.5</x:v>
      </x:c>
      <x:c r="L133" s="36" t="n">
        <x:v>0</x:v>
      </x:c>
      <x:c r="M133" s="38" t="n">
        <x:v>0.24914442162902123</x:v>
      </x:c>
      <x:c r="N133" s="36" t="n">
        <x:v>16606070.5</x:v>
      </x:c>
    </x:row>
    <x:row r="134" ht="20" customHeight="1">
      <x:c r="C134" s="1" t="n">
        <x:v>1</x:v>
      </x:c>
      <x:c r="D134" s="1" t="n">
        <x:v>3</x:v>
      </x:c>
      <x:c r="E134" s="1" t="n">
        <x:v>4</x:v>
      </x:c>
      <x:c r="F134" s="32" t="n">
        <x:v>46402</x:v>
      </x:c>
      <x:c r="G134" s="36" t="n">
        <x:v>16606070.5</x:v>
      </x:c>
      <x:c r="H134" s="36" t="n">
        <x:v>61867.53</x:v>
      </x:c>
      <x:c r="I134" s="36" t="n">
        <x:v>7506054.83</x:v>
      </x:c>
      <x:c r="J134" s="36" t="n">
        <x:v>0</x:v>
      </x:c>
      <x:c r="K134" s="36" t="n">
        <x:v>9100015.67</x:v>
      </x:c>
      <x:c r="L134" s="36" t="n">
        <x:v>0</x:v>
      </x:c>
      <x:c r="M134" s="38" t="n">
        <x:v>0.33401779603011633</x:v>
      </x:c>
      <x:c r="N134" s="36" t="n">
        <x:v>9100015.67</x:v>
      </x:c>
    </x:row>
    <x:row r="135" ht="20" customHeight="1">
      <x:c r="C135" s="1" t="n">
        <x:v>1</x:v>
      </x:c>
      <x:c r="D135" s="1" t="n">
        <x:v>3</x:v>
      </x:c>
      <x:c r="E135" s="1" t="n">
        <x:v>5</x:v>
      </x:c>
      <x:c r="F135" s="32" t="n">
        <x:v>46434</x:v>
      </x:c>
      <x:c r="G135" s="36" t="n">
        <x:v>9100015.67</x:v>
      </x:c>
      <x:c r="H135" s="36" t="n">
        <x:v>34996.64</x:v>
      </x:c>
      <x:c r="I135" s="36" t="n">
        <x:v>7328893.8</x:v>
      </x:c>
      <x:c r="J135" s="36" t="n">
        <x:v>0</x:v>
      </x:c>
      <x:c r="K135" s="36" t="n">
        <x:v>1771121.87</x:v>
      </x:c>
      <x:c r="L135" s="36" t="n">
        <x:v>0</x:v>
      </x:c>
      <x:c r="M135" s="38" t="n">
        <x:v>0.4216290212183436</x:v>
      </x:c>
      <x:c r="N135" s="36" t="n">
        <x:v>1771121.87</x:v>
      </x:c>
    </x:row>
    <x:row r="136" ht="20" customHeight="1">
      <x:c r="C136" s="1" t="n">
        <x:v>1</x:v>
      </x:c>
      <x:c r="D136" s="1" t="n">
        <x:v>3</x:v>
      </x:c>
      <x:c r="E136" s="1" t="n">
        <x:v>6</x:v>
      </x:c>
      <x:c r="F136" s="32" t="n">
        <x:v>46461</x:v>
      </x:c>
      <x:c r="G136" s="36" t="n">
        <x:v>1771121.87</x:v>
      </x:c>
      <x:c r="H136" s="36" t="n">
        <x:v>5747.07</x:v>
      </x:c>
      <x:c r="I136" s="36" t="n">
        <x:v>1771121.87</x:v>
      </x:c>
      <x:c r="J136" s="36" t="n">
        <x:v>0</x:v>
      </x:c>
      <x:c r="K136" s="36" t="n">
        <x:v>0</x:v>
      </x:c>
      <x:c r="L136" s="36" t="n">
        <x:v>0</x:v>
      </x:c>
      <x:c r="M136" s="38" t="n">
        <x:v>0.49555099247091033</x:v>
      </x:c>
      <x:c r="N136" s="36" t="n">
        <x:v>0</x:v>
      </x:c>
    </x:row>
    <x:row r="137" ht="20" customHeight="1">
      <x:c r="C137" s="1" t="n">
        <x:v>1</x:v>
      </x:c>
      <x:c r="D137" s="1" t="n">
        <x:v>3</x:v>
      </x:c>
      <x:c r="E137" s="1" t="n">
        <x:v>7</x:v>
      </x:c>
      <x:c r="F137" s="32" t="n">
        <x:v>46492</x:v>
      </x:c>
      <x:c r="G137" s="36" t="n">
        <x:v>0</x:v>
      </x:c>
      <x:c r="H137" s="36" t="n">
        <x:v>0</x:v>
      </x:c>
      <x:c r="I137" s="36" t="n">
        <x:v>0</x:v>
      </x:c>
      <x:c r="J137" s="36" t="n">
        <x:v>0</x:v>
      </x:c>
      <x:c r="K137" s="36" t="n">
        <x:v>0</x:v>
      </x:c>
      <x:c r="L137" s="36" t="n">
        <x:v>0</x:v>
      </x:c>
      <x:c r="M137" s="38" t="n">
        <x:v>0.5804243668720055</x:v>
      </x:c>
      <x:c r="N137" s="36" t="n">
        <x:v>0</x:v>
      </x:c>
    </x:row>
    <x:row r="138" ht="20" customHeight="1">
      <x:c r="C138" s="1" t="n">
        <x:v>1</x:v>
      </x:c>
      <x:c r="D138" s="1" t="n">
        <x:v>3</x:v>
      </x:c>
      <x:c r="E138" s="1" t="n">
        <x:v>8</x:v>
      </x:c>
      <x:c r="F138" s="32" t="n">
        <x:v>46524</x:v>
      </x:c>
      <x:c r="G138" s="36" t="n">
        <x:v>0</x:v>
      </x:c>
      <x:c r="H138" s="36" t="n">
        <x:v>0</x:v>
      </x:c>
      <x:c r="I138" s="36" t="n">
        <x:v>0</x:v>
      </x:c>
      <x:c r="J138" s="36" t="n">
        <x:v>0</x:v>
      </x:c>
      <x:c r="K138" s="36" t="n">
        <x:v>0</x:v>
      </x:c>
      <x:c r="L138" s="36" t="n">
        <x:v>0</x:v>
      </x:c>
      <x:c r="M138" s="38" t="n">
        <x:v>0.6680355920602327</x:v>
      </x:c>
      <x:c r="N138" s="36" t="n">
        <x:v>0</x:v>
      </x:c>
    </x:row>
    <x:row r="139" ht="20" customHeight="1">
      <x:c r="C139" s="1" t="n">
        <x:v>1</x:v>
      </x:c>
      <x:c r="D139" s="1" t="n">
        <x:v>3</x:v>
      </x:c>
      <x:c r="E139" s="1" t="n">
        <x:v>9</x:v>
      </x:c>
      <x:c r="F139" s="32" t="n">
        <x:v>46553</x:v>
      </x:c>
      <x:c r="G139" s="36" t="n">
        <x:v>0</x:v>
      </x:c>
      <x:c r="H139" s="36" t="n">
        <x:v>0</x:v>
      </x:c>
      <x:c r="I139" s="36" t="n">
        <x:v>0</x:v>
      </x:c>
      <x:c r="J139" s="36" t="n">
        <x:v>0</x:v>
      </x:c>
      <x:c r="K139" s="36" t="n">
        <x:v>0</x:v>
      </x:c>
      <x:c r="L139" s="36" t="n">
        <x:v>0</x:v>
      </x:c>
      <x:c r="M139" s="38" t="n">
        <x:v>0.7474332648870636</x:v>
      </x:c>
      <x:c r="N139" s="36" t="n">
        <x:v>0</x:v>
      </x:c>
    </x:row>
    <x:row r="140" ht="20" customHeight="1">
      <x:c r="C140" s="1" t="n">
        <x:v>1</x:v>
      </x:c>
      <x:c r="D140" s="1" t="n">
        <x:v>3</x:v>
      </x:c>
      <x:c r="E140" s="1" t="n">
        <x:v>10</x:v>
      </x:c>
      <x:c r="F140" s="32" t="n">
        <x:v>46583</x:v>
      </x:c>
      <x:c r="G140" s="36" t="n">
        <x:v>0</x:v>
      </x:c>
      <x:c r="H140" s="36" t="n">
        <x:v>0</x:v>
      </x:c>
      <x:c r="I140" s="36" t="n">
        <x:v>0</x:v>
      </x:c>
      <x:c r="J140" s="36" t="n">
        <x:v>0</x:v>
      </x:c>
      <x:c r="K140" s="36" t="n">
        <x:v>0</x:v>
      </x:c>
      <x:c r="L140" s="36" t="n">
        <x:v>0</x:v>
      </x:c>
      <x:c r="M140" s="38" t="n">
        <x:v>0.8295687885010267</x:v>
      </x:c>
      <x:c r="N140" s="36" t="n">
        <x:v>0</x:v>
      </x:c>
    </x:row>
    <x:row r="141" ht="20" customHeight="1">
      <x:c r="C141" s="1" t="n">
        <x:v>1</x:v>
      </x:c>
      <x:c r="D141" s="1" t="n">
        <x:v>3</x:v>
      </x:c>
      <x:c r="E141" s="1" t="n">
        <x:v>11</x:v>
      </x:c>
      <x:c r="F141" s="32" t="n">
        <x:v>46615</x:v>
      </x:c>
      <x:c r="G141" s="36" t="n">
        <x:v>0</x:v>
      </x:c>
      <x:c r="H141" s="36" t="n">
        <x:v>0</x:v>
      </x:c>
      <x:c r="I141" s="36" t="n">
        <x:v>0</x:v>
      </x:c>
      <x:c r="J141" s="36" t="n">
        <x:v>0</x:v>
      </x:c>
      <x:c r="K141" s="36" t="n">
        <x:v>0</x:v>
      </x:c>
      <x:c r="L141" s="36" t="n">
        <x:v>0</x:v>
      </x:c>
      <x:c r="M141" s="38" t="n">
        <x:v>0.917180013689254</x:v>
      </x:c>
      <x:c r="N141" s="36" t="n">
        <x:v>0</x:v>
      </x:c>
    </x:row>
    <x:row r="142" ht="20" customHeight="1">
      <x:c r="C142" s="1" t="n">
        <x:v>1</x:v>
      </x:c>
      <x:c r="D142" s="1" t="n">
        <x:v>3</x:v>
      </x:c>
      <x:c r="E142" s="1" t="n">
        <x:v>12</x:v>
      </x:c>
      <x:c r="F142" s="32" t="n">
        <x:v>46645</x:v>
      </x:c>
      <x:c r="G142" s="36" t="n">
        <x:v>0</x:v>
      </x:c>
      <x:c r="H142" s="36" t="n">
        <x:v>0</x:v>
      </x:c>
      <x:c r="I142" s="36" t="n">
        <x:v>0</x:v>
      </x:c>
      <x:c r="J142" s="36" t="n">
        <x:v>0</x:v>
      </x:c>
      <x:c r="K142" s="36" t="n">
        <x:v>0</x:v>
      </x:c>
      <x:c r="L142" s="36" t="n">
        <x:v>0</x:v>
      </x:c>
      <x:c r="M142" s="38" t="n">
        <x:v>0.999315537303217</x:v>
      </x:c>
      <x:c r="N142" s="36" t="n">
        <x:v>0</x:v>
      </x:c>
    </x:row>
    <x:row r="143" ht="20" customHeight="1">
      <x:c r="C143" s="1" t="n">
        <x:v>1</x:v>
      </x:c>
      <x:c r="D143" s="1" t="n">
        <x:v>3</x:v>
      </x:c>
      <x:c r="E143" s="1" t="n">
        <x:v>13</x:v>
      </x:c>
      <x:c r="F143" s="32" t="n">
        <x:v>46675</x:v>
      </x:c>
      <x:c r="G143" s="36" t="n">
        <x:v>0</x:v>
      </x:c>
      <x:c r="H143" s="36" t="n">
        <x:v>0</x:v>
      </x:c>
      <x:c r="I143" s="36" t="n">
        <x:v>0</x:v>
      </x:c>
      <x:c r="J143" s="36" t="n">
        <x:v>0</x:v>
      </x:c>
      <x:c r="K143" s="36" t="n">
        <x:v>0</x:v>
      </x:c>
      <x:c r="L143" s="36" t="n">
        <x:v>0</x:v>
      </x:c>
      <x:c r="M143" s="38" t="n">
        <x:v>1.08145106091718</x:v>
      </x:c>
      <x:c r="N143" s="36" t="n">
        <x:v>0</x:v>
      </x:c>
    </x:row>
    <x:row r="144" ht="20" customHeight="1">
      <x:c r="C144" s="1" t="n">
        <x:v>1</x:v>
      </x:c>
      <x:c r="D144" s="1" t="n">
        <x:v>3</x:v>
      </x:c>
      <x:c r="E144" s="1" t="n">
        <x:v>14</x:v>
      </x:c>
      <x:c r="F144" s="32" t="n">
        <x:v>46706</x:v>
      </x:c>
      <x:c r="G144" s="36" t="n">
        <x:v>0</x:v>
      </x:c>
      <x:c r="H144" s="36" t="n">
        <x:v>0</x:v>
      </x:c>
      <x:c r="I144" s="36" t="n">
        <x:v>0</x:v>
      </x:c>
      <x:c r="J144" s="36" t="n">
        <x:v>0</x:v>
      </x:c>
      <x:c r="K144" s="36" t="n">
        <x:v>0</x:v>
      </x:c>
      <x:c r="L144" s="36" t="n">
        <x:v>0</x:v>
      </x:c>
      <x:c r="M144" s="38" t="n">
        <x:v>1.1663244353182751</x:v>
      </x:c>
      <x:c r="N144" s="36" t="n">
        <x:v>0</x:v>
      </x:c>
    </x:row>
    <x:row r="145" ht="20" customHeight="1">
      <x:c r="C145" s="1" t="n">
        <x:v>1</x:v>
      </x:c>
      <x:c r="D145" s="1" t="n">
        <x:v>3</x:v>
      </x:c>
      <x:c r="E145" s="1" t="n">
        <x:v>15</x:v>
      </x:c>
      <x:c r="F145" s="32" t="n">
        <x:v>46736</x:v>
      </x:c>
      <x:c r="G145" s="36" t="n">
        <x:v>0</x:v>
      </x:c>
      <x:c r="H145" s="36" t="n">
        <x:v>0</x:v>
      </x:c>
      <x:c r="I145" s="36" t="n">
        <x:v>0</x:v>
      </x:c>
      <x:c r="J145" s="36" t="n">
        <x:v>0</x:v>
      </x:c>
      <x:c r="K145" s="36" t="n">
        <x:v>0</x:v>
      </x:c>
      <x:c r="L145" s="36" t="n">
        <x:v>0</x:v>
      </x:c>
      <x:c r="M145" s="38" t="n">
        <x:v>1.2484599589322383</x:v>
      </x:c>
      <x:c r="N145" s="36" t="n">
        <x:v>0</x:v>
      </x:c>
    </x:row>
    <x:row r="146" ht="20" customHeight="1">
      <x:c r="C146" s="1" t="n">
        <x:v>1</x:v>
      </x:c>
      <x:c r="D146" s="1" t="n">
        <x:v>3</x:v>
      </x:c>
      <x:c r="E146" s="1" t="n">
        <x:v>16</x:v>
      </x:c>
      <x:c r="F146" s="32" t="n">
        <x:v>46770</x:v>
      </x:c>
      <x:c r="G146" s="36" t="n">
        <x:v>0</x:v>
      </x:c>
      <x:c r="H146" s="36" t="n">
        <x:v>0</x:v>
      </x:c>
      <x:c r="I146" s="36" t="n">
        <x:v>0</x:v>
      </x:c>
      <x:c r="J146" s="36" t="n">
        <x:v>0</x:v>
      </x:c>
      <x:c r="K146" s="36" t="n">
        <x:v>0</x:v>
      </x:c>
      <x:c r="L146" s="36" t="n">
        <x:v>0</x:v>
      </x:c>
      <x:c r="M146" s="38" t="n">
        <x:v>1.3415468856947297</x:v>
      </x:c>
      <x:c r="N146" s="36" t="n">
        <x:v>0</x:v>
      </x:c>
    </x:row>
    <x:row r="147" ht="20" customHeight="1">
      <x:c r="C147" s="1" t="n">
        <x:v>1</x:v>
      </x:c>
      <x:c r="D147" s="1" t="n">
        <x:v>3</x:v>
      </x:c>
      <x:c r="E147" s="1" t="n">
        <x:v>17</x:v>
      </x:c>
      <x:c r="F147" s="32" t="n">
        <x:v>46798</x:v>
      </x:c>
      <x:c r="G147" s="36" t="n">
        <x:v>0</x:v>
      </x:c>
      <x:c r="H147" s="36" t="n">
        <x:v>0</x:v>
      </x:c>
      <x:c r="I147" s="36" t="n">
        <x:v>0</x:v>
      </x:c>
      <x:c r="J147" s="36" t="n">
        <x:v>0</x:v>
      </x:c>
      <x:c r="K147" s="36" t="n">
        <x:v>0</x:v>
      </x:c>
      <x:c r="L147" s="36" t="n">
        <x:v>0</x:v>
      </x:c>
      <x:c r="M147" s="38" t="n">
        <x:v>1.4182067077344285</x:v>
      </x:c>
      <x:c r="N147" s="36" t="n">
        <x:v>0</x:v>
      </x:c>
    </x:row>
    <x:row r="148" ht="20" customHeight="1">
      <x:c r="C148" s="1" t="n">
        <x:v>1</x:v>
      </x:c>
      <x:c r="D148" s="1" t="n">
        <x:v>3</x:v>
      </x:c>
      <x:c r="E148" s="1" t="n">
        <x:v>18</x:v>
      </x:c>
      <x:c r="F148" s="32" t="n">
        <x:v>46827</x:v>
      </x:c>
      <x:c r="G148" s="36" t="n">
        <x:v>0</x:v>
      </x:c>
      <x:c r="H148" s="36" t="n">
        <x:v>0</x:v>
      </x:c>
      <x:c r="I148" s="36" t="n">
        <x:v>0</x:v>
      </x:c>
      <x:c r="J148" s="36" t="n">
        <x:v>0</x:v>
      </x:c>
      <x:c r="K148" s="36" t="n">
        <x:v>0</x:v>
      </x:c>
      <x:c r="L148" s="36" t="n">
        <x:v>0</x:v>
      </x:c>
      <x:c r="M148" s="38" t="n">
        <x:v>1.4976043805612593</x:v>
      </x:c>
      <x:c r="N148" s="36" t="n">
        <x:v>0</x:v>
      </x:c>
    </x:row>
    <x:row r="149" ht="20" customHeight="1">
      <x:c r="C149" s="1" t="n">
        <x:v>1</x:v>
      </x:c>
      <x:c r="D149" s="1" t="n">
        <x:v>3</x:v>
      </x:c>
      <x:c r="E149" s="1" t="n">
        <x:v>19</x:v>
      </x:c>
      <x:c r="F149" s="32" t="n">
        <x:v>46860</x:v>
      </x:c>
      <x:c r="G149" s="36" t="n">
        <x:v>0</x:v>
      </x:c>
      <x:c r="H149" s="36" t="n">
        <x:v>0</x:v>
      </x:c>
      <x:c r="I149" s="36" t="n">
        <x:v>0</x:v>
      </x:c>
      <x:c r="J149" s="36" t="n">
        <x:v>0</x:v>
      </x:c>
      <x:c r="K149" s="36" t="n">
        <x:v>0</x:v>
      </x:c>
      <x:c r="L149" s="36" t="n">
        <x:v>0</x:v>
      </x:c>
      <x:c r="M149" s="38" t="n">
        <x:v>1.5879534565366187</x:v>
      </x:c>
      <x:c r="N149" s="36" t="n">
        <x:v>0</x:v>
      </x:c>
    </x:row>
    <x:row r="150" ht="20" customHeight="1">
      <x:c r="C150" s="1" t="n">
        <x:v>1</x:v>
      </x:c>
      <x:c r="D150" s="1" t="n">
        <x:v>3</x:v>
      </x:c>
      <x:c r="E150" s="1" t="n">
        <x:v>20</x:v>
      </x:c>
      <x:c r="F150" s="32" t="n">
        <x:v>46888</x:v>
      </x:c>
      <x:c r="G150" s="36" t="n">
        <x:v>0</x:v>
      </x:c>
      <x:c r="H150" s="36" t="n">
        <x:v>0</x:v>
      </x:c>
      <x:c r="I150" s="36" t="n">
        <x:v>0</x:v>
      </x:c>
      <x:c r="J150" s="36" t="n">
        <x:v>0</x:v>
      </x:c>
      <x:c r="K150" s="36" t="n">
        <x:v>0</x:v>
      </x:c>
      <x:c r="L150" s="36" t="n">
        <x:v>0</x:v>
      </x:c>
      <x:c r="M150" s="38" t="n">
        <x:v>1.6646132785763177</x:v>
      </x:c>
      <x:c r="N150" s="36" t="n">
        <x:v>0</x:v>
      </x:c>
    </x:row>
    <x:row r="151" ht="20" customHeight="1">
      <x:c r="C151" s="1" t="n">
        <x:v>1</x:v>
      </x:c>
      <x:c r="D151" s="1" t="n">
        <x:v>3</x:v>
      </x:c>
      <x:c r="E151" s="1" t="n">
        <x:v>21</x:v>
      </x:c>
      <x:c r="F151" s="32" t="n">
        <x:v>46919</x:v>
      </x:c>
      <x:c r="G151" s="36" t="n">
        <x:v>0</x:v>
      </x:c>
      <x:c r="H151" s="36" t="n">
        <x:v>0</x:v>
      </x:c>
      <x:c r="I151" s="36" t="n">
        <x:v>0</x:v>
      </x:c>
      <x:c r="J151" s="36" t="n">
        <x:v>0</x:v>
      </x:c>
      <x:c r="K151" s="36" t="n">
        <x:v>0</x:v>
      </x:c>
      <x:c r="L151" s="36" t="n">
        <x:v>0</x:v>
      </x:c>
      <x:c r="M151" s="38" t="n">
        <x:v>1.7494866529774127</x:v>
      </x:c>
      <x:c r="N151" s="36" t="n">
        <x:v>0</x:v>
      </x:c>
    </x:row>
    <x:row r="152" ht="20" customHeight="1">
      <x:c r="C152" s="1" t="n">
        <x:v>1</x:v>
      </x:c>
      <x:c r="D152" s="1" t="n">
        <x:v>3</x:v>
      </x:c>
      <x:c r="E152" s="1" t="n">
        <x:v>22</x:v>
      </x:c>
      <x:c r="F152" s="32" t="n">
        <x:v>46951</x:v>
      </x:c>
      <x:c r="G152" s="36" t="n">
        <x:v>0</x:v>
      </x:c>
      <x:c r="H152" s="36" t="n">
        <x:v>0</x:v>
      </x:c>
      <x:c r="I152" s="36" t="n">
        <x:v>0</x:v>
      </x:c>
      <x:c r="J152" s="36" t="n">
        <x:v>0</x:v>
      </x:c>
      <x:c r="K152" s="36" t="n">
        <x:v>0</x:v>
      </x:c>
      <x:c r="L152" s="36" t="n">
        <x:v>0</x:v>
      </x:c>
      <x:c r="M152" s="38" t="n">
        <x:v>1.83709787816564</x:v>
      </x:c>
      <x:c r="N152" s="36" t="n">
        <x:v>0</x:v>
      </x:c>
    </x:row>
    <x:row r="153" ht="20" customHeight="1">
      <x:c r="C153" s="1" t="n">
        <x:v>1</x:v>
      </x:c>
      <x:c r="D153" s="1" t="n">
        <x:v>3</x:v>
      </x:c>
      <x:c r="E153" s="1" t="n">
        <x:v>23</x:v>
      </x:c>
      <x:c r="F153" s="32" t="n">
        <x:v>46980</x:v>
      </x:c>
      <x:c r="G153" s="36" t="n">
        <x:v>0</x:v>
      </x:c>
      <x:c r="H153" s="36" t="n">
        <x:v>0</x:v>
      </x:c>
      <x:c r="I153" s="36" t="n">
        <x:v>0</x:v>
      </x:c>
      <x:c r="J153" s="36" t="n">
        <x:v>0</x:v>
      </x:c>
      <x:c r="K153" s="36" t="n">
        <x:v>0</x:v>
      </x:c>
      <x:c r="L153" s="36" t="n">
        <x:v>0</x:v>
      </x:c>
      <x:c r="M153" s="38" t="n">
        <x:v>1.9164955509924708</x:v>
      </x:c>
      <x:c r="N153" s="36" t="n">
        <x:v>0</x:v>
      </x:c>
    </x:row>
    <x:row r="154" ht="20" customHeight="1">
      <x:c r="C154" s="1" t="n">
        <x:v>1</x:v>
      </x:c>
      <x:c r="D154" s="1" t="n">
        <x:v>3</x:v>
      </x:c>
      <x:c r="E154" s="1" t="n">
        <x:v>24</x:v>
      </x:c>
      <x:c r="F154" s="32" t="n">
        <x:v>47011</x:v>
      </x:c>
      <x:c r="G154" s="36" t="n">
        <x:v>0</x:v>
      </x:c>
      <x:c r="H154" s="36" t="n">
        <x:v>0</x:v>
      </x:c>
      <x:c r="I154" s="36" t="n">
        <x:v>0</x:v>
      </x:c>
      <x:c r="J154" s="36" t="n">
        <x:v>0</x:v>
      </x:c>
      <x:c r="K154" s="36" t="n">
        <x:v>0</x:v>
      </x:c>
      <x:c r="L154" s="36" t="n">
        <x:v>0</x:v>
      </x:c>
      <x:c r="M154" s="38" t="n">
        <x:v>2.001368925393566</x:v>
      </x:c>
      <x:c r="N154" s="36" t="n">
        <x:v>0</x:v>
      </x:c>
    </x:row>
    <x:row r="155" ht="20" customHeight="1">
      <x:c r="C155" s="1" t="n">
        <x:v>1</x:v>
      </x:c>
      <x:c r="D155" s="1" t="n">
        <x:v>3</x:v>
      </x:c>
      <x:c r="E155" s="1" t="n">
        <x:v>25</x:v>
      </x:c>
      <x:c r="F155" s="32" t="n">
        <x:v>47042</x:v>
      </x:c>
      <x:c r="G155" s="36" t="n">
        <x:v>0</x:v>
      </x:c>
      <x:c r="H155" s="36" t="n">
        <x:v>0</x:v>
      </x:c>
      <x:c r="I155" s="36" t="n">
        <x:v>0</x:v>
      </x:c>
      <x:c r="J155" s="36" t="n">
        <x:v>0</x:v>
      </x:c>
      <x:c r="K155" s="36" t="n">
        <x:v>0</x:v>
      </x:c>
      <x:c r="L155" s="36" t="n">
        <x:v>0</x:v>
      </x:c>
      <x:c r="M155" s="38" t="n">
        <x:v>2.086242299794661</x:v>
      </x:c>
      <x:c r="N155" s="36" t="n">
        <x:v>0</x:v>
      </x:c>
    </x:row>
    <x:row r="156" ht="20" customHeight="1">
      <x:c r="C156" s="1" t="n">
        <x:v>1</x:v>
      </x:c>
      <x:c r="D156" s="1" t="n">
        <x:v>3</x:v>
      </x:c>
      <x:c r="E156" s="1" t="n">
        <x:v>26</x:v>
      </x:c>
      <x:c r="F156" s="32" t="n">
        <x:v>47072</x:v>
      </x:c>
      <x:c r="G156" s="36" t="n">
        <x:v>0</x:v>
      </x:c>
      <x:c r="H156" s="36" t="n">
        <x:v>0</x:v>
      </x:c>
      <x:c r="I156" s="36" t="n">
        <x:v>0</x:v>
      </x:c>
      <x:c r="J156" s="36" t="n">
        <x:v>0</x:v>
      </x:c>
      <x:c r="K156" s="36" t="n">
        <x:v>0</x:v>
      </x:c>
      <x:c r="L156" s="36" t="n">
        <x:v>0</x:v>
      </x:c>
      <x:c r="M156" s="38" t="n">
        <x:v>2.1683778234086244</x:v>
      </x:c>
      <x:c r="N156" s="36" t="n">
        <x:v>0</x:v>
      </x:c>
    </x:row>
    <x:row r="157" ht="20" customHeight="1">
      <x:c r="C157" s="1" t="n">
        <x:v>1</x:v>
      </x:c>
      <x:c r="D157" s="1" t="n">
        <x:v>3</x:v>
      </x:c>
      <x:c r="E157" s="1" t="n">
        <x:v>27</x:v>
      </x:c>
      <x:c r="F157" s="32" t="n">
        <x:v>47102</x:v>
      </x:c>
      <x:c r="G157" s="36" t="n">
        <x:v>0</x:v>
      </x:c>
      <x:c r="H157" s="36" t="n">
        <x:v>0</x:v>
      </x:c>
      <x:c r="I157" s="36" t="n">
        <x:v>0</x:v>
      </x:c>
      <x:c r="J157" s="36" t="n">
        <x:v>0</x:v>
      </x:c>
      <x:c r="K157" s="36" t="n">
        <x:v>0</x:v>
      </x:c>
      <x:c r="L157" s="36" t="n">
        <x:v>0</x:v>
      </x:c>
      <x:c r="M157" s="38" t="n">
        <x:v>2.2505133470225873</x:v>
      </x:c>
      <x:c r="N157" s="36" t="n">
        <x:v>0</x:v>
      </x:c>
    </x:row>
    <x:row r="158" ht="20" customHeight="1">
      <x:c r="C158" s="1" t="n">
        <x:v>1</x:v>
      </x:c>
      <x:c r="D158" s="1" t="n">
        <x:v>3</x:v>
      </x:c>
      <x:c r="E158" s="1" t="n">
        <x:v>28</x:v>
      </x:c>
      <x:c r="F158" s="32" t="n">
        <x:v>47134</x:v>
      </x:c>
      <x:c r="G158" s="36" t="n">
        <x:v>0</x:v>
      </x:c>
      <x:c r="H158" s="36" t="n">
        <x:v>0</x:v>
      </x:c>
      <x:c r="I158" s="36" t="n">
        <x:v>0</x:v>
      </x:c>
      <x:c r="J158" s="36" t="n">
        <x:v>0</x:v>
      </x:c>
      <x:c r="K158" s="36" t="n">
        <x:v>0</x:v>
      </x:c>
      <x:c r="L158" s="36" t="n">
        <x:v>0</x:v>
      </x:c>
      <x:c r="M158" s="38" t="n">
        <x:v>2.3381245722108144</x:v>
      </x:c>
      <x:c r="N158" s="36" t="n">
        <x:v>0</x:v>
      </x:c>
    </x:row>
    <x:row r="159" ht="20" customHeight="1">
      <x:c r="C159" s="1" t="n">
        <x:v>1</x:v>
      </x:c>
      <x:c r="D159" s="1" t="n">
        <x:v>3</x:v>
      </x:c>
      <x:c r="E159" s="1" t="n">
        <x:v>29</x:v>
      </x:c>
      <x:c r="F159" s="32" t="n">
        <x:v>47164</x:v>
      </x:c>
      <x:c r="G159" s="36" t="n">
        <x:v>0</x:v>
      </x:c>
      <x:c r="H159" s="36" t="n">
        <x:v>0</x:v>
      </x:c>
      <x:c r="I159" s="36" t="n">
        <x:v>0</x:v>
      </x:c>
      <x:c r="J159" s="36" t="n">
        <x:v>0</x:v>
      </x:c>
      <x:c r="K159" s="36" t="n">
        <x:v>0</x:v>
      </x:c>
      <x:c r="L159" s="36" t="n">
        <x:v>0</x:v>
      </x:c>
      <x:c r="M159" s="38" t="n">
        <x:v>2.4202600958247777</x:v>
      </x:c>
      <x:c r="N159" s="36" t="n">
        <x:v>0</x:v>
      </x:c>
    </x:row>
    <x:row r="160" ht="20" customHeight="1">
      <x:c r="C160" s="1" t="n">
        <x:v>1</x:v>
      </x:c>
      <x:c r="D160" s="1" t="n">
        <x:v>3</x:v>
      </x:c>
      <x:c r="E160" s="1" t="n">
        <x:v>30</x:v>
      </x:c>
      <x:c r="F160" s="32" t="n">
        <x:v>47192</x:v>
      </x:c>
      <x:c r="G160" s="36" t="n">
        <x:v>0</x:v>
      </x:c>
      <x:c r="H160" s="36" t="n">
        <x:v>0</x:v>
      </x:c>
      <x:c r="I160" s="36" t="n">
        <x:v>0</x:v>
      </x:c>
      <x:c r="J160" s="36" t="n">
        <x:v>0</x:v>
      </x:c>
      <x:c r="K160" s="36" t="n">
        <x:v>0</x:v>
      </x:c>
      <x:c r="L160" s="36" t="n">
        <x:v>0</x:v>
      </x:c>
      <x:c r="M160" s="38" t="n">
        <x:v>2.4969199178644765</x:v>
      </x:c>
      <x:c r="N160" s="36" t="n">
        <x:v>0</x:v>
      </x:c>
    </x:row>
    <x:row r="161" ht="20" customHeight="1">
      <x:c r="C161" s="1" t="n">
        <x:v>1</x:v>
      </x:c>
      <x:c r="D161" s="1" t="n">
        <x:v>3</x:v>
      </x:c>
      <x:c r="E161" s="1" t="n">
        <x:v>31</x:v>
      </x:c>
      <x:c r="F161" s="32" t="n">
        <x:v>47224</x:v>
      </x:c>
      <x:c r="G161" s="36" t="n">
        <x:v>0</x:v>
      </x:c>
      <x:c r="H161" s="36" t="n">
        <x:v>0</x:v>
      </x:c>
      <x:c r="I161" s="36" t="n">
        <x:v>0</x:v>
      </x:c>
      <x:c r="J161" s="36" t="n">
        <x:v>0</x:v>
      </x:c>
      <x:c r="K161" s="36" t="n">
        <x:v>0</x:v>
      </x:c>
      <x:c r="L161" s="36" t="n">
        <x:v>0</x:v>
      </x:c>
      <x:c r="M161" s="38" t="n">
        <x:v>2.5845311430527036</x:v>
      </x:c>
      <x:c r="N161" s="36" t="n">
        <x:v>0</x:v>
      </x:c>
    </x:row>
    <x:row r="162" ht="20" customHeight="1">
      <x:c r="C162" s="1" t="n">
        <x:v>1</x:v>
      </x:c>
      <x:c r="D162" s="1" t="n">
        <x:v>3</x:v>
      </x:c>
      <x:c r="E162" s="1" t="n">
        <x:v>32</x:v>
      </x:c>
      <x:c r="F162" s="32" t="n">
        <x:v>47253</x:v>
      </x:c>
      <x:c r="G162" s="36" t="n">
        <x:v>0</x:v>
      </x:c>
      <x:c r="H162" s="36" t="n">
        <x:v>0</x:v>
      </x:c>
      <x:c r="I162" s="36" t="n">
        <x:v>0</x:v>
      </x:c>
      <x:c r="J162" s="36" t="n">
        <x:v>0</x:v>
      </x:c>
      <x:c r="K162" s="36" t="n">
        <x:v>0</x:v>
      </x:c>
      <x:c r="L162" s="36" t="n">
        <x:v>0</x:v>
      </x:c>
      <x:c r="M162" s="38" t="n">
        <x:v>2.6639288158795345</x:v>
      </x:c>
      <x:c r="N162" s="36" t="n">
        <x:v>0</x:v>
      </x:c>
    </x:row>
    <x:row r="163" ht="20" customHeight="1">
      <x:c r="C163" s="1" t="n">
        <x:v>1</x:v>
      </x:c>
      <x:c r="D163" s="1" t="n">
        <x:v>3</x:v>
      </x:c>
      <x:c r="E163" s="1" t="n">
        <x:v>33</x:v>
      </x:c>
      <x:c r="F163" s="32" t="n">
        <x:v>47284</x:v>
      </x:c>
      <x:c r="G163" s="36" t="n">
        <x:v>0</x:v>
      </x:c>
      <x:c r="H163" s="36" t="n">
        <x:v>0</x:v>
      </x:c>
      <x:c r="I163" s="36" t="n">
        <x:v>0</x:v>
      </x:c>
      <x:c r="J163" s="36" t="n">
        <x:v>0</x:v>
      </x:c>
      <x:c r="K163" s="36" t="n">
        <x:v>0</x:v>
      </x:c>
      <x:c r="L163" s="36" t="n">
        <x:v>0</x:v>
      </x:c>
      <x:c r="M163" s="38" t="n">
        <x:v>2.74880219028063</x:v>
      </x:c>
      <x:c r="N163" s="36" t="n">
        <x:v>0</x:v>
      </x:c>
    </x:row>
    <x:row r="164" ht="20" customHeight="1">
      <x:c r="C164" s="1" t="n">
        <x:v>1</x:v>
      </x:c>
      <x:c r="D164" s="1" t="n">
        <x:v>3</x:v>
      </x:c>
      <x:c r="E164" s="1" t="n">
        <x:v>34</x:v>
      </x:c>
      <x:c r="F164" s="32" t="n">
        <x:v>47315</x:v>
      </x:c>
      <x:c r="G164" s="36" t="n">
        <x:v>0</x:v>
      </x:c>
      <x:c r="H164" s="36" t="n">
        <x:v>0</x:v>
      </x:c>
      <x:c r="I164" s="36" t="n">
        <x:v>0</x:v>
      </x:c>
      <x:c r="J164" s="36" t="n">
        <x:v>0</x:v>
      </x:c>
      <x:c r="K164" s="36" t="n">
        <x:v>0</x:v>
      </x:c>
      <x:c r="L164" s="36" t="n">
        <x:v>0</x:v>
      </x:c>
      <x:c r="M164" s="38" t="n">
        <x:v>2.833675564681725</x:v>
      </x:c>
      <x:c r="N164" s="36" t="n">
        <x:v>0</x:v>
      </x:c>
    </x:row>
    <x:row r="165" ht="20" customHeight="1">
      <x:c r="C165" s="1" t="n">
        <x:v>1</x:v>
      </x:c>
      <x:c r="D165" s="1" t="n">
        <x:v>3</x:v>
      </x:c>
      <x:c r="E165" s="1" t="n">
        <x:v>35</x:v>
      </x:c>
      <x:c r="F165" s="32" t="n">
        <x:v>47345</x:v>
      </x:c>
      <x:c r="G165" s="36" t="n">
        <x:v>0</x:v>
      </x:c>
      <x:c r="H165" s="36" t="n">
        <x:v>0</x:v>
      </x:c>
      <x:c r="I165" s="36" t="n">
        <x:v>0</x:v>
      </x:c>
      <x:c r="J165" s="36" t="n">
        <x:v>0</x:v>
      </x:c>
      <x:c r="K165" s="36" t="n">
        <x:v>0</x:v>
      </x:c>
      <x:c r="L165" s="36" t="n">
        <x:v>0</x:v>
      </x:c>
      <x:c r="M165" s="38" t="n">
        <x:v>2.915811088295688</x:v>
      </x:c>
      <x:c r="N165" s="36" t="n">
        <x:v>0</x:v>
      </x:c>
    </x:row>
    <x:row r="166" ht="20" customHeight="1">
      <x:c r="C166" s="1" t="n">
        <x:v>1</x:v>
      </x:c>
      <x:c r="D166" s="1" t="n">
        <x:v>3</x:v>
      </x:c>
      <x:c r="E166" s="1" t="n">
        <x:v>36</x:v>
      </x:c>
      <x:c r="F166" s="32" t="n">
        <x:v>47378</x:v>
      </x:c>
      <x:c r="G166" s="36" t="n">
        <x:v>0</x:v>
      </x:c>
      <x:c r="H166" s="36" t="n">
        <x:v>0</x:v>
      </x:c>
      <x:c r="I166" s="36" t="n">
        <x:v>0</x:v>
      </x:c>
      <x:c r="J166" s="36" t="n">
        <x:v>0</x:v>
      </x:c>
      <x:c r="K166" s="36" t="n">
        <x:v>0</x:v>
      </x:c>
      <x:c r="L166" s="36" t="n">
        <x:v>0</x:v>
      </x:c>
      <x:c r="M166" s="38" t="n">
        <x:v>3.0061601642710474</x:v>
      </x:c>
      <x:c r="N166" s="36" t="n">
        <x:v>0</x:v>
      </x:c>
    </x:row>
    <x:row r="167" ht="20" customHeight="1">
      <x:c r="C167" s="1" t="n">
        <x:v>1</x:v>
      </x:c>
      <x:c r="D167" s="1" t="n">
        <x:v>3</x:v>
      </x:c>
      <x:c r="E167" s="1" t="n">
        <x:v>37</x:v>
      </x:c>
      <x:c r="F167" s="32" t="n">
        <x:v>47406</x:v>
      </x:c>
      <x:c r="G167" s="36" t="n">
        <x:v>0</x:v>
      </x:c>
      <x:c r="H167" s="36" t="n">
        <x:v>0</x:v>
      </x:c>
      <x:c r="I167" s="36" t="n">
        <x:v>0</x:v>
      </x:c>
      <x:c r="J167" s="36" t="n">
        <x:v>0</x:v>
      </x:c>
      <x:c r="K167" s="36" t="n">
        <x:v>0</x:v>
      </x:c>
      <x:c r="L167" s="36" t="n">
        <x:v>0</x:v>
      </x:c>
      <x:c r="M167" s="38" t="n">
        <x:v>3.082819986310746</x:v>
      </x:c>
      <x:c r="N167" s="36" t="n">
        <x:v>0</x:v>
      </x:c>
    </x:row>
    <x:row r="168" ht="20" customHeight="1">
      <x:c r="C168" s="1" t="n">
        <x:v>1</x:v>
      </x:c>
      <x:c r="D168" s="1" t="n">
        <x:v>3</x:v>
      </x:c>
      <x:c r="E168" s="1" t="n">
        <x:v>38</x:v>
      </x:c>
      <x:c r="F168" s="32" t="n">
        <x:v>47437</x:v>
      </x:c>
      <x:c r="G168" s="36" t="n">
        <x:v>0</x:v>
      </x:c>
      <x:c r="H168" s="36" t="n">
        <x:v>0</x:v>
      </x:c>
      <x:c r="I168" s="36" t="n">
        <x:v>0</x:v>
      </x:c>
      <x:c r="J168" s="36" t="n">
        <x:v>0</x:v>
      </x:c>
      <x:c r="K168" s="36" t="n">
        <x:v>0</x:v>
      </x:c>
      <x:c r="L168" s="36" t="n">
        <x:v>0</x:v>
      </x:c>
      <x:c r="M168" s="38" t="n">
        <x:v>3.167693360711841</x:v>
      </x:c>
      <x:c r="N168" s="36" t="n">
        <x:v>0</x:v>
      </x:c>
    </x:row>
    <x:row r="169" ht="20" customHeight="1">
      <x:c r="C169" s="1" t="n">
        <x:v>1</x:v>
      </x:c>
      <x:c r="D169" s="1" t="n">
        <x:v>3</x:v>
      </x:c>
      <x:c r="E169" s="1" t="n">
        <x:v>39</x:v>
      </x:c>
      <x:c r="F169" s="32" t="n">
        <x:v>47469</x:v>
      </x:c>
      <x:c r="G169" s="36" t="n">
        <x:v>0</x:v>
      </x:c>
      <x:c r="H169" s="36" t="n">
        <x:v>0</x:v>
      </x:c>
      <x:c r="I169" s="36" t="n">
        <x:v>0</x:v>
      </x:c>
      <x:c r="J169" s="36" t="n">
        <x:v>0</x:v>
      </x:c>
      <x:c r="K169" s="36" t="n">
        <x:v>0</x:v>
      </x:c>
      <x:c r="L169" s="36" t="n">
        <x:v>0</x:v>
      </x:c>
      <x:c r="M169" s="38" t="n">
        <x:v>3.2553045859000687</x:v>
      </x:c>
      <x:c r="N169" s="36" t="n">
        <x:v>0</x:v>
      </x:c>
    </x:row>
    <x:row r="170" ht="20" customHeight="1">
      <x:c r="C170" s="1" t="n">
        <x:v>1</x:v>
      </x:c>
      <x:c r="D170" s="1" t="n">
        <x:v>3</x:v>
      </x:c>
      <x:c r="E170" s="1" t="n">
        <x:v>40</x:v>
      </x:c>
      <x:c r="F170" s="32" t="n">
        <x:v>47498</x:v>
      </x:c>
      <x:c r="G170" s="36" t="n">
        <x:v>0</x:v>
      </x:c>
      <x:c r="H170" s="36" t="n">
        <x:v>0</x:v>
      </x:c>
      <x:c r="I170" s="36" t="n">
        <x:v>0</x:v>
      </x:c>
      <x:c r="J170" s="36" t="n">
        <x:v>0</x:v>
      </x:c>
      <x:c r="K170" s="36" t="n">
        <x:v>0</x:v>
      </x:c>
      <x:c r="L170" s="36" t="n">
        <x:v>0</x:v>
      </x:c>
      <x:c r="M170" s="38" t="n">
        <x:v>3.3347022587268995</x:v>
      </x:c>
      <x:c r="N170" s="36" t="n">
        <x:v>0</x:v>
      </x:c>
    </x:row>
    <x:row r="171" ht="20" customHeight="1">
      <x:c r="C171" s="1" t="n">
        <x:v>1</x:v>
      </x:c>
      <x:c r="D171" s="1" t="n">
        <x:v>3</x:v>
      </x:c>
      <x:c r="E171" s="1" t="n">
        <x:v>41</x:v>
      </x:c>
      <x:c r="F171" s="32" t="n">
        <x:v>47529</x:v>
      </x:c>
      <x:c r="G171" s="36" t="n">
        <x:v>0</x:v>
      </x:c>
      <x:c r="H171" s="36" t="n">
        <x:v>0</x:v>
      </x:c>
      <x:c r="I171" s="36" t="n">
        <x:v>0</x:v>
      </x:c>
      <x:c r="J171" s="36" t="n">
        <x:v>0</x:v>
      </x:c>
      <x:c r="K171" s="36" t="n">
        <x:v>0</x:v>
      </x:c>
      <x:c r="L171" s="36" t="n">
        <x:v>0</x:v>
      </x:c>
      <x:c r="M171" s="38" t="n">
        <x:v>3.4195756331279945</x:v>
      </x:c>
      <x:c r="N171" s="36" t="n">
        <x:v>0</x:v>
      </x:c>
    </x:row>
    <x:row r="172" ht="20" customHeight="1">
      <x:c r="C172" s="1" t="n">
        <x:v>1</x:v>
      </x:c>
      <x:c r="D172" s="1" t="n">
        <x:v>3</x:v>
      </x:c>
      <x:c r="E172" s="1" t="n">
        <x:v>42</x:v>
      </x:c>
      <x:c r="F172" s="32" t="n">
        <x:v>47557</x:v>
      </x:c>
      <x:c r="G172" s="36" t="n">
        <x:v>0</x:v>
      </x:c>
      <x:c r="H172" s="36" t="n">
        <x:v>0</x:v>
      </x:c>
      <x:c r="I172" s="36" t="n">
        <x:v>0</x:v>
      </x:c>
      <x:c r="J172" s="36" t="n">
        <x:v>0</x:v>
      </x:c>
      <x:c r="K172" s="36" t="n">
        <x:v>0</x:v>
      </x:c>
      <x:c r="L172" s="36" t="n">
        <x:v>0</x:v>
      </x:c>
      <x:c r="M172" s="38" t="n">
        <x:v>3.4962354551676933</x:v>
      </x:c>
      <x:c r="N172" s="36" t="n">
        <x:v>0</x:v>
      </x:c>
    </x:row>
    <x:row r="173" ht="20" customHeight="1">
      <x:c r="C173" s="1" t="n">
        <x:v>1</x:v>
      </x:c>
      <x:c r="D173" s="1" t="n">
        <x:v>3</x:v>
      </x:c>
      <x:c r="E173" s="1" t="n">
        <x:v>43</x:v>
      </x:c>
      <x:c r="F173" s="32" t="n">
        <x:v>47588</x:v>
      </x:c>
      <x:c r="G173" s="36" t="n">
        <x:v>0</x:v>
      </x:c>
      <x:c r="H173" s="36" t="n">
        <x:v>0</x:v>
      </x:c>
      <x:c r="I173" s="36" t="n">
        <x:v>0</x:v>
      </x:c>
      <x:c r="J173" s="36" t="n">
        <x:v>0</x:v>
      </x:c>
      <x:c r="K173" s="36" t="n">
        <x:v>0</x:v>
      </x:c>
      <x:c r="L173" s="36" t="n">
        <x:v>0</x:v>
      </x:c>
      <x:c r="M173" s="38" t="n">
        <x:v>3.5811088295687883</x:v>
      </x:c>
      <x:c r="N173" s="36" t="n">
        <x:v>0</x:v>
      </x:c>
    </x:row>
    <x:row r="174" ht="20" customHeight="1">
      <x:c r="C174" s="1" t="n">
        <x:v>1</x:v>
      </x:c>
      <x:c r="D174" s="1" t="n">
        <x:v>3</x:v>
      </x:c>
      <x:c r="E174" s="1" t="n">
        <x:v>44</x:v>
      </x:c>
      <x:c r="F174" s="32" t="n">
        <x:v>47618</x:v>
      </x:c>
      <x:c r="G174" s="36" t="n">
        <x:v>0</x:v>
      </x:c>
      <x:c r="H174" s="36" t="n">
        <x:v>0</x:v>
      </x:c>
      <x:c r="I174" s="36" t="n">
        <x:v>0</x:v>
      </x:c>
      <x:c r="J174" s="36" t="n">
        <x:v>0</x:v>
      </x:c>
      <x:c r="K174" s="36" t="n">
        <x:v>0</x:v>
      </x:c>
      <x:c r="L174" s="36" t="n">
        <x:v>0</x:v>
      </x:c>
      <x:c r="M174" s="38" t="n">
        <x:v>3.6632443531827517</x:v>
      </x:c>
      <x:c r="N174" s="36" t="n">
        <x:v>0</x:v>
      </x:c>
    </x:row>
    <x:row r="175" ht="20" customHeight="1">
      <x:c r="C175" s="1" t="n">
        <x:v>1</x:v>
      </x:c>
      <x:c r="D175" s="1" t="n">
        <x:v>3</x:v>
      </x:c>
      <x:c r="E175" s="1" t="n">
        <x:v>45</x:v>
      </x:c>
      <x:c r="F175" s="32" t="n">
        <x:v>47651</x:v>
      </x:c>
      <x:c r="G175" s="36" t="n">
        <x:v>0</x:v>
      </x:c>
      <x:c r="H175" s="36" t="n">
        <x:v>0</x:v>
      </x:c>
      <x:c r="I175" s="36" t="n">
        <x:v>0</x:v>
      </x:c>
      <x:c r="J175" s="36" t="n">
        <x:v>0</x:v>
      </x:c>
      <x:c r="K175" s="36" t="n">
        <x:v>0</x:v>
      </x:c>
      <x:c r="L175" s="36" t="n">
        <x:v>0</x:v>
      </x:c>
      <x:c r="M175" s="38" t="n">
        <x:v>3.753593429158111</x:v>
      </x:c>
      <x:c r="N175" s="36" t="n">
        <x:v>0</x:v>
      </x:c>
    </x:row>
    <x:row r="176" ht="20" customHeight="1">
      <x:c r="C176" s="1" t="n">
        <x:v>1</x:v>
      </x:c>
      <x:c r="D176" s="1" t="n">
        <x:v>3</x:v>
      </x:c>
      <x:c r="E176" s="1" t="n">
        <x:v>46</x:v>
      </x:c>
      <x:c r="F176" s="32" t="n">
        <x:v>47679</x:v>
      </x:c>
      <x:c r="G176" s="36" t="n">
        <x:v>0</x:v>
      </x:c>
      <x:c r="H176" s="36" t="n">
        <x:v>0</x:v>
      </x:c>
      <x:c r="I176" s="36" t="n">
        <x:v>0</x:v>
      </x:c>
      <x:c r="J176" s="36" t="n">
        <x:v>0</x:v>
      </x:c>
      <x:c r="K176" s="36" t="n">
        <x:v>0</x:v>
      </x:c>
      <x:c r="L176" s="36" t="n">
        <x:v>0</x:v>
      </x:c>
      <x:c r="M176" s="38" t="n">
        <x:v>3.8302532511978096</x:v>
      </x:c>
      <x:c r="N176" s="36" t="n">
        <x:v>0</x:v>
      </x:c>
    </x:row>
    <x:row r="177" ht="20" customHeight="1">
      <x:c r="C177" s="1" t="n">
        <x:v>1</x:v>
      </x:c>
      <x:c r="D177" s="1" t="n">
        <x:v>3</x:v>
      </x:c>
      <x:c r="E177" s="1" t="n">
        <x:v>47</x:v>
      </x:c>
      <x:c r="F177" s="32" t="n">
        <x:v>47710</x:v>
      </x:c>
      <x:c r="G177" s="36" t="n">
        <x:v>0</x:v>
      </x:c>
      <x:c r="H177" s="36" t="n">
        <x:v>0</x:v>
      </x:c>
      <x:c r="I177" s="36" t="n">
        <x:v>0</x:v>
      </x:c>
      <x:c r="J177" s="36" t="n">
        <x:v>0</x:v>
      </x:c>
      <x:c r="K177" s="36" t="n">
        <x:v>0</x:v>
      </x:c>
      <x:c r="L177" s="36" t="n">
        <x:v>0</x:v>
      </x:c>
      <x:c r="M177" s="38" t="n">
        <x:v>3.915126625598905</x:v>
      </x:c>
      <x:c r="N177" s="36" t="n">
        <x:v>0</x:v>
      </x:c>
    </x:row>
    <x:row r="178" ht="20" customHeight="1">
      <x:c r="C178" s="1" t="n">
        <x:v>1</x:v>
      </x:c>
      <x:c r="D178" s="1" t="n">
        <x:v>3</x:v>
      </x:c>
      <x:c r="E178" s="1" t="n">
        <x:v>48</x:v>
      </x:c>
      <x:c r="F178" s="32" t="n">
        <x:v>47742</x:v>
      </x:c>
      <x:c r="G178" s="36" t="n">
        <x:v>0</x:v>
      </x:c>
      <x:c r="H178" s="36" t="n">
        <x:v>0</x:v>
      </x:c>
      <x:c r="I178" s="36" t="n">
        <x:v>0</x:v>
      </x:c>
      <x:c r="J178" s="36" t="n">
        <x:v>0</x:v>
      </x:c>
      <x:c r="K178" s="36" t="n">
        <x:v>0</x:v>
      </x:c>
      <x:c r="L178" s="36" t="n">
        <x:v>0</x:v>
      </x:c>
      <x:c r="M178" s="38" t="n">
        <x:v>4.002737850787132</x:v>
      </x:c>
      <x:c r="N178" s="36" t="n">
        <x:v>0</x:v>
      </x:c>
    </x:row>
    <x:row r="179" ht="20" customHeight="1">
      <x:c r="C179" s="1" t="n">
        <x:v>1</x:v>
      </x:c>
      <x:c r="D179" s="1" t="n">
        <x:v>3</x:v>
      </x:c>
      <x:c r="E179" s="1" t="n">
        <x:v>49</x:v>
      </x:c>
      <x:c r="F179" s="32" t="n">
        <x:v>47771</x:v>
      </x:c>
      <x:c r="G179" s="36" t="n">
        <x:v>0</x:v>
      </x:c>
      <x:c r="H179" s="36" t="n">
        <x:v>0</x:v>
      </x:c>
      <x:c r="I179" s="36" t="n">
        <x:v>0</x:v>
      </x:c>
      <x:c r="J179" s="36" t="n">
        <x:v>0</x:v>
      </x:c>
      <x:c r="K179" s="36" t="n">
        <x:v>0</x:v>
      </x:c>
      <x:c r="L179" s="36" t="n">
        <x:v>0</x:v>
      </x:c>
      <x:c r="M179" s="38" t="n">
        <x:v>4.082135523613963</x:v>
      </x:c>
      <x:c r="N179" s="36" t="n">
        <x:v>0</x:v>
      </x:c>
    </x:row>
    <x:row r="180" ht="20" customHeight="1">
      <x:c r="C180" s="1" t="n">
        <x:v>1</x:v>
      </x:c>
      <x:c r="D180" s="1" t="n">
        <x:v>3</x:v>
      </x:c>
      <x:c r="E180" s="1" t="n">
        <x:v>50</x:v>
      </x:c>
      <x:c r="F180" s="32" t="n">
        <x:v>47802</x:v>
      </x:c>
      <x:c r="G180" s="36" t="n">
        <x:v>0</x:v>
      </x:c>
      <x:c r="H180" s="36" t="n">
        <x:v>0</x:v>
      </x:c>
      <x:c r="I180" s="36" t="n">
        <x:v>0</x:v>
      </x:c>
      <x:c r="J180" s="36" t="n">
        <x:v>0</x:v>
      </x:c>
      <x:c r="K180" s="36" t="n">
        <x:v>0</x:v>
      </x:c>
      <x:c r="L180" s="36" t="n">
        <x:v>0</x:v>
      </x:c>
      <x:c r="M180" s="38" t="n">
        <x:v>4.167008898015058</x:v>
      </x:c>
      <x:c r="N180" s="36" t="n">
        <x:v>0</x:v>
      </x:c>
    </x:row>
    <x:row r="181" ht="20" customHeight="1">
      <x:c r="C181" s="1" t="n">
        <x:v>1</x:v>
      </x:c>
      <x:c r="D181" s="1" t="n">
        <x:v>3</x:v>
      </x:c>
      <x:c r="E181" s="1" t="n">
        <x:v>51</x:v>
      </x:c>
      <x:c r="F181" s="32" t="n">
        <x:v>47833</x:v>
      </x:c>
      <x:c r="G181" s="36" t="n">
        <x:v>0</x:v>
      </x:c>
      <x:c r="H181" s="36" t="n">
        <x:v>0</x:v>
      </x:c>
      <x:c r="I181" s="36" t="n">
        <x:v>0</x:v>
      </x:c>
      <x:c r="J181" s="36" t="n">
        <x:v>0</x:v>
      </x:c>
      <x:c r="K181" s="36" t="n">
        <x:v>0</x:v>
      </x:c>
      <x:c r="L181" s="36" t="n">
        <x:v>0</x:v>
      </x:c>
      <x:c r="M181" s="38" t="n">
        <x:v>4.251882272416153</x:v>
      </x:c>
      <x:c r="N181" s="36" t="n">
        <x:v>0</x:v>
      </x:c>
    </x:row>
    <x:row r="182" ht="20" customHeight="1">
      <x:c r="C182" s="1" t="n">
        <x:v>1</x:v>
      </x:c>
      <x:c r="D182" s="1" t="n">
        <x:v>3</x:v>
      </x:c>
      <x:c r="E182" s="1" t="n">
        <x:v>52</x:v>
      </x:c>
      <x:c r="F182" s="32" t="n">
        <x:v>47863</x:v>
      </x:c>
      <x:c r="G182" s="36" t="n">
        <x:v>0</x:v>
      </x:c>
      <x:c r="H182" s="36" t="n">
        <x:v>0</x:v>
      </x:c>
      <x:c r="I182" s="36" t="n">
        <x:v>0</x:v>
      </x:c>
      <x:c r="J182" s="36" t="n">
        <x:v>0</x:v>
      </x:c>
      <x:c r="K182" s="36" t="n">
        <x:v>0</x:v>
      </x:c>
      <x:c r="L182" s="36" t="n">
        <x:v>0</x:v>
      </x:c>
      <x:c r="M182" s="38" t="n">
        <x:v>4.334017796030117</x:v>
      </x:c>
      <x:c r="N182" s="36" t="n">
        <x:v>0</x:v>
      </x:c>
    </x:row>
    <x:row r="183" ht="20" customHeight="1">
      <x:c r="C183" s="1" t="n">
        <x:v>1</x:v>
      </x:c>
      <x:c r="D183" s="1" t="n">
        <x:v>3</x:v>
      </x:c>
      <x:c r="E183" s="1" t="n">
        <x:v>53</x:v>
      </x:c>
      <x:c r="F183" s="32" t="n">
        <x:v>47897</x:v>
      </x:c>
      <x:c r="G183" s="36" t="n">
        <x:v>0</x:v>
      </x:c>
      <x:c r="H183" s="36" t="n">
        <x:v>0</x:v>
      </x:c>
      <x:c r="I183" s="36" t="n">
        <x:v>0</x:v>
      </x:c>
      <x:c r="J183" s="36" t="n">
        <x:v>0</x:v>
      </x:c>
      <x:c r="K183" s="36" t="n">
        <x:v>0</x:v>
      </x:c>
      <x:c r="L183" s="36" t="n">
        <x:v>0</x:v>
      </x:c>
      <x:c r="M183" s="38" t="n">
        <x:v>4.427104722792608</x:v>
      </x:c>
      <x:c r="N183" s="36" t="n">
        <x:v>0</x:v>
      </x:c>
    </x:row>
    <x:row r="184" ht="20" customHeight="1">
      <x:c r="C184" s="1" t="n">
        <x:v>1</x:v>
      </x:c>
      <x:c r="D184" s="1" t="n">
        <x:v>3</x:v>
      </x:c>
      <x:c r="E184" s="1" t="n">
        <x:v>54</x:v>
      </x:c>
      <x:c r="F184" s="32" t="n">
        <x:v>47924</x:v>
      </x:c>
      <x:c r="G184" s="36" t="n">
        <x:v>0</x:v>
      </x:c>
      <x:c r="H184" s="36" t="n">
        <x:v>0</x:v>
      </x:c>
      <x:c r="I184" s="36" t="n">
        <x:v>0</x:v>
      </x:c>
      <x:c r="J184" s="36" t="n">
        <x:v>0</x:v>
      </x:c>
      <x:c r="K184" s="36" t="n">
        <x:v>0</x:v>
      </x:c>
      <x:c r="L184" s="36" t="n">
        <x:v>0</x:v>
      </x:c>
      <x:c r="M184" s="38" t="n">
        <x:v>4.501026694045175</x:v>
      </x:c>
      <x:c r="N184" s="36" t="n">
        <x:v>0</x:v>
      </x:c>
    </x:row>
    <x:row r="185" ht="20" customHeight="1">
      <x:c r="C185" s="1" t="n">
        <x:v>1</x:v>
      </x:c>
      <x:c r="D185" s="1" t="n">
        <x:v>3</x:v>
      </x:c>
      <x:c r="E185" s="1" t="n">
        <x:v>55</x:v>
      </x:c>
      <x:c r="F185" s="32" t="n">
        <x:v>47953</x:v>
      </x:c>
      <x:c r="G185" s="36" t="n">
        <x:v>0</x:v>
      </x:c>
      <x:c r="H185" s="36" t="n">
        <x:v>0</x:v>
      </x:c>
      <x:c r="I185" s="36" t="n">
        <x:v>0</x:v>
      </x:c>
      <x:c r="J185" s="36" t="n">
        <x:v>0</x:v>
      </x:c>
      <x:c r="K185" s="36" t="n">
        <x:v>0</x:v>
      </x:c>
      <x:c r="L185" s="36" t="n">
        <x:v>0</x:v>
      </x:c>
      <x:c r="M185" s="38" t="n">
        <x:v>4.5804243668720055</x:v>
      </x:c>
      <x:c r="N185" s="36" t="n">
        <x:v>0</x:v>
      </x:c>
    </x:row>
    <x:row r="186" ht="20" customHeight="1">
      <x:c r="C186" s="1" t="n">
        <x:v>1</x:v>
      </x:c>
      <x:c r="D186" s="1" t="n">
        <x:v>3</x:v>
      </x:c>
      <x:c r="E186" s="1" t="n">
        <x:v>56</x:v>
      </x:c>
      <x:c r="F186" s="32" t="n">
        <x:v>47983</x:v>
      </x:c>
      <x:c r="G186" s="36" t="n">
        <x:v>0</x:v>
      </x:c>
      <x:c r="H186" s="36" t="n">
        <x:v>0</x:v>
      </x:c>
      <x:c r="I186" s="36" t="n">
        <x:v>0</x:v>
      </x:c>
      <x:c r="J186" s="36" t="n">
        <x:v>0</x:v>
      </x:c>
      <x:c r="K186" s="36" t="n">
        <x:v>0</x:v>
      </x:c>
      <x:c r="L186" s="36" t="n">
        <x:v>0</x:v>
      </x:c>
      <x:c r="M186" s="38" t="n">
        <x:v>4.662559890485968</x:v>
      </x:c>
      <x:c r="N186" s="36" t="n">
        <x:v>0</x:v>
      </x:c>
    </x:row>
    <x:row r="187" ht="20" customHeight="1">
      <x:c r="C187" s="1" t="n">
        <x:v>1</x:v>
      </x:c>
      <x:c r="D187" s="1" t="n">
        <x:v>3</x:v>
      </x:c>
      <x:c r="E187" s="1" t="n">
        <x:v>57</x:v>
      </x:c>
      <x:c r="F187" s="32" t="n">
        <x:v>48015</x:v>
      </x:c>
      <x:c r="G187" s="36" t="n">
        <x:v>0</x:v>
      </x:c>
      <x:c r="H187" s="36" t="n">
        <x:v>0</x:v>
      </x:c>
      <x:c r="I187" s="36" t="n">
        <x:v>0</x:v>
      </x:c>
      <x:c r="J187" s="36" t="n">
        <x:v>0</x:v>
      </x:c>
      <x:c r="K187" s="36" t="n">
        <x:v>0</x:v>
      </x:c>
      <x:c r="L187" s="36" t="n">
        <x:v>0</x:v>
      </x:c>
      <x:c r="M187" s="38" t="n">
        <x:v>4.7501711156741955</x:v>
      </x:c>
      <x:c r="N187" s="36" t="n">
        <x:v>0</x:v>
      </x:c>
    </x:row>
    <x:row r="188" ht="20" customHeight="1">
      <x:c r="C188" s="1" t="n">
        <x:v>1</x:v>
      </x:c>
      <x:c r="D188" s="1" t="n">
        <x:v>3</x:v>
      </x:c>
      <x:c r="E188" s="1" t="n">
        <x:v>58</x:v>
      </x:c>
      <x:c r="F188" s="32" t="n">
        <x:v>48044</x:v>
      </x:c>
      <x:c r="G188" s="36" t="n">
        <x:v>0</x:v>
      </x:c>
      <x:c r="H188" s="36" t="n">
        <x:v>0</x:v>
      </x:c>
      <x:c r="I188" s="36" t="n">
        <x:v>0</x:v>
      </x:c>
      <x:c r="J188" s="36" t="n">
        <x:v>0</x:v>
      </x:c>
      <x:c r="K188" s="36" t="n">
        <x:v>0</x:v>
      </x:c>
      <x:c r="L188" s="36" t="n">
        <x:v>0</x:v>
      </x:c>
      <x:c r="M188" s="38" t="n">
        <x:v>4.829568788501026</x:v>
      </x:c>
      <x:c r="N188" s="36" t="n">
        <x:v>0</x:v>
      </x:c>
    </x:row>
    <x:row r="189" ht="20" customHeight="1">
      <x:c r="C189" s="1" t="n">
        <x:v>1</x:v>
      </x:c>
      <x:c r="D189" s="1" t="n">
        <x:v>3</x:v>
      </x:c>
      <x:c r="E189" s="1" t="n">
        <x:v>59</x:v>
      </x:c>
      <x:c r="F189" s="32" t="n">
        <x:v>48075</x:v>
      </x:c>
      <x:c r="G189" s="36" t="n">
        <x:v>0</x:v>
      </x:c>
      <x:c r="H189" s="36" t="n">
        <x:v>0</x:v>
      </x:c>
      <x:c r="I189" s="36" t="n">
        <x:v>0</x:v>
      </x:c>
      <x:c r="J189" s="36" t="n">
        <x:v>0</x:v>
      </x:c>
      <x:c r="K189" s="36" t="n">
        <x:v>0</x:v>
      </x:c>
      <x:c r="L189" s="36" t="n">
        <x:v>0</x:v>
      </x:c>
      <x:c r="M189" s="38" t="n">
        <x:v>4.914442162902122</x:v>
      </x:c>
      <x:c r="N189" s="36" t="n">
        <x:v>0</x:v>
      </x:c>
    </x:row>
    <x:row r="190" ht="20" customHeight="1">
      <x:c r="C190" s="1" t="n">
        <x:v>1</x:v>
      </x:c>
      <x:c r="D190" s="1" t="n">
        <x:v>3</x:v>
      </x:c>
      <x:c r="E190" s="1" t="n">
        <x:v>60</x:v>
      </x:c>
      <x:c r="F190" s="32" t="n">
        <x:v>48106</x:v>
      </x:c>
      <x:c r="G190" s="36" t="n">
        <x:v>0</x:v>
      </x:c>
      <x:c r="H190" s="36" t="n">
        <x:v>0</x:v>
      </x:c>
      <x:c r="I190" s="36" t="n">
        <x:v>0</x:v>
      </x:c>
      <x:c r="J190" s="36" t="n">
        <x:v>0</x:v>
      </x:c>
      <x:c r="K190" s="36" t="n">
        <x:v>0</x:v>
      </x:c>
      <x:c r="L190" s="36" t="n">
        <x:v>0</x:v>
      </x:c>
      <x:c r="M190" s="38" t="n">
        <x:v>4.999315537303217</x:v>
      </x:c>
      <x:c r="N190" s="36" t="n">
        <x:v>0</x:v>
      </x:c>
    </x:row>
    <x:row r="191" ht="20" customHeight="1">
      <x:c r="C191" s="1" t="n">
        <x:v>1</x:v>
      </x:c>
      <x:c r="D191" s="1" t="n">
        <x:v>3</x:v>
      </x:c>
      <x:c r="E191" s="1" t="n">
        <x:v>61</x:v>
      </x:c>
      <x:c r="F191" s="32" t="n">
        <x:v>48136</x:v>
      </x:c>
      <x:c r="G191" s="36" t="n">
        <x:v>0</x:v>
      </x:c>
      <x:c r="H191" s="36" t="n">
        <x:v>0</x:v>
      </x:c>
      <x:c r="I191" s="36" t="n">
        <x:v>0</x:v>
      </x:c>
      <x:c r="J191" s="36" t="n">
        <x:v>0</x:v>
      </x:c>
      <x:c r="K191" s="36" t="n">
        <x:v>0</x:v>
      </x:c>
      <x:c r="L191" s="36" t="n">
        <x:v>0</x:v>
      </x:c>
      <x:c r="M191" s="38" t="n">
        <x:v>5.08145106091718</x:v>
      </x:c>
      <x:c r="N191" s="36" t="n">
        <x:v>0</x:v>
      </x:c>
    </x:row>
    <x:row r="192" ht="20" customHeight="1">
      <x:c r="C192" s="1" t="n">
        <x:v>1</x:v>
      </x:c>
      <x:c r="D192" s="1" t="n">
        <x:v>4</x:v>
      </x:c>
      <x:c r="E192" s="1" t="n">
        <x:v>1</x:v>
      </x:c>
      <x:c r="F192" s="32" t="n">
        <x:v>46310</x:v>
      </x:c>
      <x:c r="G192" s="36" t="n">
        <x:v>452100000</x:v>
      </x:c>
      <x:c r="H192" s="36" t="n">
        <x:v>1687840</x:v>
      </x:c>
      <x:c r="I192" s="36" t="n">
        <x:v>0</x:v>
      </x:c>
      <x:c r="J192" s="36" t="n">
        <x:v>0</x:v>
      </x:c>
      <x:c r="K192" s="36" t="n">
        <x:v>452100000</x:v>
      </x:c>
      <x:c r="L192" s="36" t="n">
        <x:v>0</x:v>
      </x:c>
      <x:c r="M192" s="38" t="n">
        <x:v>0.08213552361396304</x:v>
      </x:c>
      <x:c r="N192" s="36" t="n">
        <x:v>452100000</x:v>
      </x:c>
    </x:row>
    <x:row r="193" ht="20" customHeight="1">
      <x:c r="C193" s="1" t="n">
        <x:v>1</x:v>
      </x:c>
      <x:c r="D193" s="1" t="n">
        <x:v>4</x:v>
      </x:c>
      <x:c r="E193" s="1" t="n">
        <x:v>2</x:v>
      </x:c>
      <x:c r="F193" s="32" t="n">
        <x:v>46342</x:v>
      </x:c>
      <x:c r="G193" s="36" t="n">
        <x:v>452100000</x:v>
      </x:c>
      <x:c r="H193" s="36" t="n">
        <x:v>1687840</x:v>
      </x:c>
      <x:c r="I193" s="36" t="n">
        <x:v>0</x:v>
      </x:c>
      <x:c r="J193" s="36" t="n">
        <x:v>0</x:v>
      </x:c>
      <x:c r="K193" s="36" t="n">
        <x:v>452100000</x:v>
      </x:c>
      <x:c r="L193" s="36" t="n">
        <x:v>0</x:v>
      </x:c>
      <x:c r="M193" s="38" t="n">
        <x:v>0.1697467488021903</x:v>
      </x:c>
      <x:c r="N193" s="36" t="n">
        <x:v>452100000</x:v>
      </x:c>
    </x:row>
    <x:row r="194" ht="20" customHeight="1">
      <x:c r="C194" s="1" t="n">
        <x:v>1</x:v>
      </x:c>
      <x:c r="D194" s="1" t="n">
        <x:v>4</x:v>
      </x:c>
      <x:c r="E194" s="1" t="n">
        <x:v>3</x:v>
      </x:c>
      <x:c r="F194" s="32" t="n">
        <x:v>46371</x:v>
      </x:c>
      <x:c r="G194" s="36" t="n">
        <x:v>452100000</x:v>
      </x:c>
      <x:c r="H194" s="36" t="n">
        <x:v>1687840</x:v>
      </x:c>
      <x:c r="I194" s="36" t="n">
        <x:v>0</x:v>
      </x:c>
      <x:c r="J194" s="36" t="n">
        <x:v>0</x:v>
      </x:c>
      <x:c r="K194" s="36" t="n">
        <x:v>452100000</x:v>
      </x:c>
      <x:c r="L194" s="36" t="n">
        <x:v>0</x:v>
      </x:c>
      <x:c r="M194" s="38" t="n">
        <x:v>0.24914442162902123</x:v>
      </x:c>
      <x:c r="N194" s="36" t="n">
        <x:v>452100000</x:v>
      </x:c>
    </x:row>
    <x:row r="195" ht="20" customHeight="1">
      <x:c r="C195" s="1" t="n">
        <x:v>1</x:v>
      </x:c>
      <x:c r="D195" s="1" t="n">
        <x:v>4</x:v>
      </x:c>
      <x:c r="E195" s="1" t="n">
        <x:v>4</x:v>
      </x:c>
      <x:c r="F195" s="32" t="n">
        <x:v>46402</x:v>
      </x:c>
      <x:c r="G195" s="36" t="n">
        <x:v>452100000</x:v>
      </x:c>
      <x:c r="H195" s="36" t="n">
        <x:v>1687840</x:v>
      </x:c>
      <x:c r="I195" s="36" t="n">
        <x:v>0</x:v>
      </x:c>
      <x:c r="J195" s="36" t="n">
        <x:v>0</x:v>
      </x:c>
      <x:c r="K195" s="36" t="n">
        <x:v>452100000</x:v>
      </x:c>
      <x:c r="L195" s="36" t="n">
        <x:v>0</x:v>
      </x:c>
      <x:c r="M195" s="38" t="n">
        <x:v>0.33401779603011633</x:v>
      </x:c>
      <x:c r="N195" s="36" t="n">
        <x:v>452100000</x:v>
      </x:c>
    </x:row>
    <x:row r="196" ht="20" customHeight="1">
      <x:c r="C196" s="1" t="n">
        <x:v>1</x:v>
      </x:c>
      <x:c r="D196" s="1" t="n">
        <x:v>4</x:v>
      </x:c>
      <x:c r="E196" s="1" t="n">
        <x:v>5</x:v>
      </x:c>
      <x:c r="F196" s="32" t="n">
        <x:v>46434</x:v>
      </x:c>
      <x:c r="G196" s="36" t="n">
        <x:v>452100000</x:v>
      </x:c>
      <x:c r="H196" s="36" t="n">
        <x:v>1687840</x:v>
      </x:c>
      <x:c r="I196" s="36" t="n">
        <x:v>0</x:v>
      </x:c>
      <x:c r="J196" s="36" t="n">
        <x:v>0</x:v>
      </x:c>
      <x:c r="K196" s="36" t="n">
        <x:v>452100000</x:v>
      </x:c>
      <x:c r="L196" s="36" t="n">
        <x:v>0</x:v>
      </x:c>
      <x:c r="M196" s="38" t="n">
        <x:v>0.4216290212183436</x:v>
      </x:c>
      <x:c r="N196" s="36" t="n">
        <x:v>452100000</x:v>
      </x:c>
    </x:row>
    <x:row r="197" ht="20" customHeight="1">
      <x:c r="C197" s="1" t="n">
        <x:v>1</x:v>
      </x:c>
      <x:c r="D197" s="1" t="n">
        <x:v>4</x:v>
      </x:c>
      <x:c r="E197" s="1" t="n">
        <x:v>6</x:v>
      </x:c>
      <x:c r="F197" s="32" t="n">
        <x:v>46461</x:v>
      </x:c>
      <x:c r="G197" s="36" t="n">
        <x:v>452100000</x:v>
      </x:c>
      <x:c r="H197" s="36" t="n">
        <x:v>1687840</x:v>
      </x:c>
      <x:c r="I197" s="36" t="n">
        <x:v>17083642.76</x:v>
      </x:c>
      <x:c r="J197" s="36" t="n">
        <x:v>0</x:v>
      </x:c>
      <x:c r="K197" s="36" t="n">
        <x:v>435016357.24</x:v>
      </x:c>
      <x:c r="L197" s="36" t="n">
        <x:v>0</x:v>
      </x:c>
      <x:c r="M197" s="38" t="n">
        <x:v>0.49555099247091033</x:v>
      </x:c>
      <x:c r="N197" s="36" t="n">
        <x:v>435016357.24</x:v>
      </x:c>
    </x:row>
    <x:row r="198" ht="20" customHeight="1">
      <x:c r="C198" s="1" t="n">
        <x:v>1</x:v>
      </x:c>
      <x:c r="D198" s="1" t="n">
        <x:v>4</x:v>
      </x:c>
      <x:c r="E198" s="1" t="n">
        <x:v>7</x:v>
      </x:c>
      <x:c r="F198" s="32" t="n">
        <x:v>46492</x:v>
      </x:c>
      <x:c r="G198" s="36" t="n">
        <x:v>435016357.24</x:v>
      </x:c>
      <x:c r="H198" s="36" t="n">
        <x:v>1624061.07</x:v>
      </x:c>
      <x:c r="I198" s="36" t="n">
        <x:v>22196209.78</x:v>
      </x:c>
      <x:c r="J198" s="36" t="n">
        <x:v>0</x:v>
      </x:c>
      <x:c r="K198" s="36" t="n">
        <x:v>412820147.46</x:v>
      </x:c>
      <x:c r="L198" s="36" t="n">
        <x:v>0</x:v>
      </x:c>
      <x:c r="M198" s="38" t="n">
        <x:v>0.5804243668720055</x:v>
      </x:c>
      <x:c r="N198" s="36" t="n">
        <x:v>412820147.46</x:v>
      </x:c>
    </x:row>
    <x:row r="199" ht="20" customHeight="1">
      <x:c r="C199" s="1" t="n">
        <x:v>1</x:v>
      </x:c>
      <x:c r="D199" s="1" t="n">
        <x:v>4</x:v>
      </x:c>
      <x:c r="E199" s="1" t="n">
        <x:v>8</x:v>
      </x:c>
      <x:c r="F199" s="32" t="n">
        <x:v>46524</x:v>
      </x:c>
      <x:c r="G199" s="36" t="n">
        <x:v>412820147.46</x:v>
      </x:c>
      <x:c r="H199" s="36" t="n">
        <x:v>1541195.22</x:v>
      </x:c>
      <x:c r="I199" s="36" t="n">
        <x:v>21734400.22</x:v>
      </x:c>
      <x:c r="J199" s="36" t="n">
        <x:v>0</x:v>
      </x:c>
      <x:c r="K199" s="36" t="n">
        <x:v>391085747.24</x:v>
      </x:c>
      <x:c r="L199" s="36" t="n">
        <x:v>0</x:v>
      </x:c>
      <x:c r="M199" s="38" t="n">
        <x:v>0.6680355920602327</x:v>
      </x:c>
      <x:c r="N199" s="36" t="n">
        <x:v>391085747.24</x:v>
      </x:c>
    </x:row>
    <x:row r="200" ht="20" customHeight="1">
      <x:c r="C200" s="1" t="n">
        <x:v>1</x:v>
      </x:c>
      <x:c r="D200" s="1" t="n">
        <x:v>4</x:v>
      </x:c>
      <x:c r="E200" s="1" t="n">
        <x:v>9</x:v>
      </x:c>
      <x:c r="F200" s="32" t="n">
        <x:v>46553</x:v>
      </x:c>
      <x:c r="G200" s="36" t="n">
        <x:v>391085747.24</x:v>
      </x:c>
      <x:c r="H200" s="36" t="n">
        <x:v>1460053.46</x:v>
      </x:c>
      <x:c r="I200" s="36" t="n">
        <x:v>21278028.13</x:v>
      </x:c>
      <x:c r="J200" s="36" t="n">
        <x:v>0</x:v>
      </x:c>
      <x:c r="K200" s="36" t="n">
        <x:v>369807719.11</x:v>
      </x:c>
      <x:c r="L200" s="36" t="n">
        <x:v>0</x:v>
      </x:c>
      <x:c r="M200" s="38" t="n">
        <x:v>0.7474332648870636</x:v>
      </x:c>
      <x:c r="N200" s="36" t="n">
        <x:v>369807719.11</x:v>
      </x:c>
    </x:row>
    <x:row r="201" ht="20" customHeight="1">
      <x:c r="C201" s="1" t="n">
        <x:v>1</x:v>
      </x:c>
      <x:c r="D201" s="1" t="n">
        <x:v>4</x:v>
      </x:c>
      <x:c r="E201" s="1" t="n">
        <x:v>10</x:v>
      </x:c>
      <x:c r="F201" s="32" t="n">
        <x:v>46583</x:v>
      </x:c>
      <x:c r="G201" s="36" t="n">
        <x:v>369807719.11</x:v>
      </x:c>
      <x:c r="H201" s="36" t="n">
        <x:v>1380615.48</x:v>
      </x:c>
      <x:c r="I201" s="36" t="n">
        <x:v>20856144.29</x:v>
      </x:c>
      <x:c r="J201" s="36" t="n">
        <x:v>0</x:v>
      </x:c>
      <x:c r="K201" s="36" t="n">
        <x:v>348951574.82</x:v>
      </x:c>
      <x:c r="L201" s="36" t="n">
        <x:v>0</x:v>
      </x:c>
      <x:c r="M201" s="38" t="n">
        <x:v>0.8295687885010267</x:v>
      </x:c>
      <x:c r="N201" s="36" t="n">
        <x:v>348951574.82</x:v>
      </x:c>
    </x:row>
    <x:row r="202" ht="20" customHeight="1">
      <x:c r="C202" s="1" t="n">
        <x:v>1</x:v>
      </x:c>
      <x:c r="D202" s="1" t="n">
        <x:v>4</x:v>
      </x:c>
      <x:c r="E202" s="1" t="n">
        <x:v>11</x:v>
      </x:c>
      <x:c r="F202" s="32" t="n">
        <x:v>46615</x:v>
      </x:c>
      <x:c r="G202" s="36" t="n">
        <x:v>348951574.82</x:v>
      </x:c>
      <x:c r="H202" s="36" t="n">
        <x:v>1302752.55</x:v>
      </x:c>
      <x:c r="I202" s="36" t="n">
        <x:v>20437559.21</x:v>
      </x:c>
      <x:c r="J202" s="36" t="n">
        <x:v>0</x:v>
      </x:c>
      <x:c r="K202" s="36" t="n">
        <x:v>328514015.61</x:v>
      </x:c>
      <x:c r="L202" s="36" t="n">
        <x:v>0</x:v>
      </x:c>
      <x:c r="M202" s="38" t="n">
        <x:v>0.917180013689254</x:v>
      </x:c>
      <x:c r="N202" s="36" t="n">
        <x:v>328514015.61</x:v>
      </x:c>
    </x:row>
    <x:row r="203" ht="20" customHeight="1">
      <x:c r="C203" s="1" t="n">
        <x:v>1</x:v>
      </x:c>
      <x:c r="D203" s="1" t="n">
        <x:v>4</x:v>
      </x:c>
      <x:c r="E203" s="1" t="n">
        <x:v>12</x:v>
      </x:c>
      <x:c r="F203" s="32" t="n">
        <x:v>46645</x:v>
      </x:c>
      <x:c r="G203" s="36" t="n">
        <x:v>328514015.61</x:v>
      </x:c>
      <x:c r="H203" s="36" t="n">
        <x:v>1226452.32</x:v>
      </x:c>
      <x:c r="I203" s="36" t="n">
        <x:v>20034528.29</x:v>
      </x:c>
      <x:c r="J203" s="36" t="n">
        <x:v>0</x:v>
      </x:c>
      <x:c r="K203" s="36" t="n">
        <x:v>308479487.32</x:v>
      </x:c>
      <x:c r="L203" s="36" t="n">
        <x:v>0</x:v>
      </x:c>
      <x:c r="M203" s="38" t="n">
        <x:v>0.999315537303217</x:v>
      </x:c>
      <x:c r="N203" s="36" t="n">
        <x:v>308479487.32</x:v>
      </x:c>
    </x:row>
    <x:row r="204" ht="20" customHeight="1">
      <x:c r="C204" s="1" t="n">
        <x:v>1</x:v>
      </x:c>
      <x:c r="D204" s="1" t="n">
        <x:v>4</x:v>
      </x:c>
      <x:c r="E204" s="1" t="n">
        <x:v>13</x:v>
      </x:c>
      <x:c r="F204" s="32" t="n">
        <x:v>46675</x:v>
      </x:c>
      <x:c r="G204" s="36" t="n">
        <x:v>308479487.32</x:v>
      </x:c>
      <x:c r="H204" s="36" t="n">
        <x:v>1151656.75</x:v>
      </x:c>
      <x:c r="I204" s="36" t="n">
        <x:v>19632801.58</x:v>
      </x:c>
      <x:c r="J204" s="36" t="n">
        <x:v>0</x:v>
      </x:c>
      <x:c r="K204" s="36" t="n">
        <x:v>288846685.74</x:v>
      </x:c>
      <x:c r="L204" s="36" t="n">
        <x:v>0</x:v>
      </x:c>
      <x:c r="M204" s="38" t="n">
        <x:v>1.08145106091718</x:v>
      </x:c>
      <x:c r="N204" s="36" t="n">
        <x:v>288846685.74</x:v>
      </x:c>
    </x:row>
    <x:row r="205" ht="20" customHeight="1">
      <x:c r="C205" s="1" t="n">
        <x:v>1</x:v>
      </x:c>
      <x:c r="D205" s="1" t="n">
        <x:v>4</x:v>
      </x:c>
      <x:c r="E205" s="1" t="n">
        <x:v>14</x:v>
      </x:c>
      <x:c r="F205" s="32" t="n">
        <x:v>46706</x:v>
      </x:c>
      <x:c r="G205" s="36" t="n">
        <x:v>288846685.74</x:v>
      </x:c>
      <x:c r="H205" s="36" t="n">
        <x:v>1078360.96</x:v>
      </x:c>
      <x:c r="I205" s="36" t="n">
        <x:v>19230175.38</x:v>
      </x:c>
      <x:c r="J205" s="36" t="n">
        <x:v>0</x:v>
      </x:c>
      <x:c r="K205" s="36" t="n">
        <x:v>269616510.36</x:v>
      </x:c>
      <x:c r="L205" s="36" t="n">
        <x:v>0</x:v>
      </x:c>
      <x:c r="M205" s="38" t="n">
        <x:v>1.1663244353182751</x:v>
      </x:c>
      <x:c r="N205" s="36" t="n">
        <x:v>269616510.36</x:v>
      </x:c>
    </x:row>
    <x:row r="206" ht="20" customHeight="1">
      <x:c r="C206" s="1" t="n">
        <x:v>1</x:v>
      </x:c>
      <x:c r="D206" s="1" t="n">
        <x:v>4</x:v>
      </x:c>
      <x:c r="E206" s="1" t="n">
        <x:v>15</x:v>
      </x:c>
      <x:c r="F206" s="32" t="n">
        <x:v>46736</x:v>
      </x:c>
      <x:c r="G206" s="36" t="n">
        <x:v>269616510.36</x:v>
      </x:c>
      <x:c r="H206" s="36" t="n">
        <x:v>1006568.31</x:v>
      </x:c>
      <x:c r="I206" s="36" t="n">
        <x:v>18836810.43</x:v>
      </x:c>
      <x:c r="J206" s="36" t="n">
        <x:v>0</x:v>
      </x:c>
      <x:c r="K206" s="36" t="n">
        <x:v>250779699.93</x:v>
      </x:c>
      <x:c r="L206" s="36" t="n">
        <x:v>0</x:v>
      </x:c>
      <x:c r="M206" s="38" t="n">
        <x:v>1.2484599589322383</x:v>
      </x:c>
      <x:c r="N206" s="36" t="n">
        <x:v>250779699.93</x:v>
      </x:c>
    </x:row>
    <x:row r="207" ht="20" customHeight="1">
      <x:c r="C207" s="1" t="n">
        <x:v>1</x:v>
      </x:c>
      <x:c r="D207" s="1" t="n">
        <x:v>4</x:v>
      </x:c>
      <x:c r="E207" s="1" t="n">
        <x:v>16</x:v>
      </x:c>
      <x:c r="F207" s="32" t="n">
        <x:v>46770</x:v>
      </x:c>
      <x:c r="G207" s="36" t="n">
        <x:v>250779699.93</x:v>
      </x:c>
      <x:c r="H207" s="36" t="n">
        <x:v>936244.21</x:v>
      </x:c>
      <x:c r="I207" s="36" t="n">
        <x:v>18442963.62</x:v>
      </x:c>
      <x:c r="J207" s="36" t="n">
        <x:v>0</x:v>
      </x:c>
      <x:c r="K207" s="36" t="n">
        <x:v>232336736.31</x:v>
      </x:c>
      <x:c r="L207" s="36" t="n">
        <x:v>0</x:v>
      </x:c>
      <x:c r="M207" s="38" t="n">
        <x:v>1.3415468856947297</x:v>
      </x:c>
      <x:c r="N207" s="36" t="n">
        <x:v>232336736.31</x:v>
      </x:c>
    </x:row>
    <x:row r="208" ht="20" customHeight="1">
      <x:c r="C208" s="1" t="n">
        <x:v>1</x:v>
      </x:c>
      <x:c r="D208" s="1" t="n">
        <x:v>4</x:v>
      </x:c>
      <x:c r="E208" s="1" t="n">
        <x:v>17</x:v>
      </x:c>
      <x:c r="F208" s="32" t="n">
        <x:v>46798</x:v>
      </x:c>
      <x:c r="G208" s="36" t="n">
        <x:v>232336736.31</x:v>
      </x:c>
      <x:c r="H208" s="36" t="n">
        <x:v>867390.48</x:v>
      </x:c>
      <x:c r="I208" s="36" t="n">
        <x:v>18042470.49</x:v>
      </x:c>
      <x:c r="J208" s="36" t="n">
        <x:v>0</x:v>
      </x:c>
      <x:c r="K208" s="36" t="n">
        <x:v>214294265.82</x:v>
      </x:c>
      <x:c r="L208" s="36" t="n">
        <x:v>0</x:v>
      </x:c>
      <x:c r="M208" s="38" t="n">
        <x:v>1.4182067077344285</x:v>
      </x:c>
      <x:c r="N208" s="36" t="n">
        <x:v>214294265.82</x:v>
      </x:c>
    </x:row>
    <x:row r="209" ht="20" customHeight="1">
      <x:c r="C209" s="1" t="n">
        <x:v>1</x:v>
      </x:c>
      <x:c r="D209" s="1" t="n">
        <x:v>4</x:v>
      </x:c>
      <x:c r="E209" s="1" t="n">
        <x:v>18</x:v>
      </x:c>
      <x:c r="F209" s="32" t="n">
        <x:v>46827</x:v>
      </x:c>
      <x:c r="G209" s="36" t="n">
        <x:v>214294265.82</x:v>
      </x:c>
      <x:c r="H209" s="36" t="n">
        <x:v>800031.93</x:v>
      </x:c>
      <x:c r="I209" s="36" t="n">
        <x:v>17653347.87</x:v>
      </x:c>
      <x:c r="J209" s="36" t="n">
        <x:v>0</x:v>
      </x:c>
      <x:c r="K209" s="36" t="n">
        <x:v>196640917.95</x:v>
      </x:c>
      <x:c r="L209" s="36" t="n">
        <x:v>0</x:v>
      </x:c>
      <x:c r="M209" s="38" t="n">
        <x:v>1.4976043805612593</x:v>
      </x:c>
      <x:c r="N209" s="36" t="n">
        <x:v>196640917.95</x:v>
      </x:c>
    </x:row>
    <x:row r="210" ht="20" customHeight="1">
      <x:c r="C210" s="1" t="n">
        <x:v>1</x:v>
      </x:c>
      <x:c r="D210" s="1" t="n">
        <x:v>4</x:v>
      </x:c>
      <x:c r="E210" s="1" t="n">
        <x:v>19</x:v>
      </x:c>
      <x:c r="F210" s="32" t="n">
        <x:v>46860</x:v>
      </x:c>
      <x:c r="G210" s="36" t="n">
        <x:v>196640917.95</x:v>
      </x:c>
      <x:c r="H210" s="36" t="n">
        <x:v>734126.09</x:v>
      </x:c>
      <x:c r="I210" s="36" t="n">
        <x:v>17259326.21</x:v>
      </x:c>
      <x:c r="J210" s="36" t="n">
        <x:v>0</x:v>
      </x:c>
      <x:c r="K210" s="36" t="n">
        <x:v>179381591.74</x:v>
      </x:c>
      <x:c r="L210" s="36" t="n">
        <x:v>0</x:v>
      </x:c>
      <x:c r="M210" s="38" t="n">
        <x:v>1.5879534565366187</x:v>
      </x:c>
      <x:c r="N210" s="36" t="n">
        <x:v>179381591.74</x:v>
      </x:c>
    </x:row>
    <x:row r="211" ht="20" customHeight="1">
      <x:c r="C211" s="1" t="n">
        <x:v>1</x:v>
      </x:c>
      <x:c r="D211" s="1" t="n">
        <x:v>4</x:v>
      </x:c>
      <x:c r="E211" s="1" t="n">
        <x:v>20</x:v>
      </x:c>
      <x:c r="F211" s="32" t="n">
        <x:v>46888</x:v>
      </x:c>
      <x:c r="G211" s="36" t="n">
        <x:v>179381591.74</x:v>
      </x:c>
      <x:c r="H211" s="36" t="n">
        <x:v>669691.28</x:v>
      </x:c>
      <x:c r="I211" s="36" t="n">
        <x:v>16902935.3</x:v>
      </x:c>
      <x:c r="J211" s="36" t="n">
        <x:v>0</x:v>
      </x:c>
      <x:c r="K211" s="36" t="n">
        <x:v>162478656.44</x:v>
      </x:c>
      <x:c r="L211" s="36" t="n">
        <x:v>0</x:v>
      </x:c>
      <x:c r="M211" s="38" t="n">
        <x:v>1.6646132785763177</x:v>
      </x:c>
      <x:c r="N211" s="36" t="n">
        <x:v>162478656.44</x:v>
      </x:c>
    </x:row>
    <x:row r="212" ht="20" customHeight="1">
      <x:c r="C212" s="1" t="n">
        <x:v>1</x:v>
      </x:c>
      <x:c r="D212" s="1" t="n">
        <x:v>4</x:v>
      </x:c>
      <x:c r="E212" s="1" t="n">
        <x:v>21</x:v>
      </x:c>
      <x:c r="F212" s="32" t="n">
        <x:v>46919</x:v>
      </x:c>
      <x:c r="G212" s="36" t="n">
        <x:v>162478656.44</x:v>
      </x:c>
      <x:c r="H212" s="36" t="n">
        <x:v>606586.98</x:v>
      </x:c>
      <x:c r="I212" s="36" t="n">
        <x:v>16549892.92</x:v>
      </x:c>
      <x:c r="J212" s="36" t="n">
        <x:v>0</x:v>
      </x:c>
      <x:c r="K212" s="36" t="n">
        <x:v>145928763.52</x:v>
      </x:c>
      <x:c r="L212" s="36" t="n">
        <x:v>0</x:v>
      </x:c>
      <x:c r="M212" s="38" t="n">
        <x:v>1.7494866529774127</x:v>
      </x:c>
      <x:c r="N212" s="36" t="n">
        <x:v>145928763.52</x:v>
      </x:c>
    </x:row>
    <x:row r="213" ht="20" customHeight="1">
      <x:c r="C213" s="1" t="n">
        <x:v>1</x:v>
      </x:c>
      <x:c r="D213" s="1" t="n">
        <x:v>4</x:v>
      </x:c>
      <x:c r="E213" s="1" t="n">
        <x:v>22</x:v>
      </x:c>
      <x:c r="F213" s="32" t="n">
        <x:v>46951</x:v>
      </x:c>
      <x:c r="G213" s="36" t="n">
        <x:v>145928763.52</x:v>
      </x:c>
      <x:c r="H213" s="36" t="n">
        <x:v>544800.72</x:v>
      </x:c>
      <x:c r="I213" s="36" t="n">
        <x:v>16207510.73</x:v>
      </x:c>
      <x:c r="J213" s="36" t="n">
        <x:v>0</x:v>
      </x:c>
      <x:c r="K213" s="36" t="n">
        <x:v>129721252.79</x:v>
      </x:c>
      <x:c r="L213" s="36" t="n">
        <x:v>0</x:v>
      </x:c>
      <x:c r="M213" s="38" t="n">
        <x:v>1.83709787816564</x:v>
      </x:c>
      <x:c r="N213" s="36" t="n">
        <x:v>129721252.79</x:v>
      </x:c>
    </x:row>
    <x:row r="214" ht="20" customHeight="1">
      <x:c r="C214" s="1" t="n">
        <x:v>1</x:v>
      </x:c>
      <x:c r="D214" s="1" t="n">
        <x:v>4</x:v>
      </x:c>
      <x:c r="E214" s="1" t="n">
        <x:v>23</x:v>
      </x:c>
      <x:c r="F214" s="32" t="n">
        <x:v>46980</x:v>
      </x:c>
      <x:c r="G214" s="36" t="n">
        <x:v>129721252.79</x:v>
      </x:c>
      <x:c r="H214" s="36" t="n">
        <x:v>484292.68</x:v>
      </x:c>
      <x:c r="I214" s="36" t="n">
        <x:v>15852422.27</x:v>
      </x:c>
      <x:c r="J214" s="36" t="n">
        <x:v>0</x:v>
      </x:c>
      <x:c r="K214" s="36" t="n">
        <x:v>113868830.52</x:v>
      </x:c>
      <x:c r="L214" s="36" t="n">
        <x:v>0</x:v>
      </x:c>
      <x:c r="M214" s="38" t="n">
        <x:v>1.9164955509924708</x:v>
      </x:c>
      <x:c r="N214" s="36" t="n">
        <x:v>113868830.52</x:v>
      </x:c>
    </x:row>
    <x:row r="215" ht="20" customHeight="1">
      <x:c r="C215" s="1" t="n">
        <x:v>1</x:v>
      </x:c>
      <x:c r="D215" s="1" t="n">
        <x:v>4</x:v>
      </x:c>
      <x:c r="E215" s="1" t="n">
        <x:v>24</x:v>
      </x:c>
      <x:c r="F215" s="32" t="n">
        <x:v>47011</x:v>
      </x:c>
      <x:c r="G215" s="36" t="n">
        <x:v>113868830.52</x:v>
      </x:c>
      <x:c r="H215" s="36" t="n">
        <x:v>425110.3</x:v>
      </x:c>
      <x:c r="I215" s="36" t="n">
        <x:v>15500090.82</x:v>
      </x:c>
      <x:c r="J215" s="36" t="n">
        <x:v>0</x:v>
      </x:c>
      <x:c r="K215" s="36" t="n">
        <x:v>98368739.7</x:v>
      </x:c>
      <x:c r="L215" s="36" t="n">
        <x:v>0</x:v>
      </x:c>
      <x:c r="M215" s="38" t="n">
        <x:v>2.001368925393566</x:v>
      </x:c>
      <x:c r="N215" s="36" t="n">
        <x:v>98368739.7</x:v>
      </x:c>
    </x:row>
    <x:row r="216" ht="20" customHeight="1">
      <x:c r="C216" s="1" t="n">
        <x:v>1</x:v>
      </x:c>
      <x:c r="D216" s="1" t="n">
        <x:v>4</x:v>
      </x:c>
      <x:c r="E216" s="1" t="n">
        <x:v>25</x:v>
      </x:c>
      <x:c r="F216" s="32" t="n">
        <x:v>47042</x:v>
      </x:c>
      <x:c r="G216" s="36" t="n">
        <x:v>98368739.7</x:v>
      </x:c>
      <x:c r="H216" s="36" t="n">
        <x:v>367243.29</x:v>
      </x:c>
      <x:c r="I216" s="36" t="n">
        <x:v>15147650.75</x:v>
      </x:c>
      <x:c r="J216" s="36" t="n">
        <x:v>0</x:v>
      </x:c>
      <x:c r="K216" s="36" t="n">
        <x:v>83221088.95</x:v>
      </x:c>
      <x:c r="L216" s="36" t="n">
        <x:v>0</x:v>
      </x:c>
      <x:c r="M216" s="38" t="n">
        <x:v>2.086242299794661</x:v>
      </x:c>
      <x:c r="N216" s="36" t="n">
        <x:v>83221088.95</x:v>
      </x:c>
    </x:row>
    <x:row r="217" ht="20" customHeight="1">
      <x:c r="C217" s="1" t="n">
        <x:v>1</x:v>
      </x:c>
      <x:c r="D217" s="1" t="n">
        <x:v>4</x:v>
      </x:c>
      <x:c r="E217" s="1" t="n">
        <x:v>26</x:v>
      </x:c>
      <x:c r="F217" s="32" t="n">
        <x:v>47072</x:v>
      </x:c>
      <x:c r="G217" s="36" t="n">
        <x:v>83221088.95</x:v>
      </x:c>
      <x:c r="H217" s="36" t="n">
        <x:v>310692.07</x:v>
      </x:c>
      <x:c r="I217" s="36" t="n">
        <x:v>14792205.49</x:v>
      </x:c>
      <x:c r="J217" s="36" t="n">
        <x:v>0</x:v>
      </x:c>
      <x:c r="K217" s="36" t="n">
        <x:v>68428883.46</x:v>
      </x:c>
      <x:c r="L217" s="36" t="n">
        <x:v>0</x:v>
      </x:c>
      <x:c r="M217" s="38" t="n">
        <x:v>2.1683778234086244</x:v>
      </x:c>
      <x:c r="N217" s="36" t="n">
        <x:v>68428883.46</x:v>
      </x:c>
    </x:row>
    <x:row r="218" ht="20" customHeight="1">
      <x:c r="C218" s="1" t="n">
        <x:v>1</x:v>
      </x:c>
      <x:c r="D218" s="1" t="n">
        <x:v>4</x:v>
      </x:c>
      <x:c r="E218" s="1" t="n">
        <x:v>27</x:v>
      </x:c>
      <x:c r="F218" s="32" t="n">
        <x:v>47102</x:v>
      </x:c>
      <x:c r="G218" s="36" t="n">
        <x:v>68428883.46</x:v>
      </x:c>
      <x:c r="H218" s="36" t="n">
        <x:v>255467.83</x:v>
      </x:c>
      <x:c r="I218" s="36" t="n">
        <x:v>14438841.21</x:v>
      </x:c>
      <x:c r="J218" s="36" t="n">
        <x:v>0</x:v>
      </x:c>
      <x:c r="K218" s="36" t="n">
        <x:v>53990042.25</x:v>
      </x:c>
      <x:c r="L218" s="36" t="n">
        <x:v>0</x:v>
      </x:c>
      <x:c r="M218" s="38" t="n">
        <x:v>2.2505133470225873</x:v>
      </x:c>
      <x:c r="N218" s="36" t="n">
        <x:v>53990042.25</x:v>
      </x:c>
    </x:row>
    <x:row r="219" ht="20" customHeight="1">
      <x:c r="C219" s="1" t="n">
        <x:v>1</x:v>
      </x:c>
      <x:c r="D219" s="1" t="n">
        <x:v>4</x:v>
      </x:c>
      <x:c r="E219" s="1" t="n">
        <x:v>28</x:v>
      </x:c>
      <x:c r="F219" s="32" t="n">
        <x:v>47134</x:v>
      </x:c>
      <x:c r="G219" s="36" t="n">
        <x:v>53990042.25</x:v>
      </x:c>
      <x:c r="H219" s="36" t="n">
        <x:v>201562.82</x:v>
      </x:c>
      <x:c r="I219" s="36" t="n">
        <x:v>14066892.3</x:v>
      </x:c>
      <x:c r="J219" s="36" t="n">
        <x:v>0</x:v>
      </x:c>
      <x:c r="K219" s="36" t="n">
        <x:v>39923149.95</x:v>
      </x:c>
      <x:c r="L219" s="36" t="n">
        <x:v>0</x:v>
      </x:c>
      <x:c r="M219" s="38" t="n">
        <x:v>2.3381245722108144</x:v>
      </x:c>
      <x:c r="N219" s="36" t="n">
        <x:v>39923149.95</x:v>
      </x:c>
    </x:row>
    <x:row r="220" ht="20" customHeight="1">
      <x:c r="C220" s="1" t="n">
        <x:v>1</x:v>
      </x:c>
      <x:c r="D220" s="1" t="n">
        <x:v>4</x:v>
      </x:c>
      <x:c r="E220" s="1" t="n">
        <x:v>29</x:v>
      </x:c>
      <x:c r="F220" s="32" t="n">
        <x:v>47164</x:v>
      </x:c>
      <x:c r="G220" s="36" t="n">
        <x:v>39923149.95</x:v>
      </x:c>
      <x:c r="H220" s="36" t="n">
        <x:v>149046.43</x:v>
      </x:c>
      <x:c r="I220" s="36" t="n">
        <x:v>13646129.63</x:v>
      </x:c>
      <x:c r="J220" s="36" t="n">
        <x:v>0</x:v>
      </x:c>
      <x:c r="K220" s="36" t="n">
        <x:v>26277020.32</x:v>
      </x:c>
      <x:c r="L220" s="36" t="n">
        <x:v>0</x:v>
      </x:c>
      <x:c r="M220" s="38" t="n">
        <x:v>2.4202600958247777</x:v>
      </x:c>
      <x:c r="N220" s="36" t="n">
        <x:v>26277020.32</x:v>
      </x:c>
    </x:row>
    <x:row r="221" ht="20" customHeight="1">
      <x:c r="C221" s="1" t="n">
        <x:v>1</x:v>
      </x:c>
      <x:c r="D221" s="1" t="n">
        <x:v>4</x:v>
      </x:c>
      <x:c r="E221" s="1" t="n">
        <x:v>30</x:v>
      </x:c>
      <x:c r="F221" s="32" t="n">
        <x:v>47192</x:v>
      </x:c>
      <x:c r="G221" s="36" t="n">
        <x:v>26277020.32</x:v>
      </x:c>
      <x:c r="H221" s="36" t="n">
        <x:v>98100.88</x:v>
      </x:c>
      <x:c r="I221" s="36" t="n">
        <x:v>13241289.77</x:v>
      </x:c>
      <x:c r="J221" s="36" t="n">
        <x:v>0</x:v>
      </x:c>
      <x:c r="K221" s="36" t="n">
        <x:v>13035730.55</x:v>
      </x:c>
      <x:c r="L221" s="36" t="n">
        <x:v>0</x:v>
      </x:c>
      <x:c r="M221" s="38" t="n">
        <x:v>2.4969199178644765</x:v>
      </x:c>
      <x:c r="N221" s="36" t="n">
        <x:v>13035730.55</x:v>
      </x:c>
    </x:row>
    <x:row r="222" ht="20" customHeight="1">
      <x:c r="C222" s="1" t="n">
        <x:v>1</x:v>
      </x:c>
      <x:c r="D222" s="1" t="n">
        <x:v>4</x:v>
      </x:c>
      <x:c r="E222" s="1" t="n">
        <x:v>31</x:v>
      </x:c>
      <x:c r="F222" s="32" t="n">
        <x:v>47224</x:v>
      </x:c>
      <x:c r="G222" s="36" t="n">
        <x:v>13035730.55</x:v>
      </x:c>
      <x:c r="H222" s="36" t="n">
        <x:v>48666.73</x:v>
      </x:c>
      <x:c r="I222" s="36" t="n">
        <x:v>12833660.45</x:v>
      </x:c>
      <x:c r="J222" s="36" t="n">
        <x:v>0</x:v>
      </x:c>
      <x:c r="K222" s="36" t="n">
        <x:v>202070.1</x:v>
      </x:c>
      <x:c r="L222" s="36" t="n">
        <x:v>0</x:v>
      </x:c>
      <x:c r="M222" s="38" t="n">
        <x:v>2.5845311430527036</x:v>
      </x:c>
      <x:c r="N222" s="36" t="n">
        <x:v>202070.1</x:v>
      </x:c>
    </x:row>
    <x:row r="223" ht="20" customHeight="1">
      <x:c r="C223" s="1" t="n">
        <x:v>1</x:v>
      </x:c>
      <x:c r="D223" s="1" t="n">
        <x:v>4</x:v>
      </x:c>
      <x:c r="E223" s="1" t="n">
        <x:v>32</x:v>
      </x:c>
      <x:c r="F223" s="32" t="n">
        <x:v>47253</x:v>
      </x:c>
      <x:c r="G223" s="36" t="n">
        <x:v>202070.1</x:v>
      </x:c>
      <x:c r="H223" s="36" t="n">
        <x:v>754.4</x:v>
      </x:c>
      <x:c r="I223" s="36" t="n">
        <x:v>202070.1</x:v>
      </x:c>
      <x:c r="J223" s="36" t="n">
        <x:v>0</x:v>
      </x:c>
      <x:c r="K223" s="36" t="n">
        <x:v>0</x:v>
      </x:c>
      <x:c r="L223" s="36" t="n">
        <x:v>0</x:v>
      </x:c>
      <x:c r="M223" s="38" t="n">
        <x:v>2.6639288158795345</x:v>
      </x:c>
      <x:c r="N223" s="36" t="n">
        <x:v>0</x:v>
      </x:c>
    </x:row>
    <x:row r="224" ht="20" customHeight="1">
      <x:c r="C224" s="1" t="n">
        <x:v>1</x:v>
      </x:c>
      <x:c r="D224" s="1" t="n">
        <x:v>4</x:v>
      </x:c>
      <x:c r="E224" s="1" t="n">
        <x:v>33</x:v>
      </x:c>
      <x:c r="F224" s="32" t="n">
        <x:v>47284</x:v>
      </x:c>
      <x:c r="G224" s="36" t="n">
        <x:v>0</x:v>
      </x:c>
      <x:c r="H224" s="36" t="n">
        <x:v>0</x:v>
      </x:c>
      <x:c r="I224" s="36" t="n">
        <x:v>0</x:v>
      </x:c>
      <x:c r="J224" s="36" t="n">
        <x:v>0</x:v>
      </x:c>
      <x:c r="K224" s="36" t="n">
        <x:v>0</x:v>
      </x:c>
      <x:c r="L224" s="36" t="n">
        <x:v>0</x:v>
      </x:c>
      <x:c r="M224" s="38" t="n">
        <x:v>2.74880219028063</x:v>
      </x:c>
      <x:c r="N224" s="36" t="n">
        <x:v>0</x:v>
      </x:c>
    </x:row>
    <x:row r="225" ht="20" customHeight="1">
      <x:c r="C225" s="1" t="n">
        <x:v>1</x:v>
      </x:c>
      <x:c r="D225" s="1" t="n">
        <x:v>4</x:v>
      </x:c>
      <x:c r="E225" s="1" t="n">
        <x:v>34</x:v>
      </x:c>
      <x:c r="F225" s="32" t="n">
        <x:v>47315</x:v>
      </x:c>
      <x:c r="G225" s="36" t="n">
        <x:v>0</x:v>
      </x:c>
      <x:c r="H225" s="36" t="n">
        <x:v>0</x:v>
      </x:c>
      <x:c r="I225" s="36" t="n">
        <x:v>0</x:v>
      </x:c>
      <x:c r="J225" s="36" t="n">
        <x:v>0</x:v>
      </x:c>
      <x:c r="K225" s="36" t="n">
        <x:v>0</x:v>
      </x:c>
      <x:c r="L225" s="36" t="n">
        <x:v>0</x:v>
      </x:c>
      <x:c r="M225" s="38" t="n">
        <x:v>2.833675564681725</x:v>
      </x:c>
      <x:c r="N225" s="36" t="n">
        <x:v>0</x:v>
      </x:c>
    </x:row>
    <x:row r="226" ht="20" customHeight="1">
      <x:c r="C226" s="1" t="n">
        <x:v>1</x:v>
      </x:c>
      <x:c r="D226" s="1" t="n">
        <x:v>4</x:v>
      </x:c>
      <x:c r="E226" s="1" t="n">
        <x:v>35</x:v>
      </x:c>
      <x:c r="F226" s="32" t="n">
        <x:v>47345</x:v>
      </x:c>
      <x:c r="G226" s="36" t="n">
        <x:v>0</x:v>
      </x:c>
      <x:c r="H226" s="36" t="n">
        <x:v>0</x:v>
      </x:c>
      <x:c r="I226" s="36" t="n">
        <x:v>0</x:v>
      </x:c>
      <x:c r="J226" s="36" t="n">
        <x:v>0</x:v>
      </x:c>
      <x:c r="K226" s="36" t="n">
        <x:v>0</x:v>
      </x:c>
      <x:c r="L226" s="36" t="n">
        <x:v>0</x:v>
      </x:c>
      <x:c r="M226" s="38" t="n">
        <x:v>2.915811088295688</x:v>
      </x:c>
      <x:c r="N226" s="36" t="n">
        <x:v>0</x:v>
      </x:c>
    </x:row>
    <x:row r="227" ht="20" customHeight="1">
      <x:c r="C227" s="1" t="n">
        <x:v>1</x:v>
      </x:c>
      <x:c r="D227" s="1" t="n">
        <x:v>4</x:v>
      </x:c>
      <x:c r="E227" s="1" t="n">
        <x:v>36</x:v>
      </x:c>
      <x:c r="F227" s="32" t="n">
        <x:v>47378</x:v>
      </x:c>
      <x:c r="G227" s="36" t="n">
        <x:v>0</x:v>
      </x:c>
      <x:c r="H227" s="36" t="n">
        <x:v>0</x:v>
      </x:c>
      <x:c r="I227" s="36" t="n">
        <x:v>0</x:v>
      </x:c>
      <x:c r="J227" s="36" t="n">
        <x:v>0</x:v>
      </x:c>
      <x:c r="K227" s="36" t="n">
        <x:v>0</x:v>
      </x:c>
      <x:c r="L227" s="36" t="n">
        <x:v>0</x:v>
      </x:c>
      <x:c r="M227" s="38" t="n">
        <x:v>3.0061601642710474</x:v>
      </x:c>
      <x:c r="N227" s="36" t="n">
        <x:v>0</x:v>
      </x:c>
    </x:row>
    <x:row r="228" ht="20" customHeight="1">
      <x:c r="C228" s="1" t="n">
        <x:v>1</x:v>
      </x:c>
      <x:c r="D228" s="1" t="n">
        <x:v>4</x:v>
      </x:c>
      <x:c r="E228" s="1" t="n">
        <x:v>37</x:v>
      </x:c>
      <x:c r="F228" s="32" t="n">
        <x:v>47406</x:v>
      </x:c>
      <x:c r="G228" s="36" t="n">
        <x:v>0</x:v>
      </x:c>
      <x:c r="H228" s="36" t="n">
        <x:v>0</x:v>
      </x:c>
      <x:c r="I228" s="36" t="n">
        <x:v>0</x:v>
      </x:c>
      <x:c r="J228" s="36" t="n">
        <x:v>0</x:v>
      </x:c>
      <x:c r="K228" s="36" t="n">
        <x:v>0</x:v>
      </x:c>
      <x:c r="L228" s="36" t="n">
        <x:v>0</x:v>
      </x:c>
      <x:c r="M228" s="38" t="n">
        <x:v>3.082819986310746</x:v>
      </x:c>
      <x:c r="N228" s="36" t="n">
        <x:v>0</x:v>
      </x:c>
    </x:row>
    <x:row r="229" ht="20" customHeight="1">
      <x:c r="C229" s="1" t="n">
        <x:v>1</x:v>
      </x:c>
      <x:c r="D229" s="1" t="n">
        <x:v>4</x:v>
      </x:c>
      <x:c r="E229" s="1" t="n">
        <x:v>38</x:v>
      </x:c>
      <x:c r="F229" s="32" t="n">
        <x:v>47437</x:v>
      </x:c>
      <x:c r="G229" s="36" t="n">
        <x:v>0</x:v>
      </x:c>
      <x:c r="H229" s="36" t="n">
        <x:v>0</x:v>
      </x:c>
      <x:c r="I229" s="36" t="n">
        <x:v>0</x:v>
      </x:c>
      <x:c r="J229" s="36" t="n">
        <x:v>0</x:v>
      </x:c>
      <x:c r="K229" s="36" t="n">
        <x:v>0</x:v>
      </x:c>
      <x:c r="L229" s="36" t="n">
        <x:v>0</x:v>
      </x:c>
      <x:c r="M229" s="38" t="n">
        <x:v>3.167693360711841</x:v>
      </x:c>
      <x:c r="N229" s="36" t="n">
        <x:v>0</x:v>
      </x:c>
    </x:row>
    <x:row r="230" ht="20" customHeight="1">
      <x:c r="C230" s="1" t="n">
        <x:v>1</x:v>
      </x:c>
      <x:c r="D230" s="1" t="n">
        <x:v>4</x:v>
      </x:c>
      <x:c r="E230" s="1" t="n">
        <x:v>39</x:v>
      </x:c>
      <x:c r="F230" s="32" t="n">
        <x:v>47469</x:v>
      </x:c>
      <x:c r="G230" s="36" t="n">
        <x:v>0</x:v>
      </x:c>
      <x:c r="H230" s="36" t="n">
        <x:v>0</x:v>
      </x:c>
      <x:c r="I230" s="36" t="n">
        <x:v>0</x:v>
      </x:c>
      <x:c r="J230" s="36" t="n">
        <x:v>0</x:v>
      </x:c>
      <x:c r="K230" s="36" t="n">
        <x:v>0</x:v>
      </x:c>
      <x:c r="L230" s="36" t="n">
        <x:v>0</x:v>
      </x:c>
      <x:c r="M230" s="38" t="n">
        <x:v>3.2553045859000687</x:v>
      </x:c>
      <x:c r="N230" s="36" t="n">
        <x:v>0</x:v>
      </x:c>
    </x:row>
    <x:row r="231" ht="20" customHeight="1">
      <x:c r="C231" s="1" t="n">
        <x:v>1</x:v>
      </x:c>
      <x:c r="D231" s="1" t="n">
        <x:v>4</x:v>
      </x:c>
      <x:c r="E231" s="1" t="n">
        <x:v>40</x:v>
      </x:c>
      <x:c r="F231" s="32" t="n">
        <x:v>47498</x:v>
      </x:c>
      <x:c r="G231" s="36" t="n">
        <x:v>0</x:v>
      </x:c>
      <x:c r="H231" s="36" t="n">
        <x:v>0</x:v>
      </x:c>
      <x:c r="I231" s="36" t="n">
        <x:v>0</x:v>
      </x:c>
      <x:c r="J231" s="36" t="n">
        <x:v>0</x:v>
      </x:c>
      <x:c r="K231" s="36" t="n">
        <x:v>0</x:v>
      </x:c>
      <x:c r="L231" s="36" t="n">
        <x:v>0</x:v>
      </x:c>
      <x:c r="M231" s="38" t="n">
        <x:v>3.3347022587268995</x:v>
      </x:c>
      <x:c r="N231" s="36" t="n">
        <x:v>0</x:v>
      </x:c>
    </x:row>
    <x:row r="232" ht="20" customHeight="1">
      <x:c r="C232" s="1" t="n">
        <x:v>1</x:v>
      </x:c>
      <x:c r="D232" s="1" t="n">
        <x:v>4</x:v>
      </x:c>
      <x:c r="E232" s="1" t="n">
        <x:v>41</x:v>
      </x:c>
      <x:c r="F232" s="32" t="n">
        <x:v>47529</x:v>
      </x:c>
      <x:c r="G232" s="36" t="n">
        <x:v>0</x:v>
      </x:c>
      <x:c r="H232" s="36" t="n">
        <x:v>0</x:v>
      </x:c>
      <x:c r="I232" s="36" t="n">
        <x:v>0</x:v>
      </x:c>
      <x:c r="J232" s="36" t="n">
        <x:v>0</x:v>
      </x:c>
      <x:c r="K232" s="36" t="n">
        <x:v>0</x:v>
      </x:c>
      <x:c r="L232" s="36" t="n">
        <x:v>0</x:v>
      </x:c>
      <x:c r="M232" s="38" t="n">
        <x:v>3.4195756331279945</x:v>
      </x:c>
      <x:c r="N232" s="36" t="n">
        <x:v>0</x:v>
      </x:c>
    </x:row>
    <x:row r="233" ht="20" customHeight="1">
      <x:c r="C233" s="1" t="n">
        <x:v>1</x:v>
      </x:c>
      <x:c r="D233" s="1" t="n">
        <x:v>4</x:v>
      </x:c>
      <x:c r="E233" s="1" t="n">
        <x:v>42</x:v>
      </x:c>
      <x:c r="F233" s="32" t="n">
        <x:v>47557</x:v>
      </x:c>
      <x:c r="G233" s="36" t="n">
        <x:v>0</x:v>
      </x:c>
      <x:c r="H233" s="36" t="n">
        <x:v>0</x:v>
      </x:c>
      <x:c r="I233" s="36" t="n">
        <x:v>0</x:v>
      </x:c>
      <x:c r="J233" s="36" t="n">
        <x:v>0</x:v>
      </x:c>
      <x:c r="K233" s="36" t="n">
        <x:v>0</x:v>
      </x:c>
      <x:c r="L233" s="36" t="n">
        <x:v>0</x:v>
      </x:c>
      <x:c r="M233" s="38" t="n">
        <x:v>3.4962354551676933</x:v>
      </x:c>
      <x:c r="N233" s="36" t="n">
        <x:v>0</x:v>
      </x:c>
    </x:row>
    <x:row r="234" ht="20" customHeight="1">
      <x:c r="C234" s="1" t="n">
        <x:v>1</x:v>
      </x:c>
      <x:c r="D234" s="1" t="n">
        <x:v>4</x:v>
      </x:c>
      <x:c r="E234" s="1" t="n">
        <x:v>43</x:v>
      </x:c>
      <x:c r="F234" s="32" t="n">
        <x:v>47588</x:v>
      </x:c>
      <x:c r="G234" s="36" t="n">
        <x:v>0</x:v>
      </x:c>
      <x:c r="H234" s="36" t="n">
        <x:v>0</x:v>
      </x:c>
      <x:c r="I234" s="36" t="n">
        <x:v>0</x:v>
      </x:c>
      <x:c r="J234" s="36" t="n">
        <x:v>0</x:v>
      </x:c>
      <x:c r="K234" s="36" t="n">
        <x:v>0</x:v>
      </x:c>
      <x:c r="L234" s="36" t="n">
        <x:v>0</x:v>
      </x:c>
      <x:c r="M234" s="38" t="n">
        <x:v>3.5811088295687883</x:v>
      </x:c>
      <x:c r="N234" s="36" t="n">
        <x:v>0</x:v>
      </x:c>
    </x:row>
    <x:row r="235" ht="20" customHeight="1">
      <x:c r="C235" s="1" t="n">
        <x:v>1</x:v>
      </x:c>
      <x:c r="D235" s="1" t="n">
        <x:v>4</x:v>
      </x:c>
      <x:c r="E235" s="1" t="n">
        <x:v>44</x:v>
      </x:c>
      <x:c r="F235" s="32" t="n">
        <x:v>47618</x:v>
      </x:c>
      <x:c r="G235" s="36" t="n">
        <x:v>0</x:v>
      </x:c>
      <x:c r="H235" s="36" t="n">
        <x:v>0</x:v>
      </x:c>
      <x:c r="I235" s="36" t="n">
        <x:v>0</x:v>
      </x:c>
      <x:c r="J235" s="36" t="n">
        <x:v>0</x:v>
      </x:c>
      <x:c r="K235" s="36" t="n">
        <x:v>0</x:v>
      </x:c>
      <x:c r="L235" s="36" t="n">
        <x:v>0</x:v>
      </x:c>
      <x:c r="M235" s="38" t="n">
        <x:v>3.6632443531827517</x:v>
      </x:c>
      <x:c r="N235" s="36" t="n">
        <x:v>0</x:v>
      </x:c>
    </x:row>
    <x:row r="236" ht="20" customHeight="1">
      <x:c r="C236" s="1" t="n">
        <x:v>1</x:v>
      </x:c>
      <x:c r="D236" s="1" t="n">
        <x:v>4</x:v>
      </x:c>
      <x:c r="E236" s="1" t="n">
        <x:v>45</x:v>
      </x:c>
      <x:c r="F236" s="32" t="n">
        <x:v>47651</x:v>
      </x:c>
      <x:c r="G236" s="36" t="n">
        <x:v>0</x:v>
      </x:c>
      <x:c r="H236" s="36" t="n">
        <x:v>0</x:v>
      </x:c>
      <x:c r="I236" s="36" t="n">
        <x:v>0</x:v>
      </x:c>
      <x:c r="J236" s="36" t="n">
        <x:v>0</x:v>
      </x:c>
      <x:c r="K236" s="36" t="n">
        <x:v>0</x:v>
      </x:c>
      <x:c r="L236" s="36" t="n">
        <x:v>0</x:v>
      </x:c>
      <x:c r="M236" s="38" t="n">
        <x:v>3.753593429158111</x:v>
      </x:c>
      <x:c r="N236" s="36" t="n">
        <x:v>0</x:v>
      </x:c>
    </x:row>
    <x:row r="237" ht="20" customHeight="1">
      <x:c r="C237" s="1" t="n">
        <x:v>1</x:v>
      </x:c>
      <x:c r="D237" s="1" t="n">
        <x:v>4</x:v>
      </x:c>
      <x:c r="E237" s="1" t="n">
        <x:v>46</x:v>
      </x:c>
      <x:c r="F237" s="32" t="n">
        <x:v>47679</x:v>
      </x:c>
      <x:c r="G237" s="36" t="n">
        <x:v>0</x:v>
      </x:c>
      <x:c r="H237" s="36" t="n">
        <x:v>0</x:v>
      </x:c>
      <x:c r="I237" s="36" t="n">
        <x:v>0</x:v>
      </x:c>
      <x:c r="J237" s="36" t="n">
        <x:v>0</x:v>
      </x:c>
      <x:c r="K237" s="36" t="n">
        <x:v>0</x:v>
      </x:c>
      <x:c r="L237" s="36" t="n">
        <x:v>0</x:v>
      </x:c>
      <x:c r="M237" s="38" t="n">
        <x:v>3.8302532511978096</x:v>
      </x:c>
      <x:c r="N237" s="36" t="n">
        <x:v>0</x:v>
      </x:c>
    </x:row>
    <x:row r="238" ht="20" customHeight="1">
      <x:c r="C238" s="1" t="n">
        <x:v>1</x:v>
      </x:c>
      <x:c r="D238" s="1" t="n">
        <x:v>4</x:v>
      </x:c>
      <x:c r="E238" s="1" t="n">
        <x:v>47</x:v>
      </x:c>
      <x:c r="F238" s="32" t="n">
        <x:v>47710</x:v>
      </x:c>
      <x:c r="G238" s="36" t="n">
        <x:v>0</x:v>
      </x:c>
      <x:c r="H238" s="36" t="n">
        <x:v>0</x:v>
      </x:c>
      <x:c r="I238" s="36" t="n">
        <x:v>0</x:v>
      </x:c>
      <x:c r="J238" s="36" t="n">
        <x:v>0</x:v>
      </x:c>
      <x:c r="K238" s="36" t="n">
        <x:v>0</x:v>
      </x:c>
      <x:c r="L238" s="36" t="n">
        <x:v>0</x:v>
      </x:c>
      <x:c r="M238" s="38" t="n">
        <x:v>3.915126625598905</x:v>
      </x:c>
      <x:c r="N238" s="36" t="n">
        <x:v>0</x:v>
      </x:c>
    </x:row>
    <x:row r="239" ht="20" customHeight="1">
      <x:c r="C239" s="1" t="n">
        <x:v>1</x:v>
      </x:c>
      <x:c r="D239" s="1" t="n">
        <x:v>4</x:v>
      </x:c>
      <x:c r="E239" s="1" t="n">
        <x:v>48</x:v>
      </x:c>
      <x:c r="F239" s="32" t="n">
        <x:v>47742</x:v>
      </x:c>
      <x:c r="G239" s="36" t="n">
        <x:v>0</x:v>
      </x:c>
      <x:c r="H239" s="36" t="n">
        <x:v>0</x:v>
      </x:c>
      <x:c r="I239" s="36" t="n">
        <x:v>0</x:v>
      </x:c>
      <x:c r="J239" s="36" t="n">
        <x:v>0</x:v>
      </x:c>
      <x:c r="K239" s="36" t="n">
        <x:v>0</x:v>
      </x:c>
      <x:c r="L239" s="36" t="n">
        <x:v>0</x:v>
      </x:c>
      <x:c r="M239" s="38" t="n">
        <x:v>4.002737850787132</x:v>
      </x:c>
      <x:c r="N239" s="36" t="n">
        <x:v>0</x:v>
      </x:c>
    </x:row>
    <x:row r="240" ht="20" customHeight="1">
      <x:c r="C240" s="1" t="n">
        <x:v>1</x:v>
      </x:c>
      <x:c r="D240" s="1" t="n">
        <x:v>4</x:v>
      </x:c>
      <x:c r="E240" s="1" t="n">
        <x:v>49</x:v>
      </x:c>
      <x:c r="F240" s="32" t="n">
        <x:v>47771</x:v>
      </x:c>
      <x:c r="G240" s="36" t="n">
        <x:v>0</x:v>
      </x:c>
      <x:c r="H240" s="36" t="n">
        <x:v>0</x:v>
      </x:c>
      <x:c r="I240" s="36" t="n">
        <x:v>0</x:v>
      </x:c>
      <x:c r="J240" s="36" t="n">
        <x:v>0</x:v>
      </x:c>
      <x:c r="K240" s="36" t="n">
        <x:v>0</x:v>
      </x:c>
      <x:c r="L240" s="36" t="n">
        <x:v>0</x:v>
      </x:c>
      <x:c r="M240" s="38" t="n">
        <x:v>4.082135523613963</x:v>
      </x:c>
      <x:c r="N240" s="36" t="n">
        <x:v>0</x:v>
      </x:c>
    </x:row>
    <x:row r="241" ht="20" customHeight="1">
      <x:c r="C241" s="1" t="n">
        <x:v>1</x:v>
      </x:c>
      <x:c r="D241" s="1" t="n">
        <x:v>4</x:v>
      </x:c>
      <x:c r="E241" s="1" t="n">
        <x:v>50</x:v>
      </x:c>
      <x:c r="F241" s="32" t="n">
        <x:v>47802</x:v>
      </x:c>
      <x:c r="G241" s="36" t="n">
        <x:v>0</x:v>
      </x:c>
      <x:c r="H241" s="36" t="n">
        <x:v>0</x:v>
      </x:c>
      <x:c r="I241" s="36" t="n">
        <x:v>0</x:v>
      </x:c>
      <x:c r="J241" s="36" t="n">
        <x:v>0</x:v>
      </x:c>
      <x:c r="K241" s="36" t="n">
        <x:v>0</x:v>
      </x:c>
      <x:c r="L241" s="36" t="n">
        <x:v>0</x:v>
      </x:c>
      <x:c r="M241" s="38" t="n">
        <x:v>4.167008898015058</x:v>
      </x:c>
      <x:c r="N241" s="36" t="n">
        <x:v>0</x:v>
      </x:c>
    </x:row>
    <x:row r="242" ht="20" customHeight="1">
      <x:c r="C242" s="1" t="n">
        <x:v>1</x:v>
      </x:c>
      <x:c r="D242" s="1" t="n">
        <x:v>4</x:v>
      </x:c>
      <x:c r="E242" s="1" t="n">
        <x:v>51</x:v>
      </x:c>
      <x:c r="F242" s="32" t="n">
        <x:v>47833</x:v>
      </x:c>
      <x:c r="G242" s="36" t="n">
        <x:v>0</x:v>
      </x:c>
      <x:c r="H242" s="36" t="n">
        <x:v>0</x:v>
      </x:c>
      <x:c r="I242" s="36" t="n">
        <x:v>0</x:v>
      </x:c>
      <x:c r="J242" s="36" t="n">
        <x:v>0</x:v>
      </x:c>
      <x:c r="K242" s="36" t="n">
        <x:v>0</x:v>
      </x:c>
      <x:c r="L242" s="36" t="n">
        <x:v>0</x:v>
      </x:c>
      <x:c r="M242" s="38" t="n">
        <x:v>4.251882272416153</x:v>
      </x:c>
      <x:c r="N242" s="36" t="n">
        <x:v>0</x:v>
      </x:c>
    </x:row>
    <x:row r="243" ht="20" customHeight="1">
      <x:c r="C243" s="1" t="n">
        <x:v>1</x:v>
      </x:c>
      <x:c r="D243" s="1" t="n">
        <x:v>4</x:v>
      </x:c>
      <x:c r="E243" s="1" t="n">
        <x:v>52</x:v>
      </x:c>
      <x:c r="F243" s="32" t="n">
        <x:v>47863</x:v>
      </x:c>
      <x:c r="G243" s="36" t="n">
        <x:v>0</x:v>
      </x:c>
      <x:c r="H243" s="36" t="n">
        <x:v>0</x:v>
      </x:c>
      <x:c r="I243" s="36" t="n">
        <x:v>0</x:v>
      </x:c>
      <x:c r="J243" s="36" t="n">
        <x:v>0</x:v>
      </x:c>
      <x:c r="K243" s="36" t="n">
        <x:v>0</x:v>
      </x:c>
      <x:c r="L243" s="36" t="n">
        <x:v>0</x:v>
      </x:c>
      <x:c r="M243" s="38" t="n">
        <x:v>4.334017796030117</x:v>
      </x:c>
      <x:c r="N243" s="36" t="n">
        <x:v>0</x:v>
      </x:c>
    </x:row>
    <x:row r="244" ht="20" customHeight="1">
      <x:c r="C244" s="1" t="n">
        <x:v>1</x:v>
      </x:c>
      <x:c r="D244" s="1" t="n">
        <x:v>4</x:v>
      </x:c>
      <x:c r="E244" s="1" t="n">
        <x:v>53</x:v>
      </x:c>
      <x:c r="F244" s="32" t="n">
        <x:v>47897</x:v>
      </x:c>
      <x:c r="G244" s="36" t="n">
        <x:v>0</x:v>
      </x:c>
      <x:c r="H244" s="36" t="n">
        <x:v>0</x:v>
      </x:c>
      <x:c r="I244" s="36" t="n">
        <x:v>0</x:v>
      </x:c>
      <x:c r="J244" s="36" t="n">
        <x:v>0</x:v>
      </x:c>
      <x:c r="K244" s="36" t="n">
        <x:v>0</x:v>
      </x:c>
      <x:c r="L244" s="36" t="n">
        <x:v>0</x:v>
      </x:c>
      <x:c r="M244" s="38" t="n">
        <x:v>4.427104722792608</x:v>
      </x:c>
      <x:c r="N244" s="36" t="n">
        <x:v>0</x:v>
      </x:c>
    </x:row>
    <x:row r="245" ht="20" customHeight="1">
      <x:c r="C245" s="1" t="n">
        <x:v>1</x:v>
      </x:c>
      <x:c r="D245" s="1" t="n">
        <x:v>4</x:v>
      </x:c>
      <x:c r="E245" s="1" t="n">
        <x:v>54</x:v>
      </x:c>
      <x:c r="F245" s="32" t="n">
        <x:v>47924</x:v>
      </x:c>
      <x:c r="G245" s="36" t="n">
        <x:v>0</x:v>
      </x:c>
      <x:c r="H245" s="36" t="n">
        <x:v>0</x:v>
      </x:c>
      <x:c r="I245" s="36" t="n">
        <x:v>0</x:v>
      </x:c>
      <x:c r="J245" s="36" t="n">
        <x:v>0</x:v>
      </x:c>
      <x:c r="K245" s="36" t="n">
        <x:v>0</x:v>
      </x:c>
      <x:c r="L245" s="36" t="n">
        <x:v>0</x:v>
      </x:c>
      <x:c r="M245" s="38" t="n">
        <x:v>4.501026694045175</x:v>
      </x:c>
      <x:c r="N245" s="36" t="n">
        <x:v>0</x:v>
      </x:c>
    </x:row>
    <x:row r="246" ht="20" customHeight="1">
      <x:c r="C246" s="1" t="n">
        <x:v>1</x:v>
      </x:c>
      <x:c r="D246" s="1" t="n">
        <x:v>4</x:v>
      </x:c>
      <x:c r="E246" s="1" t="n">
        <x:v>55</x:v>
      </x:c>
      <x:c r="F246" s="32" t="n">
        <x:v>47953</x:v>
      </x:c>
      <x:c r="G246" s="36" t="n">
        <x:v>0</x:v>
      </x:c>
      <x:c r="H246" s="36" t="n">
        <x:v>0</x:v>
      </x:c>
      <x:c r="I246" s="36" t="n">
        <x:v>0</x:v>
      </x:c>
      <x:c r="J246" s="36" t="n">
        <x:v>0</x:v>
      </x:c>
      <x:c r="K246" s="36" t="n">
        <x:v>0</x:v>
      </x:c>
      <x:c r="L246" s="36" t="n">
        <x:v>0</x:v>
      </x:c>
      <x:c r="M246" s="38" t="n">
        <x:v>4.5804243668720055</x:v>
      </x:c>
      <x:c r="N246" s="36" t="n">
        <x:v>0</x:v>
      </x:c>
    </x:row>
    <x:row r="247" ht="20" customHeight="1">
      <x:c r="C247" s="1" t="n">
        <x:v>1</x:v>
      </x:c>
      <x:c r="D247" s="1" t="n">
        <x:v>4</x:v>
      </x:c>
      <x:c r="E247" s="1" t="n">
        <x:v>56</x:v>
      </x:c>
      <x:c r="F247" s="32" t="n">
        <x:v>47983</x:v>
      </x:c>
      <x:c r="G247" s="36" t="n">
        <x:v>0</x:v>
      </x:c>
      <x:c r="H247" s="36" t="n">
        <x:v>0</x:v>
      </x:c>
      <x:c r="I247" s="36" t="n">
        <x:v>0</x:v>
      </x:c>
      <x:c r="J247" s="36" t="n">
        <x:v>0</x:v>
      </x:c>
      <x:c r="K247" s="36" t="n">
        <x:v>0</x:v>
      </x:c>
      <x:c r="L247" s="36" t="n">
        <x:v>0</x:v>
      </x:c>
      <x:c r="M247" s="38" t="n">
        <x:v>4.662559890485968</x:v>
      </x:c>
      <x:c r="N247" s="36" t="n">
        <x:v>0</x:v>
      </x:c>
    </x:row>
    <x:row r="248" ht="20" customHeight="1">
      <x:c r="C248" s="1" t="n">
        <x:v>1</x:v>
      </x:c>
      <x:c r="D248" s="1" t="n">
        <x:v>4</x:v>
      </x:c>
      <x:c r="E248" s="1" t="n">
        <x:v>57</x:v>
      </x:c>
      <x:c r="F248" s="32" t="n">
        <x:v>48015</x:v>
      </x:c>
      <x:c r="G248" s="36" t="n">
        <x:v>0</x:v>
      </x:c>
      <x:c r="H248" s="36" t="n">
        <x:v>0</x:v>
      </x:c>
      <x:c r="I248" s="36" t="n">
        <x:v>0</x:v>
      </x:c>
      <x:c r="J248" s="36" t="n">
        <x:v>0</x:v>
      </x:c>
      <x:c r="K248" s="36" t="n">
        <x:v>0</x:v>
      </x:c>
      <x:c r="L248" s="36" t="n">
        <x:v>0</x:v>
      </x:c>
      <x:c r="M248" s="38" t="n">
        <x:v>4.7501711156741955</x:v>
      </x:c>
      <x:c r="N248" s="36" t="n">
        <x:v>0</x:v>
      </x:c>
    </x:row>
    <x:row r="249" ht="20" customHeight="1">
      <x:c r="C249" s="1" t="n">
        <x:v>1</x:v>
      </x:c>
      <x:c r="D249" s="1" t="n">
        <x:v>4</x:v>
      </x:c>
      <x:c r="E249" s="1" t="n">
        <x:v>58</x:v>
      </x:c>
      <x:c r="F249" s="32" t="n">
        <x:v>48044</x:v>
      </x:c>
      <x:c r="G249" s="36" t="n">
        <x:v>0</x:v>
      </x:c>
      <x:c r="H249" s="36" t="n">
        <x:v>0</x:v>
      </x:c>
      <x:c r="I249" s="36" t="n">
        <x:v>0</x:v>
      </x:c>
      <x:c r="J249" s="36" t="n">
        <x:v>0</x:v>
      </x:c>
      <x:c r="K249" s="36" t="n">
        <x:v>0</x:v>
      </x:c>
      <x:c r="L249" s="36" t="n">
        <x:v>0</x:v>
      </x:c>
      <x:c r="M249" s="38" t="n">
        <x:v>4.829568788501026</x:v>
      </x:c>
      <x:c r="N249" s="36" t="n">
        <x:v>0</x:v>
      </x:c>
    </x:row>
    <x:row r="250" ht="20" customHeight="1">
      <x:c r="C250" s="1" t="n">
        <x:v>1</x:v>
      </x:c>
      <x:c r="D250" s="1" t="n">
        <x:v>4</x:v>
      </x:c>
      <x:c r="E250" s="1" t="n">
        <x:v>59</x:v>
      </x:c>
      <x:c r="F250" s="32" t="n">
        <x:v>48075</x:v>
      </x:c>
      <x:c r="G250" s="36" t="n">
        <x:v>0</x:v>
      </x:c>
      <x:c r="H250" s="36" t="n">
        <x:v>0</x:v>
      </x:c>
      <x:c r="I250" s="36" t="n">
        <x:v>0</x:v>
      </x:c>
      <x:c r="J250" s="36" t="n">
        <x:v>0</x:v>
      </x:c>
      <x:c r="K250" s="36" t="n">
        <x:v>0</x:v>
      </x:c>
      <x:c r="L250" s="36" t="n">
        <x:v>0</x:v>
      </x:c>
      <x:c r="M250" s="38" t="n">
        <x:v>4.914442162902122</x:v>
      </x:c>
      <x:c r="N250" s="36" t="n">
        <x:v>0</x:v>
      </x:c>
    </x:row>
    <x:row r="251" ht="20" customHeight="1">
      <x:c r="C251" s="1" t="n">
        <x:v>1</x:v>
      </x:c>
      <x:c r="D251" s="1" t="n">
        <x:v>4</x:v>
      </x:c>
      <x:c r="E251" s="1" t="n">
        <x:v>60</x:v>
      </x:c>
      <x:c r="F251" s="32" t="n">
        <x:v>48106</x:v>
      </x:c>
      <x:c r="G251" s="36" t="n">
        <x:v>0</x:v>
      </x:c>
      <x:c r="H251" s="36" t="n">
        <x:v>0</x:v>
      </x:c>
      <x:c r="I251" s="36" t="n">
        <x:v>0</x:v>
      </x:c>
      <x:c r="J251" s="36" t="n">
        <x:v>0</x:v>
      </x:c>
      <x:c r="K251" s="36" t="n">
        <x:v>0</x:v>
      </x:c>
      <x:c r="L251" s="36" t="n">
        <x:v>0</x:v>
      </x:c>
      <x:c r="M251" s="38" t="n">
        <x:v>4.999315537303217</x:v>
      </x:c>
      <x:c r="N251" s="36" t="n">
        <x:v>0</x:v>
      </x:c>
    </x:row>
    <x:row r="252" ht="20" customHeight="1">
      <x:c r="C252" s="1" t="n">
        <x:v>1</x:v>
      </x:c>
      <x:c r="D252" s="1" t="n">
        <x:v>4</x:v>
      </x:c>
      <x:c r="E252" s="1" t="n">
        <x:v>61</x:v>
      </x:c>
      <x:c r="F252" s="32" t="n">
        <x:v>48136</x:v>
      </x:c>
      <x:c r="G252" s="36" t="n">
        <x:v>0</x:v>
      </x:c>
      <x:c r="H252" s="36" t="n">
        <x:v>0</x:v>
      </x:c>
      <x:c r="I252" s="36" t="n">
        <x:v>0</x:v>
      </x:c>
      <x:c r="J252" s="36" t="n">
        <x:v>0</x:v>
      </x:c>
      <x:c r="K252" s="36" t="n">
        <x:v>0</x:v>
      </x:c>
      <x:c r="L252" s="36" t="n">
        <x:v>0</x:v>
      </x:c>
      <x:c r="M252" s="38" t="n">
        <x:v>5.08145106091718</x:v>
      </x:c>
      <x:c r="N252" s="36" t="n">
        <x:v>0</x:v>
      </x:c>
    </x:row>
    <x:row r="253" ht="20" customHeight="1">
      <x:c r="C253" s="1" t="n">
        <x:v>1</x:v>
      </x:c>
      <x:c r="D253" s="1" t="n">
        <x:v>5</x:v>
      </x:c>
      <x:c r="E253" s="1" t="n">
        <x:v>1</x:v>
      </x:c>
      <x:c r="F253" s="32" t="n">
        <x:v>46310</x:v>
      </x:c>
      <x:c r="G253" s="36" t="n">
        <x:v>89000000</x:v>
      </x:c>
      <x:c r="H253" s="36" t="n">
        <x:v>344875</x:v>
      </x:c>
      <x:c r="I253" s="36" t="n">
        <x:v>0</x:v>
      </x:c>
      <x:c r="J253" s="36" t="n">
        <x:v>0</x:v>
      </x:c>
      <x:c r="K253" s="36" t="n">
        <x:v>89000000</x:v>
      </x:c>
      <x:c r="L253" s="36" t="n">
        <x:v>0</x:v>
      </x:c>
      <x:c r="M253" s="38" t="n">
        <x:v>0.08213552361396304</x:v>
      </x:c>
      <x:c r="N253" s="36" t="n">
        <x:v>89000000</x:v>
      </x:c>
    </x:row>
    <x:row r="254" ht="20" customHeight="1">
      <x:c r="C254" s="1" t="n">
        <x:v>1</x:v>
      </x:c>
      <x:c r="D254" s="1" t="n">
        <x:v>5</x:v>
      </x:c>
      <x:c r="E254" s="1" t="n">
        <x:v>2</x:v>
      </x:c>
      <x:c r="F254" s="32" t="n">
        <x:v>46342</x:v>
      </x:c>
      <x:c r="G254" s="36" t="n">
        <x:v>89000000</x:v>
      </x:c>
      <x:c r="H254" s="36" t="n">
        <x:v>344875</x:v>
      </x:c>
      <x:c r="I254" s="36" t="n">
        <x:v>0</x:v>
      </x:c>
      <x:c r="J254" s="36" t="n">
        <x:v>0</x:v>
      </x:c>
      <x:c r="K254" s="36" t="n">
        <x:v>89000000</x:v>
      </x:c>
      <x:c r="L254" s="36" t="n">
        <x:v>0</x:v>
      </x:c>
      <x:c r="M254" s="38" t="n">
        <x:v>0.1697467488021903</x:v>
      </x:c>
      <x:c r="N254" s="36" t="n">
        <x:v>89000000</x:v>
      </x:c>
    </x:row>
    <x:row r="255" ht="20" customHeight="1">
      <x:c r="C255" s="1" t="n">
        <x:v>1</x:v>
      </x:c>
      <x:c r="D255" s="1" t="n">
        <x:v>5</x:v>
      </x:c>
      <x:c r="E255" s="1" t="n">
        <x:v>3</x:v>
      </x:c>
      <x:c r="F255" s="32" t="n">
        <x:v>46371</x:v>
      </x:c>
      <x:c r="G255" s="36" t="n">
        <x:v>89000000</x:v>
      </x:c>
      <x:c r="H255" s="36" t="n">
        <x:v>344875</x:v>
      </x:c>
      <x:c r="I255" s="36" t="n">
        <x:v>0</x:v>
      </x:c>
      <x:c r="J255" s="36" t="n">
        <x:v>0</x:v>
      </x:c>
      <x:c r="K255" s="36" t="n">
        <x:v>89000000</x:v>
      </x:c>
      <x:c r="L255" s="36" t="n">
        <x:v>0</x:v>
      </x:c>
      <x:c r="M255" s="38" t="n">
        <x:v>0.24914442162902123</x:v>
      </x:c>
      <x:c r="N255" s="36" t="n">
        <x:v>89000000</x:v>
      </x:c>
    </x:row>
    <x:row r="256" ht="20" customHeight="1">
      <x:c r="C256" s="1" t="n">
        <x:v>1</x:v>
      </x:c>
      <x:c r="D256" s="1" t="n">
        <x:v>5</x:v>
      </x:c>
      <x:c r="E256" s="1" t="n">
        <x:v>4</x:v>
      </x:c>
      <x:c r="F256" s="32" t="n">
        <x:v>46402</x:v>
      </x:c>
      <x:c r="G256" s="36" t="n">
        <x:v>89000000</x:v>
      </x:c>
      <x:c r="H256" s="36" t="n">
        <x:v>344875</x:v>
      </x:c>
      <x:c r="I256" s="36" t="n">
        <x:v>0</x:v>
      </x:c>
      <x:c r="J256" s="36" t="n">
        <x:v>0</x:v>
      </x:c>
      <x:c r="K256" s="36" t="n">
        <x:v>89000000</x:v>
      </x:c>
      <x:c r="L256" s="36" t="n">
        <x:v>0</x:v>
      </x:c>
      <x:c r="M256" s="38" t="n">
        <x:v>0.33401779603011633</x:v>
      </x:c>
      <x:c r="N256" s="36" t="n">
        <x:v>89000000</x:v>
      </x:c>
    </x:row>
    <x:row r="257" ht="20" customHeight="1">
      <x:c r="C257" s="1" t="n">
        <x:v>1</x:v>
      </x:c>
      <x:c r="D257" s="1" t="n">
        <x:v>5</x:v>
      </x:c>
      <x:c r="E257" s="1" t="n">
        <x:v>5</x:v>
      </x:c>
      <x:c r="F257" s="32" t="n">
        <x:v>46434</x:v>
      </x:c>
      <x:c r="G257" s="36" t="n">
        <x:v>89000000</x:v>
      </x:c>
      <x:c r="H257" s="36" t="n">
        <x:v>344875</x:v>
      </x:c>
      <x:c r="I257" s="36" t="n">
        <x:v>0</x:v>
      </x:c>
      <x:c r="J257" s="36" t="n">
        <x:v>0</x:v>
      </x:c>
      <x:c r="K257" s="36" t="n">
        <x:v>89000000</x:v>
      </x:c>
      <x:c r="L257" s="36" t="n">
        <x:v>0</x:v>
      </x:c>
      <x:c r="M257" s="38" t="n">
        <x:v>0.4216290212183436</x:v>
      </x:c>
      <x:c r="N257" s="36" t="n">
        <x:v>89000000</x:v>
      </x:c>
    </x:row>
    <x:row r="258" ht="20" customHeight="1">
      <x:c r="C258" s="1" t="n">
        <x:v>1</x:v>
      </x:c>
      <x:c r="D258" s="1" t="n">
        <x:v>5</x:v>
      </x:c>
      <x:c r="E258" s="1" t="n">
        <x:v>6</x:v>
      </x:c>
      <x:c r="F258" s="32" t="n">
        <x:v>46461</x:v>
      </x:c>
      <x:c r="G258" s="36" t="n">
        <x:v>89000000</x:v>
      </x:c>
      <x:c r="H258" s="36" t="n">
        <x:v>344875</x:v>
      </x:c>
      <x:c r="I258" s="36" t="n">
        <x:v>0</x:v>
      </x:c>
      <x:c r="J258" s="36" t="n">
        <x:v>0</x:v>
      </x:c>
      <x:c r="K258" s="36" t="n">
        <x:v>89000000</x:v>
      </x:c>
      <x:c r="L258" s="36" t="n">
        <x:v>0</x:v>
      </x:c>
      <x:c r="M258" s="38" t="n">
        <x:v>0.49555099247091033</x:v>
      </x:c>
      <x:c r="N258" s="36" t="n">
        <x:v>89000000</x:v>
      </x:c>
    </x:row>
    <x:row r="259" ht="20" customHeight="1">
      <x:c r="C259" s="1" t="n">
        <x:v>1</x:v>
      </x:c>
      <x:c r="D259" s="1" t="n">
        <x:v>5</x:v>
      </x:c>
      <x:c r="E259" s="1" t="n">
        <x:v>7</x:v>
      </x:c>
      <x:c r="F259" s="32" t="n">
        <x:v>46492</x:v>
      </x:c>
      <x:c r="G259" s="36" t="n">
        <x:v>89000000</x:v>
      </x:c>
      <x:c r="H259" s="36" t="n">
        <x:v>344875</x:v>
      </x:c>
      <x:c r="I259" s="36" t="n">
        <x:v>0</x:v>
      </x:c>
      <x:c r="J259" s="36" t="n">
        <x:v>0</x:v>
      </x:c>
      <x:c r="K259" s="36" t="n">
        <x:v>89000000</x:v>
      </x:c>
      <x:c r="L259" s="36" t="n">
        <x:v>0</x:v>
      </x:c>
      <x:c r="M259" s="38" t="n">
        <x:v>0.5804243668720055</x:v>
      </x:c>
      <x:c r="N259" s="36" t="n">
        <x:v>89000000</x:v>
      </x:c>
    </x:row>
    <x:row r="260" ht="20" customHeight="1">
      <x:c r="C260" s="1" t="n">
        <x:v>1</x:v>
      </x:c>
      <x:c r="D260" s="1" t="n">
        <x:v>5</x:v>
      </x:c>
      <x:c r="E260" s="1" t="n">
        <x:v>8</x:v>
      </x:c>
      <x:c r="F260" s="32" t="n">
        <x:v>46524</x:v>
      </x:c>
      <x:c r="G260" s="36" t="n">
        <x:v>89000000</x:v>
      </x:c>
      <x:c r="H260" s="36" t="n">
        <x:v>344875</x:v>
      </x:c>
      <x:c r="I260" s="36" t="n">
        <x:v>0</x:v>
      </x:c>
      <x:c r="J260" s="36" t="n">
        <x:v>0</x:v>
      </x:c>
      <x:c r="K260" s="36" t="n">
        <x:v>89000000</x:v>
      </x:c>
      <x:c r="L260" s="36" t="n">
        <x:v>0</x:v>
      </x:c>
      <x:c r="M260" s="38" t="n">
        <x:v>0.6680355920602327</x:v>
      </x:c>
      <x:c r="N260" s="36" t="n">
        <x:v>89000000</x:v>
      </x:c>
    </x:row>
    <x:row r="261" ht="20" customHeight="1">
      <x:c r="C261" s="1" t="n">
        <x:v>1</x:v>
      </x:c>
      <x:c r="D261" s="1" t="n">
        <x:v>5</x:v>
      </x:c>
      <x:c r="E261" s="1" t="n">
        <x:v>9</x:v>
      </x:c>
      <x:c r="F261" s="32" t="n">
        <x:v>46553</x:v>
      </x:c>
      <x:c r="G261" s="36" t="n">
        <x:v>89000000</x:v>
      </x:c>
      <x:c r="H261" s="36" t="n">
        <x:v>344875</x:v>
      </x:c>
      <x:c r="I261" s="36" t="n">
        <x:v>0</x:v>
      </x:c>
      <x:c r="J261" s="36" t="n">
        <x:v>0</x:v>
      </x:c>
      <x:c r="K261" s="36" t="n">
        <x:v>89000000</x:v>
      </x:c>
      <x:c r="L261" s="36" t="n">
        <x:v>0</x:v>
      </x:c>
      <x:c r="M261" s="38" t="n">
        <x:v>0.7474332648870636</x:v>
      </x:c>
      <x:c r="N261" s="36" t="n">
        <x:v>89000000</x:v>
      </x:c>
    </x:row>
    <x:row r="262" ht="20" customHeight="1">
      <x:c r="C262" s="1" t="n">
        <x:v>1</x:v>
      </x:c>
      <x:c r="D262" s="1" t="n">
        <x:v>5</x:v>
      </x:c>
      <x:c r="E262" s="1" t="n">
        <x:v>10</x:v>
      </x:c>
      <x:c r="F262" s="32" t="n">
        <x:v>46583</x:v>
      </x:c>
      <x:c r="G262" s="36" t="n">
        <x:v>89000000</x:v>
      </x:c>
      <x:c r="H262" s="36" t="n">
        <x:v>344875</x:v>
      </x:c>
      <x:c r="I262" s="36" t="n">
        <x:v>0</x:v>
      </x:c>
      <x:c r="J262" s="36" t="n">
        <x:v>0</x:v>
      </x:c>
      <x:c r="K262" s="36" t="n">
        <x:v>89000000</x:v>
      </x:c>
      <x:c r="L262" s="36" t="n">
        <x:v>0</x:v>
      </x:c>
      <x:c r="M262" s="38" t="n">
        <x:v>0.8295687885010267</x:v>
      </x:c>
      <x:c r="N262" s="36" t="n">
        <x:v>89000000</x:v>
      </x:c>
    </x:row>
    <x:row r="263" ht="20" customHeight="1">
      <x:c r="C263" s="1" t="n">
        <x:v>1</x:v>
      </x:c>
      <x:c r="D263" s="1" t="n">
        <x:v>5</x:v>
      </x:c>
      <x:c r="E263" s="1" t="n">
        <x:v>11</x:v>
      </x:c>
      <x:c r="F263" s="32" t="n">
        <x:v>46615</x:v>
      </x:c>
      <x:c r="G263" s="36" t="n">
        <x:v>89000000</x:v>
      </x:c>
      <x:c r="H263" s="36" t="n">
        <x:v>344875</x:v>
      </x:c>
      <x:c r="I263" s="36" t="n">
        <x:v>0</x:v>
      </x:c>
      <x:c r="J263" s="36" t="n">
        <x:v>0</x:v>
      </x:c>
      <x:c r="K263" s="36" t="n">
        <x:v>89000000</x:v>
      </x:c>
      <x:c r="L263" s="36" t="n">
        <x:v>0</x:v>
      </x:c>
      <x:c r="M263" s="38" t="n">
        <x:v>0.917180013689254</x:v>
      </x:c>
      <x:c r="N263" s="36" t="n">
        <x:v>89000000</x:v>
      </x:c>
    </x:row>
    <x:row r="264" ht="20" customHeight="1">
      <x:c r="C264" s="1" t="n">
        <x:v>1</x:v>
      </x:c>
      <x:c r="D264" s="1" t="n">
        <x:v>5</x:v>
      </x:c>
      <x:c r="E264" s="1" t="n">
        <x:v>12</x:v>
      </x:c>
      <x:c r="F264" s="32" t="n">
        <x:v>46645</x:v>
      </x:c>
      <x:c r="G264" s="36" t="n">
        <x:v>89000000</x:v>
      </x:c>
      <x:c r="H264" s="36" t="n">
        <x:v>344875</x:v>
      </x:c>
      <x:c r="I264" s="36" t="n">
        <x:v>0</x:v>
      </x:c>
      <x:c r="J264" s="36" t="n">
        <x:v>0</x:v>
      </x:c>
      <x:c r="K264" s="36" t="n">
        <x:v>89000000</x:v>
      </x:c>
      <x:c r="L264" s="36" t="n">
        <x:v>0</x:v>
      </x:c>
      <x:c r="M264" s="38" t="n">
        <x:v>0.999315537303217</x:v>
      </x:c>
      <x:c r="N264" s="36" t="n">
        <x:v>89000000</x:v>
      </x:c>
    </x:row>
    <x:row r="265" ht="20" customHeight="1">
      <x:c r="C265" s="1" t="n">
        <x:v>1</x:v>
      </x:c>
      <x:c r="D265" s="1" t="n">
        <x:v>5</x:v>
      </x:c>
      <x:c r="E265" s="1" t="n">
        <x:v>13</x:v>
      </x:c>
      <x:c r="F265" s="32" t="n">
        <x:v>46675</x:v>
      </x:c>
      <x:c r="G265" s="36" t="n">
        <x:v>89000000</x:v>
      </x:c>
      <x:c r="H265" s="36" t="n">
        <x:v>344875</x:v>
      </x:c>
      <x:c r="I265" s="36" t="n">
        <x:v>0</x:v>
      </x:c>
      <x:c r="J265" s="36" t="n">
        <x:v>0</x:v>
      </x:c>
      <x:c r="K265" s="36" t="n">
        <x:v>89000000</x:v>
      </x:c>
      <x:c r="L265" s="36" t="n">
        <x:v>0</x:v>
      </x:c>
      <x:c r="M265" s="38" t="n">
        <x:v>1.08145106091718</x:v>
      </x:c>
      <x:c r="N265" s="36" t="n">
        <x:v>89000000</x:v>
      </x:c>
    </x:row>
    <x:row r="266" ht="20" customHeight="1">
      <x:c r="C266" s="1" t="n">
        <x:v>1</x:v>
      </x:c>
      <x:c r="D266" s="1" t="n">
        <x:v>5</x:v>
      </x:c>
      <x:c r="E266" s="1" t="n">
        <x:v>14</x:v>
      </x:c>
      <x:c r="F266" s="32" t="n">
        <x:v>46706</x:v>
      </x:c>
      <x:c r="G266" s="36" t="n">
        <x:v>89000000</x:v>
      </x:c>
      <x:c r="H266" s="36" t="n">
        <x:v>344875</x:v>
      </x:c>
      <x:c r="I266" s="36" t="n">
        <x:v>0</x:v>
      </x:c>
      <x:c r="J266" s="36" t="n">
        <x:v>0</x:v>
      </x:c>
      <x:c r="K266" s="36" t="n">
        <x:v>89000000</x:v>
      </x:c>
      <x:c r="L266" s="36" t="n">
        <x:v>0</x:v>
      </x:c>
      <x:c r="M266" s="38" t="n">
        <x:v>1.1663244353182751</x:v>
      </x:c>
      <x:c r="N266" s="36" t="n">
        <x:v>89000000</x:v>
      </x:c>
    </x:row>
    <x:row r="267" ht="20" customHeight="1">
      <x:c r="C267" s="1" t="n">
        <x:v>1</x:v>
      </x:c>
      <x:c r="D267" s="1" t="n">
        <x:v>5</x:v>
      </x:c>
      <x:c r="E267" s="1" t="n">
        <x:v>15</x:v>
      </x:c>
      <x:c r="F267" s="32" t="n">
        <x:v>46736</x:v>
      </x:c>
      <x:c r="G267" s="36" t="n">
        <x:v>89000000</x:v>
      </x:c>
      <x:c r="H267" s="36" t="n">
        <x:v>344875</x:v>
      </x:c>
      <x:c r="I267" s="36" t="n">
        <x:v>0</x:v>
      </x:c>
      <x:c r="J267" s="36" t="n">
        <x:v>0</x:v>
      </x:c>
      <x:c r="K267" s="36" t="n">
        <x:v>89000000</x:v>
      </x:c>
      <x:c r="L267" s="36" t="n">
        <x:v>0</x:v>
      </x:c>
      <x:c r="M267" s="38" t="n">
        <x:v>1.2484599589322383</x:v>
      </x:c>
      <x:c r="N267" s="36" t="n">
        <x:v>89000000</x:v>
      </x:c>
    </x:row>
    <x:row r="268" ht="20" customHeight="1">
      <x:c r="C268" s="1" t="n">
        <x:v>1</x:v>
      </x:c>
      <x:c r="D268" s="1" t="n">
        <x:v>5</x:v>
      </x:c>
      <x:c r="E268" s="1" t="n">
        <x:v>16</x:v>
      </x:c>
      <x:c r="F268" s="32" t="n">
        <x:v>46770</x:v>
      </x:c>
      <x:c r="G268" s="36" t="n">
        <x:v>89000000</x:v>
      </x:c>
      <x:c r="H268" s="36" t="n">
        <x:v>344875</x:v>
      </x:c>
      <x:c r="I268" s="36" t="n">
        <x:v>0</x:v>
      </x:c>
      <x:c r="J268" s="36" t="n">
        <x:v>0</x:v>
      </x:c>
      <x:c r="K268" s="36" t="n">
        <x:v>89000000</x:v>
      </x:c>
      <x:c r="L268" s="36" t="n">
        <x:v>0</x:v>
      </x:c>
      <x:c r="M268" s="38" t="n">
        <x:v>1.3415468856947297</x:v>
      </x:c>
      <x:c r="N268" s="36" t="n">
        <x:v>89000000</x:v>
      </x:c>
    </x:row>
    <x:row r="269" ht="20" customHeight="1">
      <x:c r="C269" s="1" t="n">
        <x:v>1</x:v>
      </x:c>
      <x:c r="D269" s="1" t="n">
        <x:v>5</x:v>
      </x:c>
      <x:c r="E269" s="1" t="n">
        <x:v>17</x:v>
      </x:c>
      <x:c r="F269" s="32" t="n">
        <x:v>46798</x:v>
      </x:c>
      <x:c r="G269" s="36" t="n">
        <x:v>89000000</x:v>
      </x:c>
      <x:c r="H269" s="36" t="n">
        <x:v>344875</x:v>
      </x:c>
      <x:c r="I269" s="36" t="n">
        <x:v>0</x:v>
      </x:c>
      <x:c r="J269" s="36" t="n">
        <x:v>0</x:v>
      </x:c>
      <x:c r="K269" s="36" t="n">
        <x:v>89000000</x:v>
      </x:c>
      <x:c r="L269" s="36" t="n">
        <x:v>0</x:v>
      </x:c>
      <x:c r="M269" s="38" t="n">
        <x:v>1.4182067077344285</x:v>
      </x:c>
      <x:c r="N269" s="36" t="n">
        <x:v>89000000</x:v>
      </x:c>
    </x:row>
    <x:row r="270" ht="20" customHeight="1">
      <x:c r="C270" s="1" t="n">
        <x:v>1</x:v>
      </x:c>
      <x:c r="D270" s="1" t="n">
        <x:v>5</x:v>
      </x:c>
      <x:c r="E270" s="1" t="n">
        <x:v>18</x:v>
      </x:c>
      <x:c r="F270" s="32" t="n">
        <x:v>46827</x:v>
      </x:c>
      <x:c r="G270" s="36" t="n">
        <x:v>89000000</x:v>
      </x:c>
      <x:c r="H270" s="36" t="n">
        <x:v>344875</x:v>
      </x:c>
      <x:c r="I270" s="36" t="n">
        <x:v>0</x:v>
      </x:c>
      <x:c r="J270" s="36" t="n">
        <x:v>0</x:v>
      </x:c>
      <x:c r="K270" s="36" t="n">
        <x:v>89000000</x:v>
      </x:c>
      <x:c r="L270" s="36" t="n">
        <x:v>0</x:v>
      </x:c>
      <x:c r="M270" s="38" t="n">
        <x:v>1.4976043805612593</x:v>
      </x:c>
      <x:c r="N270" s="36" t="n">
        <x:v>89000000</x:v>
      </x:c>
    </x:row>
    <x:row r="271" ht="20" customHeight="1">
      <x:c r="C271" s="1" t="n">
        <x:v>1</x:v>
      </x:c>
      <x:c r="D271" s="1" t="n">
        <x:v>5</x:v>
      </x:c>
      <x:c r="E271" s="1" t="n">
        <x:v>19</x:v>
      </x:c>
      <x:c r="F271" s="32" t="n">
        <x:v>46860</x:v>
      </x:c>
      <x:c r="G271" s="36" t="n">
        <x:v>89000000</x:v>
      </x:c>
      <x:c r="H271" s="36" t="n">
        <x:v>344875</x:v>
      </x:c>
      <x:c r="I271" s="36" t="n">
        <x:v>0</x:v>
      </x:c>
      <x:c r="J271" s="36" t="n">
        <x:v>0</x:v>
      </x:c>
      <x:c r="K271" s="36" t="n">
        <x:v>89000000</x:v>
      </x:c>
      <x:c r="L271" s="36" t="n">
        <x:v>0</x:v>
      </x:c>
      <x:c r="M271" s="38" t="n">
        <x:v>1.5879534565366187</x:v>
      </x:c>
      <x:c r="N271" s="36" t="n">
        <x:v>89000000</x:v>
      </x:c>
    </x:row>
    <x:row r="272" ht="20" customHeight="1">
      <x:c r="C272" s="1" t="n">
        <x:v>1</x:v>
      </x:c>
      <x:c r="D272" s="1" t="n">
        <x:v>5</x:v>
      </x:c>
      <x:c r="E272" s="1" t="n">
        <x:v>20</x:v>
      </x:c>
      <x:c r="F272" s="32" t="n">
        <x:v>46888</x:v>
      </x:c>
      <x:c r="G272" s="36" t="n">
        <x:v>89000000</x:v>
      </x:c>
      <x:c r="H272" s="36" t="n">
        <x:v>344875</x:v>
      </x:c>
      <x:c r="I272" s="36" t="n">
        <x:v>0</x:v>
      </x:c>
      <x:c r="J272" s="36" t="n">
        <x:v>0</x:v>
      </x:c>
      <x:c r="K272" s="36" t="n">
        <x:v>89000000</x:v>
      </x:c>
      <x:c r="L272" s="36" t="n">
        <x:v>0</x:v>
      </x:c>
      <x:c r="M272" s="38" t="n">
        <x:v>1.6646132785763177</x:v>
      </x:c>
      <x:c r="N272" s="36" t="n">
        <x:v>89000000</x:v>
      </x:c>
    </x:row>
    <x:row r="273" ht="20" customHeight="1">
      <x:c r="C273" s="1" t="n">
        <x:v>1</x:v>
      </x:c>
      <x:c r="D273" s="1" t="n">
        <x:v>5</x:v>
      </x:c>
      <x:c r="E273" s="1" t="n">
        <x:v>21</x:v>
      </x:c>
      <x:c r="F273" s="32" t="n">
        <x:v>46919</x:v>
      </x:c>
      <x:c r="G273" s="36" t="n">
        <x:v>89000000</x:v>
      </x:c>
      <x:c r="H273" s="36" t="n">
        <x:v>344875</x:v>
      </x:c>
      <x:c r="I273" s="36" t="n">
        <x:v>0</x:v>
      </x:c>
      <x:c r="J273" s="36" t="n">
        <x:v>0</x:v>
      </x:c>
      <x:c r="K273" s="36" t="n">
        <x:v>89000000</x:v>
      </x:c>
      <x:c r="L273" s="36" t="n">
        <x:v>0</x:v>
      </x:c>
      <x:c r="M273" s="38" t="n">
        <x:v>1.7494866529774127</x:v>
      </x:c>
      <x:c r="N273" s="36" t="n">
        <x:v>89000000</x:v>
      </x:c>
    </x:row>
    <x:row r="274" ht="20" customHeight="1">
      <x:c r="C274" s="1" t="n">
        <x:v>1</x:v>
      </x:c>
      <x:c r="D274" s="1" t="n">
        <x:v>5</x:v>
      </x:c>
      <x:c r="E274" s="1" t="n">
        <x:v>22</x:v>
      </x:c>
      <x:c r="F274" s="32" t="n">
        <x:v>46951</x:v>
      </x:c>
      <x:c r="G274" s="36" t="n">
        <x:v>89000000</x:v>
      </x:c>
      <x:c r="H274" s="36" t="n">
        <x:v>344875</x:v>
      </x:c>
      <x:c r="I274" s="36" t="n">
        <x:v>0</x:v>
      </x:c>
      <x:c r="J274" s="36" t="n">
        <x:v>0</x:v>
      </x:c>
      <x:c r="K274" s="36" t="n">
        <x:v>89000000</x:v>
      </x:c>
      <x:c r="L274" s="36" t="n">
        <x:v>0</x:v>
      </x:c>
      <x:c r="M274" s="38" t="n">
        <x:v>1.83709787816564</x:v>
      </x:c>
      <x:c r="N274" s="36" t="n">
        <x:v>89000000</x:v>
      </x:c>
    </x:row>
    <x:row r="275" ht="20" customHeight="1">
      <x:c r="C275" s="1" t="n">
        <x:v>1</x:v>
      </x:c>
      <x:c r="D275" s="1" t="n">
        <x:v>5</x:v>
      </x:c>
      <x:c r="E275" s="1" t="n">
        <x:v>23</x:v>
      </x:c>
      <x:c r="F275" s="32" t="n">
        <x:v>46980</x:v>
      </x:c>
      <x:c r="G275" s="36" t="n">
        <x:v>89000000</x:v>
      </x:c>
      <x:c r="H275" s="36" t="n">
        <x:v>344875</x:v>
      </x:c>
      <x:c r="I275" s="36" t="n">
        <x:v>0</x:v>
      </x:c>
      <x:c r="J275" s="36" t="n">
        <x:v>0</x:v>
      </x:c>
      <x:c r="K275" s="36" t="n">
        <x:v>89000000</x:v>
      </x:c>
      <x:c r="L275" s="36" t="n">
        <x:v>0</x:v>
      </x:c>
      <x:c r="M275" s="38" t="n">
        <x:v>1.9164955509924708</x:v>
      </x:c>
      <x:c r="N275" s="36" t="n">
        <x:v>89000000</x:v>
      </x:c>
    </x:row>
    <x:row r="276" ht="20" customHeight="1">
      <x:c r="C276" s="1" t="n">
        <x:v>1</x:v>
      </x:c>
      <x:c r="D276" s="1" t="n">
        <x:v>5</x:v>
      </x:c>
      <x:c r="E276" s="1" t="n">
        <x:v>24</x:v>
      </x:c>
      <x:c r="F276" s="32" t="n">
        <x:v>47011</x:v>
      </x:c>
      <x:c r="G276" s="36" t="n">
        <x:v>89000000</x:v>
      </x:c>
      <x:c r="H276" s="36" t="n">
        <x:v>344875</x:v>
      </x:c>
      <x:c r="I276" s="36" t="n">
        <x:v>0</x:v>
      </x:c>
      <x:c r="J276" s="36" t="n">
        <x:v>0</x:v>
      </x:c>
      <x:c r="K276" s="36" t="n">
        <x:v>89000000</x:v>
      </x:c>
      <x:c r="L276" s="36" t="n">
        <x:v>0</x:v>
      </x:c>
      <x:c r="M276" s="38" t="n">
        <x:v>2.001368925393566</x:v>
      </x:c>
      <x:c r="N276" s="36" t="n">
        <x:v>89000000</x:v>
      </x:c>
    </x:row>
    <x:row r="277" ht="20" customHeight="1">
      <x:c r="C277" s="1" t="n">
        <x:v>1</x:v>
      </x:c>
      <x:c r="D277" s="1" t="n">
        <x:v>5</x:v>
      </x:c>
      <x:c r="E277" s="1" t="n">
        <x:v>25</x:v>
      </x:c>
      <x:c r="F277" s="32" t="n">
        <x:v>47042</x:v>
      </x:c>
      <x:c r="G277" s="36" t="n">
        <x:v>89000000</x:v>
      </x:c>
      <x:c r="H277" s="36" t="n">
        <x:v>344875</x:v>
      </x:c>
      <x:c r="I277" s="36" t="n">
        <x:v>0</x:v>
      </x:c>
      <x:c r="J277" s="36" t="n">
        <x:v>0</x:v>
      </x:c>
      <x:c r="K277" s="36" t="n">
        <x:v>89000000</x:v>
      </x:c>
      <x:c r="L277" s="36" t="n">
        <x:v>0</x:v>
      </x:c>
      <x:c r="M277" s="38" t="n">
        <x:v>2.086242299794661</x:v>
      </x:c>
      <x:c r="N277" s="36" t="n">
        <x:v>89000000</x:v>
      </x:c>
    </x:row>
    <x:row r="278" ht="20" customHeight="1">
      <x:c r="C278" s="1" t="n">
        <x:v>1</x:v>
      </x:c>
      <x:c r="D278" s="1" t="n">
        <x:v>5</x:v>
      </x:c>
      <x:c r="E278" s="1" t="n">
        <x:v>26</x:v>
      </x:c>
      <x:c r="F278" s="32" t="n">
        <x:v>47072</x:v>
      </x:c>
      <x:c r="G278" s="36" t="n">
        <x:v>89000000</x:v>
      </x:c>
      <x:c r="H278" s="36" t="n">
        <x:v>344875</x:v>
      </x:c>
      <x:c r="I278" s="36" t="n">
        <x:v>0</x:v>
      </x:c>
      <x:c r="J278" s="36" t="n">
        <x:v>0</x:v>
      </x:c>
      <x:c r="K278" s="36" t="n">
        <x:v>89000000</x:v>
      </x:c>
      <x:c r="L278" s="36" t="n">
        <x:v>0</x:v>
      </x:c>
      <x:c r="M278" s="38" t="n">
        <x:v>2.1683778234086244</x:v>
      </x:c>
      <x:c r="N278" s="36" t="n">
        <x:v>89000000</x:v>
      </x:c>
    </x:row>
    <x:row r="279" ht="20" customHeight="1">
      <x:c r="C279" s="1" t="n">
        <x:v>1</x:v>
      </x:c>
      <x:c r="D279" s="1" t="n">
        <x:v>5</x:v>
      </x:c>
      <x:c r="E279" s="1" t="n">
        <x:v>27</x:v>
      </x:c>
      <x:c r="F279" s="32" t="n">
        <x:v>47102</x:v>
      </x:c>
      <x:c r="G279" s="36" t="n">
        <x:v>89000000</x:v>
      </x:c>
      <x:c r="H279" s="36" t="n">
        <x:v>344875</x:v>
      </x:c>
      <x:c r="I279" s="36" t="n">
        <x:v>0</x:v>
      </x:c>
      <x:c r="J279" s="36" t="n">
        <x:v>0</x:v>
      </x:c>
      <x:c r="K279" s="36" t="n">
        <x:v>89000000</x:v>
      </x:c>
      <x:c r="L279" s="36" t="n">
        <x:v>0</x:v>
      </x:c>
      <x:c r="M279" s="38" t="n">
        <x:v>2.2505133470225873</x:v>
      </x:c>
      <x:c r="N279" s="36" t="n">
        <x:v>89000000</x:v>
      </x:c>
    </x:row>
    <x:row r="280" ht="20" customHeight="1">
      <x:c r="C280" s="1" t="n">
        <x:v>1</x:v>
      </x:c>
      <x:c r="D280" s="1" t="n">
        <x:v>5</x:v>
      </x:c>
      <x:c r="E280" s="1" t="n">
        <x:v>28</x:v>
      </x:c>
      <x:c r="F280" s="32" t="n">
        <x:v>47134</x:v>
      </x:c>
      <x:c r="G280" s="36" t="n">
        <x:v>89000000</x:v>
      </x:c>
      <x:c r="H280" s="36" t="n">
        <x:v>344875</x:v>
      </x:c>
      <x:c r="I280" s="36" t="n">
        <x:v>0</x:v>
      </x:c>
      <x:c r="J280" s="36" t="n">
        <x:v>0</x:v>
      </x:c>
      <x:c r="K280" s="36" t="n">
        <x:v>89000000</x:v>
      </x:c>
      <x:c r="L280" s="36" t="n">
        <x:v>0</x:v>
      </x:c>
      <x:c r="M280" s="38" t="n">
        <x:v>2.3381245722108144</x:v>
      </x:c>
      <x:c r="N280" s="36" t="n">
        <x:v>89000000</x:v>
      </x:c>
    </x:row>
    <x:row r="281" ht="20" customHeight="1">
      <x:c r="C281" s="1" t="n">
        <x:v>1</x:v>
      </x:c>
      <x:c r="D281" s="1" t="n">
        <x:v>5</x:v>
      </x:c>
      <x:c r="E281" s="1" t="n">
        <x:v>29</x:v>
      </x:c>
      <x:c r="F281" s="32" t="n">
        <x:v>47164</x:v>
      </x:c>
      <x:c r="G281" s="36" t="n">
        <x:v>89000000</x:v>
      </x:c>
      <x:c r="H281" s="36" t="n">
        <x:v>344875</x:v>
      </x:c>
      <x:c r="I281" s="36" t="n">
        <x:v>0</x:v>
      </x:c>
      <x:c r="J281" s="36" t="n">
        <x:v>0</x:v>
      </x:c>
      <x:c r="K281" s="36" t="n">
        <x:v>89000000</x:v>
      </x:c>
      <x:c r="L281" s="36" t="n">
        <x:v>0</x:v>
      </x:c>
      <x:c r="M281" s="38" t="n">
        <x:v>2.4202600958247777</x:v>
      </x:c>
      <x:c r="N281" s="36" t="n">
        <x:v>89000000</x:v>
      </x:c>
    </x:row>
    <x:row r="282" ht="20" customHeight="1">
      <x:c r="C282" s="1" t="n">
        <x:v>1</x:v>
      </x:c>
      <x:c r="D282" s="1" t="n">
        <x:v>5</x:v>
      </x:c>
      <x:c r="E282" s="1" t="n">
        <x:v>30</x:v>
      </x:c>
      <x:c r="F282" s="32" t="n">
        <x:v>47192</x:v>
      </x:c>
      <x:c r="G282" s="36" t="n">
        <x:v>89000000</x:v>
      </x:c>
      <x:c r="H282" s="36" t="n">
        <x:v>344875</x:v>
      </x:c>
      <x:c r="I282" s="36" t="n">
        <x:v>0</x:v>
      </x:c>
      <x:c r="J282" s="36" t="n">
        <x:v>0</x:v>
      </x:c>
      <x:c r="K282" s="36" t="n">
        <x:v>89000000</x:v>
      </x:c>
      <x:c r="L282" s="36" t="n">
        <x:v>0</x:v>
      </x:c>
      <x:c r="M282" s="38" t="n">
        <x:v>2.4969199178644765</x:v>
      </x:c>
      <x:c r="N282" s="36" t="n">
        <x:v>89000000</x:v>
      </x:c>
    </x:row>
    <x:row r="283" ht="20" customHeight="1">
      <x:c r="C283" s="1" t="n">
        <x:v>1</x:v>
      </x:c>
      <x:c r="D283" s="1" t="n">
        <x:v>5</x:v>
      </x:c>
      <x:c r="E283" s="1" t="n">
        <x:v>31</x:v>
      </x:c>
      <x:c r="F283" s="32" t="n">
        <x:v>47224</x:v>
      </x:c>
      <x:c r="G283" s="36" t="n">
        <x:v>89000000</x:v>
      </x:c>
      <x:c r="H283" s="36" t="n">
        <x:v>344875</x:v>
      </x:c>
      <x:c r="I283" s="36" t="n">
        <x:v>0</x:v>
      </x:c>
      <x:c r="J283" s="36" t="n">
        <x:v>0</x:v>
      </x:c>
      <x:c r="K283" s="36" t="n">
        <x:v>89000000</x:v>
      </x:c>
      <x:c r="L283" s="36" t="n">
        <x:v>0</x:v>
      </x:c>
      <x:c r="M283" s="38" t="n">
        <x:v>2.5845311430527036</x:v>
      </x:c>
      <x:c r="N283" s="36" t="n">
        <x:v>89000000</x:v>
      </x:c>
    </x:row>
    <x:row r="284" ht="20" customHeight="1">
      <x:c r="C284" s="1" t="n">
        <x:v>1</x:v>
      </x:c>
      <x:c r="D284" s="1" t="n">
        <x:v>5</x:v>
      </x:c>
      <x:c r="E284" s="1" t="n">
        <x:v>32</x:v>
      </x:c>
      <x:c r="F284" s="32" t="n">
        <x:v>47253</x:v>
      </x:c>
      <x:c r="G284" s="36" t="n">
        <x:v>89000000</x:v>
      </x:c>
      <x:c r="H284" s="36" t="n">
        <x:v>344875</x:v>
      </x:c>
      <x:c r="I284" s="36" t="n">
        <x:v>12306716.47</x:v>
      </x:c>
      <x:c r="J284" s="36" t="n">
        <x:v>0</x:v>
      </x:c>
      <x:c r="K284" s="36" t="n">
        <x:v>76693283.53</x:v>
      </x:c>
      <x:c r="L284" s="36" t="n">
        <x:v>0</x:v>
      </x:c>
      <x:c r="M284" s="38" t="n">
        <x:v>2.6639288158795345</x:v>
      </x:c>
      <x:c r="N284" s="36" t="n">
        <x:v>76693283.53</x:v>
      </x:c>
    </x:row>
    <x:row r="285" ht="20" customHeight="1">
      <x:c r="C285" s="1" t="n">
        <x:v>1</x:v>
      </x:c>
      <x:c r="D285" s="1" t="n">
        <x:v>5</x:v>
      </x:c>
      <x:c r="E285" s="1" t="n">
        <x:v>33</x:v>
      </x:c>
      <x:c r="F285" s="32" t="n">
        <x:v>47284</x:v>
      </x:c>
      <x:c r="G285" s="36" t="n">
        <x:v>76693283.53</x:v>
      </x:c>
      <x:c r="H285" s="36" t="n">
        <x:v>297186.47</x:v>
      </x:c>
      <x:c r="I285" s="36" t="n">
        <x:v>12187064.81</x:v>
      </x:c>
      <x:c r="J285" s="36" t="n">
        <x:v>0</x:v>
      </x:c>
      <x:c r="K285" s="36" t="n">
        <x:v>64506218.72</x:v>
      </x:c>
      <x:c r="L285" s="36" t="n">
        <x:v>0</x:v>
      </x:c>
      <x:c r="M285" s="38" t="n">
        <x:v>2.74880219028063</x:v>
      </x:c>
      <x:c r="N285" s="36" t="n">
        <x:v>64506218.72</x:v>
      </x:c>
    </x:row>
    <x:row r="286" ht="20" customHeight="1">
      <x:c r="C286" s="1" t="n">
        <x:v>1</x:v>
      </x:c>
      <x:c r="D286" s="1" t="n">
        <x:v>5</x:v>
      </x:c>
      <x:c r="E286" s="1" t="n">
        <x:v>34</x:v>
      </x:c>
      <x:c r="F286" s="32" t="n">
        <x:v>47315</x:v>
      </x:c>
      <x:c r="G286" s="36" t="n">
        <x:v>64506218.72</x:v>
      </x:c>
      <x:c r="H286" s="36" t="n">
        <x:v>249961.6</x:v>
      </x:c>
      <x:c r="I286" s="36" t="n">
        <x:v>11854550.27</x:v>
      </x:c>
      <x:c r="J286" s="36" t="n">
        <x:v>0</x:v>
      </x:c>
      <x:c r="K286" s="36" t="n">
        <x:v>52651668.45</x:v>
      </x:c>
      <x:c r="L286" s="36" t="n">
        <x:v>0</x:v>
      </x:c>
      <x:c r="M286" s="38" t="n">
        <x:v>2.833675564681725</x:v>
      </x:c>
      <x:c r="N286" s="36" t="n">
        <x:v>52651668.45</x:v>
      </x:c>
    </x:row>
    <x:row r="287" ht="20" customHeight="1">
      <x:c r="C287" s="1" t="n">
        <x:v>1</x:v>
      </x:c>
      <x:c r="D287" s="1" t="n">
        <x:v>5</x:v>
      </x:c>
      <x:c r="E287" s="1" t="n">
        <x:v>35</x:v>
      </x:c>
      <x:c r="F287" s="32" t="n">
        <x:v>47345</x:v>
      </x:c>
      <x:c r="G287" s="36" t="n">
        <x:v>52651668.45</x:v>
      </x:c>
      <x:c r="H287" s="36" t="n">
        <x:v>204025.22</x:v>
      </x:c>
      <x:c r="I287" s="36" t="n">
        <x:v>11486926.02</x:v>
      </x:c>
      <x:c r="J287" s="36" t="n">
        <x:v>0</x:v>
      </x:c>
      <x:c r="K287" s="36" t="n">
        <x:v>41164742.43</x:v>
      </x:c>
      <x:c r="L287" s="36" t="n">
        <x:v>0</x:v>
      </x:c>
      <x:c r="M287" s="38" t="n">
        <x:v>2.915811088295688</x:v>
      </x:c>
      <x:c r="N287" s="36" t="n">
        <x:v>41164742.43</x:v>
      </x:c>
    </x:row>
    <x:row r="288" ht="20" customHeight="1">
      <x:c r="C288" s="1" t="n">
        <x:v>1</x:v>
      </x:c>
      <x:c r="D288" s="1" t="n">
        <x:v>5</x:v>
      </x:c>
      <x:c r="E288" s="1" t="n">
        <x:v>36</x:v>
      </x:c>
      <x:c r="F288" s="32" t="n">
        <x:v>47378</x:v>
      </x:c>
      <x:c r="G288" s="36" t="n">
        <x:v>41164742.43</x:v>
      </x:c>
      <x:c r="H288" s="36" t="n">
        <x:v>159513.38</x:v>
      </x:c>
      <x:c r="I288" s="36" t="n">
        <x:v>11110993.5</x:v>
      </x:c>
      <x:c r="J288" s="36" t="n">
        <x:v>0</x:v>
      </x:c>
      <x:c r="K288" s="36" t="n">
        <x:v>30053748.93</x:v>
      </x:c>
      <x:c r="L288" s="36" t="n">
        <x:v>0</x:v>
      </x:c>
      <x:c r="M288" s="38" t="n">
        <x:v>3.0061601642710474</x:v>
      </x:c>
      <x:c r="N288" s="36" t="n">
        <x:v>30053748.93</x:v>
      </x:c>
    </x:row>
    <x:row r="289" ht="20" customHeight="1">
      <x:c r="C289" s="1" t="n">
        <x:v>1</x:v>
      </x:c>
      <x:c r="D289" s="1" t="n">
        <x:v>5</x:v>
      </x:c>
      <x:c r="E289" s="1" t="n">
        <x:v>37</x:v>
      </x:c>
      <x:c r="F289" s="32" t="n">
        <x:v>47406</x:v>
      </x:c>
      <x:c r="G289" s="36" t="n">
        <x:v>30053748.93</x:v>
      </x:c>
      <x:c r="H289" s="36" t="n">
        <x:v>116458.28</x:v>
      </x:c>
      <x:c r="I289" s="36" t="n">
        <x:v>10721834.79</x:v>
      </x:c>
      <x:c r="J289" s="36" t="n">
        <x:v>0</x:v>
      </x:c>
      <x:c r="K289" s="36" t="n">
        <x:v>19331914.14</x:v>
      </x:c>
      <x:c r="L289" s="36" t="n">
        <x:v>0</x:v>
      </x:c>
      <x:c r="M289" s="38" t="n">
        <x:v>3.082819986310746</x:v>
      </x:c>
      <x:c r="N289" s="36" t="n">
        <x:v>19331914.14</x:v>
      </x:c>
    </x:row>
    <x:row r="290" ht="20" customHeight="1">
      <x:c r="C290" s="1" t="n">
        <x:v>1</x:v>
      </x:c>
      <x:c r="D290" s="1" t="n">
        <x:v>5</x:v>
      </x:c>
      <x:c r="E290" s="1" t="n">
        <x:v>38</x:v>
      </x:c>
      <x:c r="F290" s="32" t="n">
        <x:v>47437</x:v>
      </x:c>
      <x:c r="G290" s="36" t="n">
        <x:v>19331914.14</x:v>
      </x:c>
      <x:c r="H290" s="36" t="n">
        <x:v>74911.17</x:v>
      </x:c>
      <x:c r="I290" s="36" t="n">
        <x:v>10219303.47</x:v>
      </x:c>
      <x:c r="J290" s="36" t="n">
        <x:v>0</x:v>
      </x:c>
      <x:c r="K290" s="36" t="n">
        <x:v>9112610.67</x:v>
      </x:c>
      <x:c r="L290" s="36" t="n">
        <x:v>0</x:v>
      </x:c>
      <x:c r="M290" s="38" t="n">
        <x:v>3.167693360711841</x:v>
      </x:c>
      <x:c r="N290" s="36" t="n">
        <x:v>9112610.67</x:v>
      </x:c>
    </x:row>
    <x:row r="291" ht="20" customHeight="1">
      <x:c r="C291" s="1" t="n">
        <x:v>1</x:v>
      </x:c>
      <x:c r="D291" s="1" t="n">
        <x:v>5</x:v>
      </x:c>
      <x:c r="E291" s="1" t="n">
        <x:v>39</x:v>
      </x:c>
      <x:c r="F291" s="32" t="n">
        <x:v>47469</x:v>
      </x:c>
      <x:c r="G291" s="36" t="n">
        <x:v>9112610.67</x:v>
      </x:c>
      <x:c r="H291" s="36" t="n">
        <x:v>35311.37</x:v>
      </x:c>
      <x:c r="I291" s="36" t="n">
        <x:v>9112610.67</x:v>
      </x:c>
      <x:c r="J291" s="36" t="n">
        <x:v>0</x:v>
      </x:c>
      <x:c r="K291" s="36" t="n">
        <x:v>0</x:v>
      </x:c>
      <x:c r="L291" s="36" t="n">
        <x:v>0</x:v>
      </x:c>
      <x:c r="M291" s="38" t="n">
        <x:v>3.2553045859000687</x:v>
      </x:c>
      <x:c r="N291" s="36" t="n">
        <x:v>0</x:v>
      </x:c>
    </x:row>
    <x:row r="292" ht="20" customHeight="1">
      <x:c r="C292" s="1" t="n">
        <x:v>1</x:v>
      </x:c>
      <x:c r="D292" s="1" t="n">
        <x:v>5</x:v>
      </x:c>
      <x:c r="E292" s="1" t="n">
        <x:v>40</x:v>
      </x:c>
      <x:c r="F292" s="32" t="n">
        <x:v>47498</x:v>
      </x:c>
      <x:c r="G292" s="36" t="n">
        <x:v>0</x:v>
      </x:c>
      <x:c r="H292" s="36" t="n">
        <x:v>0</x:v>
      </x:c>
      <x:c r="I292" s="36" t="n">
        <x:v>0</x:v>
      </x:c>
      <x:c r="J292" s="36" t="n">
        <x:v>0</x:v>
      </x:c>
      <x:c r="K292" s="36" t="n">
        <x:v>0</x:v>
      </x:c>
      <x:c r="L292" s="36" t="n">
        <x:v>0</x:v>
      </x:c>
      <x:c r="M292" s="38" t="n">
        <x:v>3.3347022587268995</x:v>
      </x:c>
      <x:c r="N292" s="36" t="n">
        <x:v>0</x:v>
      </x:c>
    </x:row>
    <x:row r="293" ht="20" customHeight="1">
      <x:c r="C293" s="1" t="n">
        <x:v>1</x:v>
      </x:c>
      <x:c r="D293" s="1" t="n">
        <x:v>5</x:v>
      </x:c>
      <x:c r="E293" s="1" t="n">
        <x:v>41</x:v>
      </x:c>
      <x:c r="F293" s="32" t="n">
        <x:v>47529</x:v>
      </x:c>
      <x:c r="G293" s="36" t="n">
        <x:v>0</x:v>
      </x:c>
      <x:c r="H293" s="36" t="n">
        <x:v>0</x:v>
      </x:c>
      <x:c r="I293" s="36" t="n">
        <x:v>0</x:v>
      </x:c>
      <x:c r="J293" s="36" t="n">
        <x:v>0</x:v>
      </x:c>
      <x:c r="K293" s="36" t="n">
        <x:v>0</x:v>
      </x:c>
      <x:c r="L293" s="36" t="n">
        <x:v>0</x:v>
      </x:c>
      <x:c r="M293" s="38" t="n">
        <x:v>3.4195756331279945</x:v>
      </x:c>
      <x:c r="N293" s="36" t="n">
        <x:v>0</x:v>
      </x:c>
    </x:row>
    <x:row r="294" ht="20" customHeight="1">
      <x:c r="C294" s="1" t="n">
        <x:v>1</x:v>
      </x:c>
      <x:c r="D294" s="1" t="n">
        <x:v>5</x:v>
      </x:c>
      <x:c r="E294" s="1" t="n">
        <x:v>42</x:v>
      </x:c>
      <x:c r="F294" s="32" t="n">
        <x:v>47557</x:v>
      </x:c>
      <x:c r="G294" s="36" t="n">
        <x:v>0</x:v>
      </x:c>
      <x:c r="H294" s="36" t="n">
        <x:v>0</x:v>
      </x:c>
      <x:c r="I294" s="36" t="n">
        <x:v>0</x:v>
      </x:c>
      <x:c r="J294" s="36" t="n">
        <x:v>0</x:v>
      </x:c>
      <x:c r="K294" s="36" t="n">
        <x:v>0</x:v>
      </x:c>
      <x:c r="L294" s="36" t="n">
        <x:v>0</x:v>
      </x:c>
      <x:c r="M294" s="38" t="n">
        <x:v>3.4962354551676933</x:v>
      </x:c>
      <x:c r="N294" s="36" t="n">
        <x:v>0</x:v>
      </x:c>
    </x:row>
    <x:row r="295" ht="20" customHeight="1">
      <x:c r="C295" s="1" t="n">
        <x:v>1</x:v>
      </x:c>
      <x:c r="D295" s="1" t="n">
        <x:v>5</x:v>
      </x:c>
      <x:c r="E295" s="1" t="n">
        <x:v>43</x:v>
      </x:c>
      <x:c r="F295" s="32" t="n">
        <x:v>47588</x:v>
      </x:c>
      <x:c r="G295" s="36" t="n">
        <x:v>0</x:v>
      </x:c>
      <x:c r="H295" s="36" t="n">
        <x:v>0</x:v>
      </x:c>
      <x:c r="I295" s="36" t="n">
        <x:v>0</x:v>
      </x:c>
      <x:c r="J295" s="36" t="n">
        <x:v>0</x:v>
      </x:c>
      <x:c r="K295" s="36" t="n">
        <x:v>0</x:v>
      </x:c>
      <x:c r="L295" s="36" t="n">
        <x:v>0</x:v>
      </x:c>
      <x:c r="M295" s="38" t="n">
        <x:v>3.5811088295687883</x:v>
      </x:c>
      <x:c r="N295" s="36" t="n">
        <x:v>0</x:v>
      </x:c>
    </x:row>
    <x:row r="296" ht="20" customHeight="1">
      <x:c r="C296" s="1" t="n">
        <x:v>1</x:v>
      </x:c>
      <x:c r="D296" s="1" t="n">
        <x:v>5</x:v>
      </x:c>
      <x:c r="E296" s="1" t="n">
        <x:v>44</x:v>
      </x:c>
      <x:c r="F296" s="32" t="n">
        <x:v>47618</x:v>
      </x:c>
      <x:c r="G296" s="36" t="n">
        <x:v>0</x:v>
      </x:c>
      <x:c r="H296" s="36" t="n">
        <x:v>0</x:v>
      </x:c>
      <x:c r="I296" s="36" t="n">
        <x:v>0</x:v>
      </x:c>
      <x:c r="J296" s="36" t="n">
        <x:v>0</x:v>
      </x:c>
      <x:c r="K296" s="36" t="n">
        <x:v>0</x:v>
      </x:c>
      <x:c r="L296" s="36" t="n">
        <x:v>0</x:v>
      </x:c>
      <x:c r="M296" s="38" t="n">
        <x:v>3.6632443531827517</x:v>
      </x:c>
      <x:c r="N296" s="36" t="n">
        <x:v>0</x:v>
      </x:c>
    </x:row>
    <x:row r="297" ht="20" customHeight="1">
      <x:c r="C297" s="1" t="n">
        <x:v>1</x:v>
      </x:c>
      <x:c r="D297" s="1" t="n">
        <x:v>5</x:v>
      </x:c>
      <x:c r="E297" s="1" t="n">
        <x:v>45</x:v>
      </x:c>
      <x:c r="F297" s="32" t="n">
        <x:v>47651</x:v>
      </x:c>
      <x:c r="G297" s="36" t="n">
        <x:v>0</x:v>
      </x:c>
      <x:c r="H297" s="36" t="n">
        <x:v>0</x:v>
      </x:c>
      <x:c r="I297" s="36" t="n">
        <x:v>0</x:v>
      </x:c>
      <x:c r="J297" s="36" t="n">
        <x:v>0</x:v>
      </x:c>
      <x:c r="K297" s="36" t="n">
        <x:v>0</x:v>
      </x:c>
      <x:c r="L297" s="36" t="n">
        <x:v>0</x:v>
      </x:c>
      <x:c r="M297" s="38" t="n">
        <x:v>3.753593429158111</x:v>
      </x:c>
      <x:c r="N297" s="36" t="n">
        <x:v>0</x:v>
      </x:c>
    </x:row>
    <x:row r="298" ht="20" customHeight="1">
      <x:c r="C298" s="1" t="n">
        <x:v>1</x:v>
      </x:c>
      <x:c r="D298" s="1" t="n">
        <x:v>5</x:v>
      </x:c>
      <x:c r="E298" s="1" t="n">
        <x:v>46</x:v>
      </x:c>
      <x:c r="F298" s="32" t="n">
        <x:v>47679</x:v>
      </x:c>
      <x:c r="G298" s="36" t="n">
        <x:v>0</x:v>
      </x:c>
      <x:c r="H298" s="36" t="n">
        <x:v>0</x:v>
      </x:c>
      <x:c r="I298" s="36" t="n">
        <x:v>0</x:v>
      </x:c>
      <x:c r="J298" s="36" t="n">
        <x:v>0</x:v>
      </x:c>
      <x:c r="K298" s="36" t="n">
        <x:v>0</x:v>
      </x:c>
      <x:c r="L298" s="36" t="n">
        <x:v>0</x:v>
      </x:c>
      <x:c r="M298" s="38" t="n">
        <x:v>3.8302532511978096</x:v>
      </x:c>
      <x:c r="N298" s="36" t="n">
        <x:v>0</x:v>
      </x:c>
    </x:row>
    <x:row r="299" ht="20" customHeight="1">
      <x:c r="C299" s="1" t="n">
        <x:v>1</x:v>
      </x:c>
      <x:c r="D299" s="1" t="n">
        <x:v>5</x:v>
      </x:c>
      <x:c r="E299" s="1" t="n">
        <x:v>47</x:v>
      </x:c>
      <x:c r="F299" s="32" t="n">
        <x:v>47710</x:v>
      </x:c>
      <x:c r="G299" s="36" t="n">
        <x:v>0</x:v>
      </x:c>
      <x:c r="H299" s="36" t="n">
        <x:v>0</x:v>
      </x:c>
      <x:c r="I299" s="36" t="n">
        <x:v>0</x:v>
      </x:c>
      <x:c r="J299" s="36" t="n">
        <x:v>0</x:v>
      </x:c>
      <x:c r="K299" s="36" t="n">
        <x:v>0</x:v>
      </x:c>
      <x:c r="L299" s="36" t="n">
        <x:v>0</x:v>
      </x:c>
      <x:c r="M299" s="38" t="n">
        <x:v>3.915126625598905</x:v>
      </x:c>
      <x:c r="N299" s="36" t="n">
        <x:v>0</x:v>
      </x:c>
    </x:row>
    <x:row r="300" ht="20" customHeight="1">
      <x:c r="C300" s="1" t="n">
        <x:v>1</x:v>
      </x:c>
      <x:c r="D300" s="1" t="n">
        <x:v>5</x:v>
      </x:c>
      <x:c r="E300" s="1" t="n">
        <x:v>48</x:v>
      </x:c>
      <x:c r="F300" s="32" t="n">
        <x:v>47742</x:v>
      </x:c>
      <x:c r="G300" s="36" t="n">
        <x:v>0</x:v>
      </x:c>
      <x:c r="H300" s="36" t="n">
        <x:v>0</x:v>
      </x:c>
      <x:c r="I300" s="36" t="n">
        <x:v>0</x:v>
      </x:c>
      <x:c r="J300" s="36" t="n">
        <x:v>0</x:v>
      </x:c>
      <x:c r="K300" s="36" t="n">
        <x:v>0</x:v>
      </x:c>
      <x:c r="L300" s="36" t="n">
        <x:v>0</x:v>
      </x:c>
      <x:c r="M300" s="38" t="n">
        <x:v>4.002737850787132</x:v>
      </x:c>
      <x:c r="N300" s="36" t="n">
        <x:v>0</x:v>
      </x:c>
    </x:row>
    <x:row r="301" ht="20" customHeight="1">
      <x:c r="C301" s="1" t="n">
        <x:v>1</x:v>
      </x:c>
      <x:c r="D301" s="1" t="n">
        <x:v>5</x:v>
      </x:c>
      <x:c r="E301" s="1" t="n">
        <x:v>49</x:v>
      </x:c>
      <x:c r="F301" s="32" t="n">
        <x:v>47771</x:v>
      </x:c>
      <x:c r="G301" s="36" t="n">
        <x:v>0</x:v>
      </x:c>
      <x:c r="H301" s="36" t="n">
        <x:v>0</x:v>
      </x:c>
      <x:c r="I301" s="36" t="n">
        <x:v>0</x:v>
      </x:c>
      <x:c r="J301" s="36" t="n">
        <x:v>0</x:v>
      </x:c>
      <x:c r="K301" s="36" t="n">
        <x:v>0</x:v>
      </x:c>
      <x:c r="L301" s="36" t="n">
        <x:v>0</x:v>
      </x:c>
      <x:c r="M301" s="38" t="n">
        <x:v>4.082135523613963</x:v>
      </x:c>
      <x:c r="N301" s="36" t="n">
        <x:v>0</x:v>
      </x:c>
    </x:row>
    <x:row r="302" ht="20" customHeight="1">
      <x:c r="C302" s="1" t="n">
        <x:v>1</x:v>
      </x:c>
      <x:c r="D302" s="1" t="n">
        <x:v>5</x:v>
      </x:c>
      <x:c r="E302" s="1" t="n">
        <x:v>50</x:v>
      </x:c>
      <x:c r="F302" s="32" t="n">
        <x:v>47802</x:v>
      </x:c>
      <x:c r="G302" s="36" t="n">
        <x:v>0</x:v>
      </x:c>
      <x:c r="H302" s="36" t="n">
        <x:v>0</x:v>
      </x:c>
      <x:c r="I302" s="36" t="n">
        <x:v>0</x:v>
      </x:c>
      <x:c r="J302" s="36" t="n">
        <x:v>0</x:v>
      </x:c>
      <x:c r="K302" s="36" t="n">
        <x:v>0</x:v>
      </x:c>
      <x:c r="L302" s="36" t="n">
        <x:v>0</x:v>
      </x:c>
      <x:c r="M302" s="38" t="n">
        <x:v>4.167008898015058</x:v>
      </x:c>
      <x:c r="N302" s="36" t="n">
        <x:v>0</x:v>
      </x:c>
    </x:row>
    <x:row r="303" ht="20" customHeight="1">
      <x:c r="C303" s="1" t="n">
        <x:v>1</x:v>
      </x:c>
      <x:c r="D303" s="1" t="n">
        <x:v>5</x:v>
      </x:c>
      <x:c r="E303" s="1" t="n">
        <x:v>51</x:v>
      </x:c>
      <x:c r="F303" s="32" t="n">
        <x:v>47833</x:v>
      </x:c>
      <x:c r="G303" s="36" t="n">
        <x:v>0</x:v>
      </x:c>
      <x:c r="H303" s="36" t="n">
        <x:v>0</x:v>
      </x:c>
      <x:c r="I303" s="36" t="n">
        <x:v>0</x:v>
      </x:c>
      <x:c r="J303" s="36" t="n">
        <x:v>0</x:v>
      </x:c>
      <x:c r="K303" s="36" t="n">
        <x:v>0</x:v>
      </x:c>
      <x:c r="L303" s="36" t="n">
        <x:v>0</x:v>
      </x:c>
      <x:c r="M303" s="38" t="n">
        <x:v>4.251882272416153</x:v>
      </x:c>
      <x:c r="N303" s="36" t="n">
        <x:v>0</x:v>
      </x:c>
    </x:row>
    <x:row r="304" ht="20" customHeight="1">
      <x:c r="C304" s="1" t="n">
        <x:v>1</x:v>
      </x:c>
      <x:c r="D304" s="1" t="n">
        <x:v>5</x:v>
      </x:c>
      <x:c r="E304" s="1" t="n">
        <x:v>52</x:v>
      </x:c>
      <x:c r="F304" s="32" t="n">
        <x:v>47863</x:v>
      </x:c>
      <x:c r="G304" s="36" t="n">
        <x:v>0</x:v>
      </x:c>
      <x:c r="H304" s="36" t="n">
        <x:v>0</x:v>
      </x:c>
      <x:c r="I304" s="36" t="n">
        <x:v>0</x:v>
      </x:c>
      <x:c r="J304" s="36" t="n">
        <x:v>0</x:v>
      </x:c>
      <x:c r="K304" s="36" t="n">
        <x:v>0</x:v>
      </x:c>
      <x:c r="L304" s="36" t="n">
        <x:v>0</x:v>
      </x:c>
      <x:c r="M304" s="38" t="n">
        <x:v>4.334017796030117</x:v>
      </x:c>
      <x:c r="N304" s="36" t="n">
        <x:v>0</x:v>
      </x:c>
    </x:row>
    <x:row r="305" ht="20" customHeight="1">
      <x:c r="C305" s="1" t="n">
        <x:v>1</x:v>
      </x:c>
      <x:c r="D305" s="1" t="n">
        <x:v>5</x:v>
      </x:c>
      <x:c r="E305" s="1" t="n">
        <x:v>53</x:v>
      </x:c>
      <x:c r="F305" s="32" t="n">
        <x:v>47897</x:v>
      </x:c>
      <x:c r="G305" s="36" t="n">
        <x:v>0</x:v>
      </x:c>
      <x:c r="H305" s="36" t="n">
        <x:v>0</x:v>
      </x:c>
      <x:c r="I305" s="36" t="n">
        <x:v>0</x:v>
      </x:c>
      <x:c r="J305" s="36" t="n">
        <x:v>0</x:v>
      </x:c>
      <x:c r="K305" s="36" t="n">
        <x:v>0</x:v>
      </x:c>
      <x:c r="L305" s="36" t="n">
        <x:v>0</x:v>
      </x:c>
      <x:c r="M305" s="38" t="n">
        <x:v>4.427104722792608</x:v>
      </x:c>
      <x:c r="N305" s="36" t="n">
        <x:v>0</x:v>
      </x:c>
    </x:row>
    <x:row r="306" ht="20" customHeight="1">
      <x:c r="C306" s="1" t="n">
        <x:v>1</x:v>
      </x:c>
      <x:c r="D306" s="1" t="n">
        <x:v>5</x:v>
      </x:c>
      <x:c r="E306" s="1" t="n">
        <x:v>54</x:v>
      </x:c>
      <x:c r="F306" s="32" t="n">
        <x:v>47924</x:v>
      </x:c>
      <x:c r="G306" s="36" t="n">
        <x:v>0</x:v>
      </x:c>
      <x:c r="H306" s="36" t="n">
        <x:v>0</x:v>
      </x:c>
      <x:c r="I306" s="36" t="n">
        <x:v>0</x:v>
      </x:c>
      <x:c r="J306" s="36" t="n">
        <x:v>0</x:v>
      </x:c>
      <x:c r="K306" s="36" t="n">
        <x:v>0</x:v>
      </x:c>
      <x:c r="L306" s="36" t="n">
        <x:v>0</x:v>
      </x:c>
      <x:c r="M306" s="38" t="n">
        <x:v>4.501026694045175</x:v>
      </x:c>
      <x:c r="N306" s="36" t="n">
        <x:v>0</x:v>
      </x:c>
    </x:row>
    <x:row r="307" ht="20" customHeight="1">
      <x:c r="C307" s="1" t="n">
        <x:v>1</x:v>
      </x:c>
      <x:c r="D307" s="1" t="n">
        <x:v>5</x:v>
      </x:c>
      <x:c r="E307" s="1" t="n">
        <x:v>55</x:v>
      </x:c>
      <x:c r="F307" s="32" t="n">
        <x:v>47953</x:v>
      </x:c>
      <x:c r="G307" s="36" t="n">
        <x:v>0</x:v>
      </x:c>
      <x:c r="H307" s="36" t="n">
        <x:v>0</x:v>
      </x:c>
      <x:c r="I307" s="36" t="n">
        <x:v>0</x:v>
      </x:c>
      <x:c r="J307" s="36" t="n">
        <x:v>0</x:v>
      </x:c>
      <x:c r="K307" s="36" t="n">
        <x:v>0</x:v>
      </x:c>
      <x:c r="L307" s="36" t="n">
        <x:v>0</x:v>
      </x:c>
      <x:c r="M307" s="38" t="n">
        <x:v>4.5804243668720055</x:v>
      </x:c>
      <x:c r="N307" s="36" t="n">
        <x:v>0</x:v>
      </x:c>
    </x:row>
    <x:row r="308" ht="20" customHeight="1">
      <x:c r="C308" s="1" t="n">
        <x:v>1</x:v>
      </x:c>
      <x:c r="D308" s="1" t="n">
        <x:v>5</x:v>
      </x:c>
      <x:c r="E308" s="1" t="n">
        <x:v>56</x:v>
      </x:c>
      <x:c r="F308" s="32" t="n">
        <x:v>47983</x:v>
      </x:c>
      <x:c r="G308" s="36" t="n">
        <x:v>0</x:v>
      </x:c>
      <x:c r="H308" s="36" t="n">
        <x:v>0</x:v>
      </x:c>
      <x:c r="I308" s="36" t="n">
        <x:v>0</x:v>
      </x:c>
      <x:c r="J308" s="36" t="n">
        <x:v>0</x:v>
      </x:c>
      <x:c r="K308" s="36" t="n">
        <x:v>0</x:v>
      </x:c>
      <x:c r="L308" s="36" t="n">
        <x:v>0</x:v>
      </x:c>
      <x:c r="M308" s="38" t="n">
        <x:v>4.662559890485968</x:v>
      </x:c>
      <x:c r="N308" s="36" t="n">
        <x:v>0</x:v>
      </x:c>
    </x:row>
    <x:row r="309" ht="20" customHeight="1">
      <x:c r="C309" s="1" t="n">
        <x:v>1</x:v>
      </x:c>
      <x:c r="D309" s="1" t="n">
        <x:v>5</x:v>
      </x:c>
      <x:c r="E309" s="1" t="n">
        <x:v>57</x:v>
      </x:c>
      <x:c r="F309" s="32" t="n">
        <x:v>48015</x:v>
      </x:c>
      <x:c r="G309" s="36" t="n">
        <x:v>0</x:v>
      </x:c>
      <x:c r="H309" s="36" t="n">
        <x:v>0</x:v>
      </x:c>
      <x:c r="I309" s="36" t="n">
        <x:v>0</x:v>
      </x:c>
      <x:c r="J309" s="36" t="n">
        <x:v>0</x:v>
      </x:c>
      <x:c r="K309" s="36" t="n">
        <x:v>0</x:v>
      </x:c>
      <x:c r="L309" s="36" t="n">
        <x:v>0</x:v>
      </x:c>
      <x:c r="M309" s="38" t="n">
        <x:v>4.7501711156741955</x:v>
      </x:c>
      <x:c r="N309" s="36" t="n">
        <x:v>0</x:v>
      </x:c>
    </x:row>
    <x:row r="310" ht="20" customHeight="1">
      <x:c r="C310" s="1" t="n">
        <x:v>1</x:v>
      </x:c>
      <x:c r="D310" s="1" t="n">
        <x:v>5</x:v>
      </x:c>
      <x:c r="E310" s="1" t="n">
        <x:v>58</x:v>
      </x:c>
      <x:c r="F310" s="32" t="n">
        <x:v>48044</x:v>
      </x:c>
      <x:c r="G310" s="36" t="n">
        <x:v>0</x:v>
      </x:c>
      <x:c r="H310" s="36" t="n">
        <x:v>0</x:v>
      </x:c>
      <x:c r="I310" s="36" t="n">
        <x:v>0</x:v>
      </x:c>
      <x:c r="J310" s="36" t="n">
        <x:v>0</x:v>
      </x:c>
      <x:c r="K310" s="36" t="n">
        <x:v>0</x:v>
      </x:c>
      <x:c r="L310" s="36" t="n">
        <x:v>0</x:v>
      </x:c>
      <x:c r="M310" s="38" t="n">
        <x:v>4.829568788501026</x:v>
      </x:c>
      <x:c r="N310" s="36" t="n">
        <x:v>0</x:v>
      </x:c>
    </x:row>
    <x:row r="311" ht="20" customHeight="1">
      <x:c r="C311" s="1" t="n">
        <x:v>1</x:v>
      </x:c>
      <x:c r="D311" s="1" t="n">
        <x:v>5</x:v>
      </x:c>
      <x:c r="E311" s="1" t="n">
        <x:v>59</x:v>
      </x:c>
      <x:c r="F311" s="32" t="n">
        <x:v>48075</x:v>
      </x:c>
      <x:c r="G311" s="36" t="n">
        <x:v>0</x:v>
      </x:c>
      <x:c r="H311" s="36" t="n">
        <x:v>0</x:v>
      </x:c>
      <x:c r="I311" s="36" t="n">
        <x:v>0</x:v>
      </x:c>
      <x:c r="J311" s="36" t="n">
        <x:v>0</x:v>
      </x:c>
      <x:c r="K311" s="36" t="n">
        <x:v>0</x:v>
      </x:c>
      <x:c r="L311" s="36" t="n">
        <x:v>0</x:v>
      </x:c>
      <x:c r="M311" s="38" t="n">
        <x:v>4.914442162902122</x:v>
      </x:c>
      <x:c r="N311" s="36" t="n">
        <x:v>0</x:v>
      </x:c>
    </x:row>
    <x:row r="312" ht="20" customHeight="1">
      <x:c r="C312" s="1" t="n">
        <x:v>1</x:v>
      </x:c>
      <x:c r="D312" s="1" t="n">
        <x:v>5</x:v>
      </x:c>
      <x:c r="E312" s="1" t="n">
        <x:v>60</x:v>
      </x:c>
      <x:c r="F312" s="32" t="n">
        <x:v>48106</x:v>
      </x:c>
      <x:c r="G312" s="36" t="n">
        <x:v>0</x:v>
      </x:c>
      <x:c r="H312" s="36" t="n">
        <x:v>0</x:v>
      </x:c>
      <x:c r="I312" s="36" t="n">
        <x:v>0</x:v>
      </x:c>
      <x:c r="J312" s="36" t="n">
        <x:v>0</x:v>
      </x:c>
      <x:c r="K312" s="36" t="n">
        <x:v>0</x:v>
      </x:c>
      <x:c r="L312" s="36" t="n">
        <x:v>0</x:v>
      </x:c>
      <x:c r="M312" s="38" t="n">
        <x:v>4.999315537303217</x:v>
      </x:c>
      <x:c r="N312" s="36" t="n">
        <x:v>0</x:v>
      </x:c>
    </x:row>
    <x:row r="313" ht="20" customHeight="1">
      <x:c r="C313" s="1" t="n">
        <x:v>1</x:v>
      </x:c>
      <x:c r="D313" s="1" t="n">
        <x:v>5</x:v>
      </x:c>
      <x:c r="E313" s="1" t="n">
        <x:v>61</x:v>
      </x:c>
      <x:c r="F313" s="32" t="n">
        <x:v>48136</x:v>
      </x:c>
      <x:c r="G313" s="36" t="n">
        <x:v>0</x:v>
      </x:c>
      <x:c r="H313" s="36" t="n">
        <x:v>0</x:v>
      </x:c>
      <x:c r="I313" s="36" t="n">
        <x:v>0</x:v>
      </x:c>
      <x:c r="J313" s="36" t="n">
        <x:v>0</x:v>
      </x:c>
      <x:c r="K313" s="36" t="n">
        <x:v>0</x:v>
      </x:c>
      <x:c r="L313" s="36" t="n">
        <x:v>0</x:v>
      </x:c>
      <x:c r="M313" s="38" t="n">
        <x:v>5.08145106091718</x:v>
      </x:c>
      <x:c r="N313" s="36" t="n">
        <x:v>0</x:v>
      </x:c>
    </x:row>
    <x:row r="314" ht="20" customHeight="1">
      <x:c r="C314" s="1" t="n">
        <x:v>1</x:v>
      </x:c>
      <x:c r="D314" s="1" t="n">
        <x:v>6</x:v>
      </x:c>
      <x:c r="E314" s="1" t="n">
        <x:v>1</x:v>
      </x:c>
      <x:c r="F314" s="32" t="n">
        <x:v>46310</x:v>
      </x:c>
      <x:c r="G314" s="36" t="n">
        <x:v>28920000</x:v>
      </x:c>
      <x:c r="H314" s="36" t="n">
        <x:v>119536</x:v>
      </x:c>
      <x:c r="I314" s="36" t="n">
        <x:v>0</x:v>
      </x:c>
      <x:c r="J314" s="36" t="n">
        <x:v>0</x:v>
      </x:c>
      <x:c r="K314" s="36" t="n">
        <x:v>28920000</x:v>
      </x:c>
      <x:c r="L314" s="36" t="n">
        <x:v>0</x:v>
      </x:c>
      <x:c r="M314" s="38" t="n">
        <x:v>0.08213552361396304</x:v>
      </x:c>
      <x:c r="N314" s="36" t="n">
        <x:v>28920000</x:v>
      </x:c>
    </x:row>
    <x:row r="315" ht="20" customHeight="1">
      <x:c r="C315" s="1" t="n">
        <x:v>1</x:v>
      </x:c>
      <x:c r="D315" s="1" t="n">
        <x:v>6</x:v>
      </x:c>
      <x:c r="E315" s="1" t="n">
        <x:v>2</x:v>
      </x:c>
      <x:c r="F315" s="32" t="n">
        <x:v>46342</x:v>
      </x:c>
      <x:c r="G315" s="36" t="n">
        <x:v>28920000</x:v>
      </x:c>
      <x:c r="H315" s="36" t="n">
        <x:v>119536</x:v>
      </x:c>
      <x:c r="I315" s="36" t="n">
        <x:v>0</x:v>
      </x:c>
      <x:c r="J315" s="36" t="n">
        <x:v>0</x:v>
      </x:c>
      <x:c r="K315" s="36" t="n">
        <x:v>28920000</x:v>
      </x:c>
      <x:c r="L315" s="36" t="n">
        <x:v>0</x:v>
      </x:c>
      <x:c r="M315" s="38" t="n">
        <x:v>0.1697467488021903</x:v>
      </x:c>
      <x:c r="N315" s="36" t="n">
        <x:v>28920000</x:v>
      </x:c>
    </x:row>
    <x:row r="316" ht="20" customHeight="1">
      <x:c r="C316" s="1" t="n">
        <x:v>1</x:v>
      </x:c>
      <x:c r="D316" s="1" t="n">
        <x:v>6</x:v>
      </x:c>
      <x:c r="E316" s="1" t="n">
        <x:v>3</x:v>
      </x:c>
      <x:c r="F316" s="32" t="n">
        <x:v>46371</x:v>
      </x:c>
      <x:c r="G316" s="36" t="n">
        <x:v>28920000</x:v>
      </x:c>
      <x:c r="H316" s="36" t="n">
        <x:v>119536</x:v>
      </x:c>
      <x:c r="I316" s="36" t="n">
        <x:v>0</x:v>
      </x:c>
      <x:c r="J316" s="36" t="n">
        <x:v>0</x:v>
      </x:c>
      <x:c r="K316" s="36" t="n">
        <x:v>28920000</x:v>
      </x:c>
      <x:c r="L316" s="36" t="n">
        <x:v>0</x:v>
      </x:c>
      <x:c r="M316" s="38" t="n">
        <x:v>0.24914442162902123</x:v>
      </x:c>
      <x:c r="N316" s="36" t="n">
        <x:v>28920000</x:v>
      </x:c>
    </x:row>
    <x:row r="317" ht="20" customHeight="1">
      <x:c r="C317" s="1" t="n">
        <x:v>1</x:v>
      </x:c>
      <x:c r="D317" s="1" t="n">
        <x:v>6</x:v>
      </x:c>
      <x:c r="E317" s="1" t="n">
        <x:v>4</x:v>
      </x:c>
      <x:c r="F317" s="32" t="n">
        <x:v>46402</x:v>
      </x:c>
      <x:c r="G317" s="36" t="n">
        <x:v>28920000</x:v>
      </x:c>
      <x:c r="H317" s="36" t="n">
        <x:v>119536</x:v>
      </x:c>
      <x:c r="I317" s="36" t="n">
        <x:v>0</x:v>
      </x:c>
      <x:c r="J317" s="36" t="n">
        <x:v>0</x:v>
      </x:c>
      <x:c r="K317" s="36" t="n">
        <x:v>28920000</x:v>
      </x:c>
      <x:c r="L317" s="36" t="n">
        <x:v>0</x:v>
      </x:c>
      <x:c r="M317" s="38" t="n">
        <x:v>0.33401779603011633</x:v>
      </x:c>
      <x:c r="N317" s="36" t="n">
        <x:v>28920000</x:v>
      </x:c>
    </x:row>
    <x:row r="318" ht="20" customHeight="1">
      <x:c r="C318" s="1" t="n">
        <x:v>1</x:v>
      </x:c>
      <x:c r="D318" s="1" t="n">
        <x:v>6</x:v>
      </x:c>
      <x:c r="E318" s="1" t="n">
        <x:v>5</x:v>
      </x:c>
      <x:c r="F318" s="32" t="n">
        <x:v>46434</x:v>
      </x:c>
      <x:c r="G318" s="36" t="n">
        <x:v>28920000</x:v>
      </x:c>
      <x:c r="H318" s="36" t="n">
        <x:v>119536</x:v>
      </x:c>
      <x:c r="I318" s="36" t="n">
        <x:v>0</x:v>
      </x:c>
      <x:c r="J318" s="36" t="n">
        <x:v>0</x:v>
      </x:c>
      <x:c r="K318" s="36" t="n">
        <x:v>28920000</x:v>
      </x:c>
      <x:c r="L318" s="36" t="n">
        <x:v>0</x:v>
      </x:c>
      <x:c r="M318" s="38" t="n">
        <x:v>0.4216290212183436</x:v>
      </x:c>
      <x:c r="N318" s="36" t="n">
        <x:v>28920000</x:v>
      </x:c>
    </x:row>
    <x:row r="319" ht="20" customHeight="1">
      <x:c r="C319" s="1" t="n">
        <x:v>1</x:v>
      </x:c>
      <x:c r="D319" s="1" t="n">
        <x:v>6</x:v>
      </x:c>
      <x:c r="E319" s="1" t="n">
        <x:v>6</x:v>
      </x:c>
      <x:c r="F319" s="32" t="n">
        <x:v>46461</x:v>
      </x:c>
      <x:c r="G319" s="36" t="n">
        <x:v>28920000</x:v>
      </x:c>
      <x:c r="H319" s="36" t="n">
        <x:v>119536</x:v>
      </x:c>
      <x:c r="I319" s="36" t="n">
        <x:v>0</x:v>
      </x:c>
      <x:c r="J319" s="36" t="n">
        <x:v>0</x:v>
      </x:c>
      <x:c r="K319" s="36" t="n">
        <x:v>28920000</x:v>
      </x:c>
      <x:c r="L319" s="36" t="n">
        <x:v>0</x:v>
      </x:c>
      <x:c r="M319" s="38" t="n">
        <x:v>0.49555099247091033</x:v>
      </x:c>
      <x:c r="N319" s="36" t="n">
        <x:v>28920000</x:v>
      </x:c>
    </x:row>
    <x:row r="320" ht="20" customHeight="1">
      <x:c r="C320" s="1" t="n">
        <x:v>1</x:v>
      </x:c>
      <x:c r="D320" s="1" t="n">
        <x:v>6</x:v>
      </x:c>
      <x:c r="E320" s="1" t="n">
        <x:v>7</x:v>
      </x:c>
      <x:c r="F320" s="32" t="n">
        <x:v>46492</x:v>
      </x:c>
      <x:c r="G320" s="36" t="n">
        <x:v>28920000</x:v>
      </x:c>
      <x:c r="H320" s="36" t="n">
        <x:v>119536</x:v>
      </x:c>
      <x:c r="I320" s="36" t="n">
        <x:v>0</x:v>
      </x:c>
      <x:c r="J320" s="36" t="n">
        <x:v>0</x:v>
      </x:c>
      <x:c r="K320" s="36" t="n">
        <x:v>28920000</x:v>
      </x:c>
      <x:c r="L320" s="36" t="n">
        <x:v>0</x:v>
      </x:c>
      <x:c r="M320" s="38" t="n">
        <x:v>0.5804243668720055</x:v>
      </x:c>
      <x:c r="N320" s="36" t="n">
        <x:v>28920000</x:v>
      </x:c>
    </x:row>
    <x:row r="321" ht="20" customHeight="1">
      <x:c r="C321" s="1" t="n">
        <x:v>1</x:v>
      </x:c>
      <x:c r="D321" s="1" t="n">
        <x:v>6</x:v>
      </x:c>
      <x:c r="E321" s="1" t="n">
        <x:v>8</x:v>
      </x:c>
      <x:c r="F321" s="32" t="n">
        <x:v>46524</x:v>
      </x:c>
      <x:c r="G321" s="36" t="n">
        <x:v>28920000</x:v>
      </x:c>
      <x:c r="H321" s="36" t="n">
        <x:v>119536</x:v>
      </x:c>
      <x:c r="I321" s="36" t="n">
        <x:v>0</x:v>
      </x:c>
      <x:c r="J321" s="36" t="n">
        <x:v>0</x:v>
      </x:c>
      <x:c r="K321" s="36" t="n">
        <x:v>28920000</x:v>
      </x:c>
      <x:c r="L321" s="36" t="n">
        <x:v>0</x:v>
      </x:c>
      <x:c r="M321" s="38" t="n">
        <x:v>0.6680355920602327</x:v>
      </x:c>
      <x:c r="N321" s="36" t="n">
        <x:v>28920000</x:v>
      </x:c>
    </x:row>
    <x:row r="322" ht="20" customHeight="1">
      <x:c r="C322" s="1" t="n">
        <x:v>1</x:v>
      </x:c>
      <x:c r="D322" s="1" t="n">
        <x:v>6</x:v>
      </x:c>
      <x:c r="E322" s="1" t="n">
        <x:v>9</x:v>
      </x:c>
      <x:c r="F322" s="32" t="n">
        <x:v>46553</x:v>
      </x:c>
      <x:c r="G322" s="36" t="n">
        <x:v>28920000</x:v>
      </x:c>
      <x:c r="H322" s="36" t="n">
        <x:v>119536</x:v>
      </x:c>
      <x:c r="I322" s="36" t="n">
        <x:v>0</x:v>
      </x:c>
      <x:c r="J322" s="36" t="n">
        <x:v>0</x:v>
      </x:c>
      <x:c r="K322" s="36" t="n">
        <x:v>28920000</x:v>
      </x:c>
      <x:c r="L322" s="36" t="n">
        <x:v>0</x:v>
      </x:c>
      <x:c r="M322" s="38" t="n">
        <x:v>0.7474332648870636</x:v>
      </x:c>
      <x:c r="N322" s="36" t="n">
        <x:v>28920000</x:v>
      </x:c>
    </x:row>
    <x:row r="323" ht="20" customHeight="1">
      <x:c r="C323" s="1" t="n">
        <x:v>1</x:v>
      </x:c>
      <x:c r="D323" s="1" t="n">
        <x:v>6</x:v>
      </x:c>
      <x:c r="E323" s="1" t="n">
        <x:v>10</x:v>
      </x:c>
      <x:c r="F323" s="32" t="n">
        <x:v>46583</x:v>
      </x:c>
      <x:c r="G323" s="36" t="n">
        <x:v>28920000</x:v>
      </x:c>
      <x:c r="H323" s="36" t="n">
        <x:v>119536</x:v>
      </x:c>
      <x:c r="I323" s="36" t="n">
        <x:v>0</x:v>
      </x:c>
      <x:c r="J323" s="36" t="n">
        <x:v>0</x:v>
      </x:c>
      <x:c r="K323" s="36" t="n">
        <x:v>28920000</x:v>
      </x:c>
      <x:c r="L323" s="36" t="n">
        <x:v>0</x:v>
      </x:c>
      <x:c r="M323" s="38" t="n">
        <x:v>0.8295687885010267</x:v>
      </x:c>
      <x:c r="N323" s="36" t="n">
        <x:v>28920000</x:v>
      </x:c>
    </x:row>
    <x:row r="324" ht="20" customHeight="1">
      <x:c r="C324" s="1" t="n">
        <x:v>1</x:v>
      </x:c>
      <x:c r="D324" s="1" t="n">
        <x:v>6</x:v>
      </x:c>
      <x:c r="E324" s="1" t="n">
        <x:v>11</x:v>
      </x:c>
      <x:c r="F324" s="32" t="n">
        <x:v>46615</x:v>
      </x:c>
      <x:c r="G324" s="36" t="n">
        <x:v>28920000</x:v>
      </x:c>
      <x:c r="H324" s="36" t="n">
        <x:v>119536</x:v>
      </x:c>
      <x:c r="I324" s="36" t="n">
        <x:v>0</x:v>
      </x:c>
      <x:c r="J324" s="36" t="n">
        <x:v>0</x:v>
      </x:c>
      <x:c r="K324" s="36" t="n">
        <x:v>28920000</x:v>
      </x:c>
      <x:c r="L324" s="36" t="n">
        <x:v>0</x:v>
      </x:c>
      <x:c r="M324" s="38" t="n">
        <x:v>0.917180013689254</x:v>
      </x:c>
      <x:c r="N324" s="36" t="n">
        <x:v>28920000</x:v>
      </x:c>
    </x:row>
    <x:row r="325" ht="20" customHeight="1">
      <x:c r="C325" s="1" t="n">
        <x:v>1</x:v>
      </x:c>
      <x:c r="D325" s="1" t="n">
        <x:v>6</x:v>
      </x:c>
      <x:c r="E325" s="1" t="n">
        <x:v>12</x:v>
      </x:c>
      <x:c r="F325" s="32" t="n">
        <x:v>46645</x:v>
      </x:c>
      <x:c r="G325" s="36" t="n">
        <x:v>28920000</x:v>
      </x:c>
      <x:c r="H325" s="36" t="n">
        <x:v>119536</x:v>
      </x:c>
      <x:c r="I325" s="36" t="n">
        <x:v>0</x:v>
      </x:c>
      <x:c r="J325" s="36" t="n">
        <x:v>0</x:v>
      </x:c>
      <x:c r="K325" s="36" t="n">
        <x:v>28920000</x:v>
      </x:c>
      <x:c r="L325" s="36" t="n">
        <x:v>0</x:v>
      </x:c>
      <x:c r="M325" s="38" t="n">
        <x:v>0.999315537303217</x:v>
      </x:c>
      <x:c r="N325" s="36" t="n">
        <x:v>28920000</x:v>
      </x:c>
    </x:row>
    <x:row r="326" ht="20" customHeight="1">
      <x:c r="C326" s="1" t="n">
        <x:v>1</x:v>
      </x:c>
      <x:c r="D326" s="1" t="n">
        <x:v>6</x:v>
      </x:c>
      <x:c r="E326" s="1" t="n">
        <x:v>13</x:v>
      </x:c>
      <x:c r="F326" s="32" t="n">
        <x:v>46675</x:v>
      </x:c>
      <x:c r="G326" s="36" t="n">
        <x:v>28920000</x:v>
      </x:c>
      <x:c r="H326" s="36" t="n">
        <x:v>119536</x:v>
      </x:c>
      <x:c r="I326" s="36" t="n">
        <x:v>0</x:v>
      </x:c>
      <x:c r="J326" s="36" t="n">
        <x:v>0</x:v>
      </x:c>
      <x:c r="K326" s="36" t="n">
        <x:v>28920000</x:v>
      </x:c>
      <x:c r="L326" s="36" t="n">
        <x:v>0</x:v>
      </x:c>
      <x:c r="M326" s="38" t="n">
        <x:v>1.08145106091718</x:v>
      </x:c>
      <x:c r="N326" s="36" t="n">
        <x:v>28920000</x:v>
      </x:c>
    </x:row>
    <x:row r="327" ht="20" customHeight="1">
      <x:c r="C327" s="1" t="n">
        <x:v>1</x:v>
      </x:c>
      <x:c r="D327" s="1" t="n">
        <x:v>6</x:v>
      </x:c>
      <x:c r="E327" s="1" t="n">
        <x:v>14</x:v>
      </x:c>
      <x:c r="F327" s="32" t="n">
        <x:v>46706</x:v>
      </x:c>
      <x:c r="G327" s="36" t="n">
        <x:v>28920000</x:v>
      </x:c>
      <x:c r="H327" s="36" t="n">
        <x:v>119536</x:v>
      </x:c>
      <x:c r="I327" s="36" t="n">
        <x:v>0</x:v>
      </x:c>
      <x:c r="J327" s="36" t="n">
        <x:v>0</x:v>
      </x:c>
      <x:c r="K327" s="36" t="n">
        <x:v>28920000</x:v>
      </x:c>
      <x:c r="L327" s="36" t="n">
        <x:v>0</x:v>
      </x:c>
      <x:c r="M327" s="38" t="n">
        <x:v>1.1663244353182751</x:v>
      </x:c>
      <x:c r="N327" s="36" t="n">
        <x:v>28920000</x:v>
      </x:c>
    </x:row>
    <x:row r="328" ht="20" customHeight="1">
      <x:c r="C328" s="1" t="n">
        <x:v>1</x:v>
      </x:c>
      <x:c r="D328" s="1" t="n">
        <x:v>6</x:v>
      </x:c>
      <x:c r="E328" s="1" t="n">
        <x:v>15</x:v>
      </x:c>
      <x:c r="F328" s="32" t="n">
        <x:v>46736</x:v>
      </x:c>
      <x:c r="G328" s="36" t="n">
        <x:v>28920000</x:v>
      </x:c>
      <x:c r="H328" s="36" t="n">
        <x:v>119536</x:v>
      </x:c>
      <x:c r="I328" s="36" t="n">
        <x:v>0</x:v>
      </x:c>
      <x:c r="J328" s="36" t="n">
        <x:v>0</x:v>
      </x:c>
      <x:c r="K328" s="36" t="n">
        <x:v>28920000</x:v>
      </x:c>
      <x:c r="L328" s="36" t="n">
        <x:v>0</x:v>
      </x:c>
      <x:c r="M328" s="38" t="n">
        <x:v>1.2484599589322383</x:v>
      </x:c>
      <x:c r="N328" s="36" t="n">
        <x:v>28920000</x:v>
      </x:c>
    </x:row>
    <x:row r="329" ht="20" customHeight="1">
      <x:c r="C329" s="1" t="n">
        <x:v>1</x:v>
      </x:c>
      <x:c r="D329" s="1" t="n">
        <x:v>6</x:v>
      </x:c>
      <x:c r="E329" s="1" t="n">
        <x:v>16</x:v>
      </x:c>
      <x:c r="F329" s="32" t="n">
        <x:v>46770</x:v>
      </x:c>
      <x:c r="G329" s="36" t="n">
        <x:v>28920000</x:v>
      </x:c>
      <x:c r="H329" s="36" t="n">
        <x:v>119536</x:v>
      </x:c>
      <x:c r="I329" s="36" t="n">
        <x:v>0</x:v>
      </x:c>
      <x:c r="J329" s="36" t="n">
        <x:v>0</x:v>
      </x:c>
      <x:c r="K329" s="36" t="n">
        <x:v>28920000</x:v>
      </x:c>
      <x:c r="L329" s="36" t="n">
        <x:v>0</x:v>
      </x:c>
      <x:c r="M329" s="38" t="n">
        <x:v>1.3415468856947297</x:v>
      </x:c>
      <x:c r="N329" s="36" t="n">
        <x:v>28920000</x:v>
      </x:c>
    </x:row>
    <x:row r="330" ht="20" customHeight="1">
      <x:c r="C330" s="1" t="n">
        <x:v>1</x:v>
      </x:c>
      <x:c r="D330" s="1" t="n">
        <x:v>6</x:v>
      </x:c>
      <x:c r="E330" s="1" t="n">
        <x:v>17</x:v>
      </x:c>
      <x:c r="F330" s="32" t="n">
        <x:v>46798</x:v>
      </x:c>
      <x:c r="G330" s="36" t="n">
        <x:v>28920000</x:v>
      </x:c>
      <x:c r="H330" s="36" t="n">
        <x:v>119536</x:v>
      </x:c>
      <x:c r="I330" s="36" t="n">
        <x:v>0</x:v>
      </x:c>
      <x:c r="J330" s="36" t="n">
        <x:v>0</x:v>
      </x:c>
      <x:c r="K330" s="36" t="n">
        <x:v>28920000</x:v>
      </x:c>
      <x:c r="L330" s="36" t="n">
        <x:v>0</x:v>
      </x:c>
      <x:c r="M330" s="38" t="n">
        <x:v>1.4182067077344285</x:v>
      </x:c>
      <x:c r="N330" s="36" t="n">
        <x:v>28920000</x:v>
      </x:c>
    </x:row>
    <x:row r="331" ht="20" customHeight="1">
      <x:c r="C331" s="1" t="n">
        <x:v>1</x:v>
      </x:c>
      <x:c r="D331" s="1" t="n">
        <x:v>6</x:v>
      </x:c>
      <x:c r="E331" s="1" t="n">
        <x:v>18</x:v>
      </x:c>
      <x:c r="F331" s="32" t="n">
        <x:v>46827</x:v>
      </x:c>
      <x:c r="G331" s="36" t="n">
        <x:v>28920000</x:v>
      </x:c>
      <x:c r="H331" s="36" t="n">
        <x:v>119536</x:v>
      </x:c>
      <x:c r="I331" s="36" t="n">
        <x:v>0</x:v>
      </x:c>
      <x:c r="J331" s="36" t="n">
        <x:v>0</x:v>
      </x:c>
      <x:c r="K331" s="36" t="n">
        <x:v>28920000</x:v>
      </x:c>
      <x:c r="L331" s="36" t="n">
        <x:v>0</x:v>
      </x:c>
      <x:c r="M331" s="38" t="n">
        <x:v>1.4976043805612593</x:v>
      </x:c>
      <x:c r="N331" s="36" t="n">
        <x:v>28920000</x:v>
      </x:c>
    </x:row>
    <x:row r="332" ht="20" customHeight="1">
      <x:c r="C332" s="1" t="n">
        <x:v>1</x:v>
      </x:c>
      <x:c r="D332" s="1" t="n">
        <x:v>6</x:v>
      </x:c>
      <x:c r="E332" s="1" t="n">
        <x:v>19</x:v>
      </x:c>
      <x:c r="F332" s="32" t="n">
        <x:v>46860</x:v>
      </x:c>
      <x:c r="G332" s="36" t="n">
        <x:v>28920000</x:v>
      </x:c>
      <x:c r="H332" s="36" t="n">
        <x:v>119536</x:v>
      </x:c>
      <x:c r="I332" s="36" t="n">
        <x:v>0</x:v>
      </x:c>
      <x:c r="J332" s="36" t="n">
        <x:v>0</x:v>
      </x:c>
      <x:c r="K332" s="36" t="n">
        <x:v>28920000</x:v>
      </x:c>
      <x:c r="L332" s="36" t="n">
        <x:v>0</x:v>
      </x:c>
      <x:c r="M332" s="38" t="n">
        <x:v>1.5879534565366187</x:v>
      </x:c>
      <x:c r="N332" s="36" t="n">
        <x:v>28920000</x:v>
      </x:c>
    </x:row>
    <x:row r="333" ht="20" customHeight="1">
      <x:c r="C333" s="1" t="n">
        <x:v>1</x:v>
      </x:c>
      <x:c r="D333" s="1" t="n">
        <x:v>6</x:v>
      </x:c>
      <x:c r="E333" s="1" t="n">
        <x:v>20</x:v>
      </x:c>
      <x:c r="F333" s="32" t="n">
        <x:v>46888</x:v>
      </x:c>
      <x:c r="G333" s="36" t="n">
        <x:v>28920000</x:v>
      </x:c>
      <x:c r="H333" s="36" t="n">
        <x:v>119536</x:v>
      </x:c>
      <x:c r="I333" s="36" t="n">
        <x:v>0</x:v>
      </x:c>
      <x:c r="J333" s="36" t="n">
        <x:v>0</x:v>
      </x:c>
      <x:c r="K333" s="36" t="n">
        <x:v>28920000</x:v>
      </x:c>
      <x:c r="L333" s="36" t="n">
        <x:v>0</x:v>
      </x:c>
      <x:c r="M333" s="38" t="n">
        <x:v>1.6646132785763177</x:v>
      </x:c>
      <x:c r="N333" s="36" t="n">
        <x:v>28920000</x:v>
      </x:c>
    </x:row>
    <x:row r="334" ht="20" customHeight="1">
      <x:c r="C334" s="1" t="n">
        <x:v>1</x:v>
      </x:c>
      <x:c r="D334" s="1" t="n">
        <x:v>6</x:v>
      </x:c>
      <x:c r="E334" s="1" t="n">
        <x:v>21</x:v>
      </x:c>
      <x:c r="F334" s="32" t="n">
        <x:v>46919</x:v>
      </x:c>
      <x:c r="G334" s="36" t="n">
        <x:v>28920000</x:v>
      </x:c>
      <x:c r="H334" s="36" t="n">
        <x:v>119536</x:v>
      </x:c>
      <x:c r="I334" s="36" t="n">
        <x:v>0</x:v>
      </x:c>
      <x:c r="J334" s="36" t="n">
        <x:v>0</x:v>
      </x:c>
      <x:c r="K334" s="36" t="n">
        <x:v>28920000</x:v>
      </x:c>
      <x:c r="L334" s="36" t="n">
        <x:v>0</x:v>
      </x:c>
      <x:c r="M334" s="38" t="n">
        <x:v>1.7494866529774127</x:v>
      </x:c>
      <x:c r="N334" s="36" t="n">
        <x:v>28920000</x:v>
      </x:c>
    </x:row>
    <x:row r="335" ht="20" customHeight="1">
      <x:c r="C335" s="1" t="n">
        <x:v>1</x:v>
      </x:c>
      <x:c r="D335" s="1" t="n">
        <x:v>6</x:v>
      </x:c>
      <x:c r="E335" s="1" t="n">
        <x:v>22</x:v>
      </x:c>
      <x:c r="F335" s="32" t="n">
        <x:v>46951</x:v>
      </x:c>
      <x:c r="G335" s="36" t="n">
        <x:v>28920000</x:v>
      </x:c>
      <x:c r="H335" s="36" t="n">
        <x:v>119536</x:v>
      </x:c>
      <x:c r="I335" s="36" t="n">
        <x:v>0</x:v>
      </x:c>
      <x:c r="J335" s="36" t="n">
        <x:v>0</x:v>
      </x:c>
      <x:c r="K335" s="36" t="n">
        <x:v>28920000</x:v>
      </x:c>
      <x:c r="L335" s="36" t="n">
        <x:v>0</x:v>
      </x:c>
      <x:c r="M335" s="38" t="n">
        <x:v>1.83709787816564</x:v>
      </x:c>
      <x:c r="N335" s="36" t="n">
        <x:v>28920000</x:v>
      </x:c>
    </x:row>
    <x:row r="336" ht="20" customHeight="1">
      <x:c r="C336" s="1" t="n">
        <x:v>1</x:v>
      </x:c>
      <x:c r="D336" s="1" t="n">
        <x:v>6</x:v>
      </x:c>
      <x:c r="E336" s="1" t="n">
        <x:v>23</x:v>
      </x:c>
      <x:c r="F336" s="32" t="n">
        <x:v>46980</x:v>
      </x:c>
      <x:c r="G336" s="36" t="n">
        <x:v>28920000</x:v>
      </x:c>
      <x:c r="H336" s="36" t="n">
        <x:v>119536</x:v>
      </x:c>
      <x:c r="I336" s="36" t="n">
        <x:v>0</x:v>
      </x:c>
      <x:c r="J336" s="36" t="n">
        <x:v>0</x:v>
      </x:c>
      <x:c r="K336" s="36" t="n">
        <x:v>28920000</x:v>
      </x:c>
      <x:c r="L336" s="36" t="n">
        <x:v>0</x:v>
      </x:c>
      <x:c r="M336" s="38" t="n">
        <x:v>1.9164955509924708</x:v>
      </x:c>
      <x:c r="N336" s="36" t="n">
        <x:v>28920000</x:v>
      </x:c>
    </x:row>
    <x:row r="337" ht="20" customHeight="1">
      <x:c r="C337" s="1" t="n">
        <x:v>1</x:v>
      </x:c>
      <x:c r="D337" s="1" t="n">
        <x:v>6</x:v>
      </x:c>
      <x:c r="E337" s="1" t="n">
        <x:v>24</x:v>
      </x:c>
      <x:c r="F337" s="32" t="n">
        <x:v>47011</x:v>
      </x:c>
      <x:c r="G337" s="36" t="n">
        <x:v>28920000</x:v>
      </x:c>
      <x:c r="H337" s="36" t="n">
        <x:v>119536</x:v>
      </x:c>
      <x:c r="I337" s="36" t="n">
        <x:v>0</x:v>
      </x:c>
      <x:c r="J337" s="36" t="n">
        <x:v>0</x:v>
      </x:c>
      <x:c r="K337" s="36" t="n">
        <x:v>28920000</x:v>
      </x:c>
      <x:c r="L337" s="36" t="n">
        <x:v>0</x:v>
      </x:c>
      <x:c r="M337" s="38" t="n">
        <x:v>2.001368925393566</x:v>
      </x:c>
      <x:c r="N337" s="36" t="n">
        <x:v>28920000</x:v>
      </x:c>
    </x:row>
    <x:row r="338" ht="20" customHeight="1">
      <x:c r="C338" s="1" t="n">
        <x:v>1</x:v>
      </x:c>
      <x:c r="D338" s="1" t="n">
        <x:v>6</x:v>
      </x:c>
      <x:c r="E338" s="1" t="n">
        <x:v>25</x:v>
      </x:c>
      <x:c r="F338" s="32" t="n">
        <x:v>47042</x:v>
      </x:c>
      <x:c r="G338" s="36" t="n">
        <x:v>28920000</x:v>
      </x:c>
      <x:c r="H338" s="36" t="n">
        <x:v>119536</x:v>
      </x:c>
      <x:c r="I338" s="36" t="n">
        <x:v>0</x:v>
      </x:c>
      <x:c r="J338" s="36" t="n">
        <x:v>0</x:v>
      </x:c>
      <x:c r="K338" s="36" t="n">
        <x:v>28920000</x:v>
      </x:c>
      <x:c r="L338" s="36" t="n">
        <x:v>0</x:v>
      </x:c>
      <x:c r="M338" s="38" t="n">
        <x:v>2.086242299794661</x:v>
      </x:c>
      <x:c r="N338" s="36" t="n">
        <x:v>28920000</x:v>
      </x:c>
    </x:row>
    <x:row r="339" ht="20" customHeight="1">
      <x:c r="C339" s="1" t="n">
        <x:v>1</x:v>
      </x:c>
      <x:c r="D339" s="1" t="n">
        <x:v>6</x:v>
      </x:c>
      <x:c r="E339" s="1" t="n">
        <x:v>26</x:v>
      </x:c>
      <x:c r="F339" s="32" t="n">
        <x:v>47072</x:v>
      </x:c>
      <x:c r="G339" s="36" t="n">
        <x:v>28920000</x:v>
      </x:c>
      <x:c r="H339" s="36" t="n">
        <x:v>119536</x:v>
      </x:c>
      <x:c r="I339" s="36" t="n">
        <x:v>0</x:v>
      </x:c>
      <x:c r="J339" s="36" t="n">
        <x:v>0</x:v>
      </x:c>
      <x:c r="K339" s="36" t="n">
        <x:v>28920000</x:v>
      </x:c>
      <x:c r="L339" s="36" t="n">
        <x:v>0</x:v>
      </x:c>
      <x:c r="M339" s="38" t="n">
        <x:v>2.1683778234086244</x:v>
      </x:c>
      <x:c r="N339" s="36" t="n">
        <x:v>28920000</x:v>
      </x:c>
    </x:row>
    <x:row r="340" ht="20" customHeight="1">
      <x:c r="C340" s="1" t="n">
        <x:v>1</x:v>
      </x:c>
      <x:c r="D340" s="1" t="n">
        <x:v>6</x:v>
      </x:c>
      <x:c r="E340" s="1" t="n">
        <x:v>27</x:v>
      </x:c>
      <x:c r="F340" s="32" t="n">
        <x:v>47102</x:v>
      </x:c>
      <x:c r="G340" s="36" t="n">
        <x:v>28920000</x:v>
      </x:c>
      <x:c r="H340" s="36" t="n">
        <x:v>119536</x:v>
      </x:c>
      <x:c r="I340" s="36" t="n">
        <x:v>0</x:v>
      </x:c>
      <x:c r="J340" s="36" t="n">
        <x:v>0</x:v>
      </x:c>
      <x:c r="K340" s="36" t="n">
        <x:v>28920000</x:v>
      </x:c>
      <x:c r="L340" s="36" t="n">
        <x:v>0</x:v>
      </x:c>
      <x:c r="M340" s="38" t="n">
        <x:v>2.2505133470225873</x:v>
      </x:c>
      <x:c r="N340" s="36" t="n">
        <x:v>28920000</x:v>
      </x:c>
    </x:row>
    <x:row r="341" ht="20" customHeight="1">
      <x:c r="C341" s="1" t="n">
        <x:v>1</x:v>
      </x:c>
      <x:c r="D341" s="1" t="n">
        <x:v>6</x:v>
      </x:c>
      <x:c r="E341" s="1" t="n">
        <x:v>28</x:v>
      </x:c>
      <x:c r="F341" s="32" t="n">
        <x:v>47134</x:v>
      </x:c>
      <x:c r="G341" s="36" t="n">
        <x:v>28920000</x:v>
      </x:c>
      <x:c r="H341" s="36" t="n">
        <x:v>119536</x:v>
      </x:c>
      <x:c r="I341" s="36" t="n">
        <x:v>0</x:v>
      </x:c>
      <x:c r="J341" s="36" t="n">
        <x:v>0</x:v>
      </x:c>
      <x:c r="K341" s="36" t="n">
        <x:v>28920000</x:v>
      </x:c>
      <x:c r="L341" s="36" t="n">
        <x:v>0</x:v>
      </x:c>
      <x:c r="M341" s="38" t="n">
        <x:v>2.3381245722108144</x:v>
      </x:c>
      <x:c r="N341" s="36" t="n">
        <x:v>28920000</x:v>
      </x:c>
    </x:row>
    <x:row r="342" ht="20" customHeight="1">
      <x:c r="C342" s="1" t="n">
        <x:v>1</x:v>
      </x:c>
      <x:c r="D342" s="1" t="n">
        <x:v>6</x:v>
      </x:c>
      <x:c r="E342" s="1" t="n">
        <x:v>29</x:v>
      </x:c>
      <x:c r="F342" s="32" t="n">
        <x:v>47164</x:v>
      </x:c>
      <x:c r="G342" s="36" t="n">
        <x:v>28920000</x:v>
      </x:c>
      <x:c r="H342" s="36" t="n">
        <x:v>119536</x:v>
      </x:c>
      <x:c r="I342" s="36" t="n">
        <x:v>0</x:v>
      </x:c>
      <x:c r="J342" s="36" t="n">
        <x:v>0</x:v>
      </x:c>
      <x:c r="K342" s="36" t="n">
        <x:v>28920000</x:v>
      </x:c>
      <x:c r="L342" s="36" t="n">
        <x:v>0</x:v>
      </x:c>
      <x:c r="M342" s="38" t="n">
        <x:v>2.4202600958247777</x:v>
      </x:c>
      <x:c r="N342" s="36" t="n">
        <x:v>28920000</x:v>
      </x:c>
    </x:row>
    <x:row r="343" ht="20" customHeight="1">
      <x:c r="C343" s="1" t="n">
        <x:v>1</x:v>
      </x:c>
      <x:c r="D343" s="1" t="n">
        <x:v>6</x:v>
      </x:c>
      <x:c r="E343" s="1" t="n">
        <x:v>30</x:v>
      </x:c>
      <x:c r="F343" s="32" t="n">
        <x:v>47192</x:v>
      </x:c>
      <x:c r="G343" s="36" t="n">
        <x:v>28920000</x:v>
      </x:c>
      <x:c r="H343" s="36" t="n">
        <x:v>119536</x:v>
      </x:c>
      <x:c r="I343" s="36" t="n">
        <x:v>0</x:v>
      </x:c>
      <x:c r="J343" s="36" t="n">
        <x:v>0</x:v>
      </x:c>
      <x:c r="K343" s="36" t="n">
        <x:v>28920000</x:v>
      </x:c>
      <x:c r="L343" s="36" t="n">
        <x:v>0</x:v>
      </x:c>
      <x:c r="M343" s="38" t="n">
        <x:v>2.4969199178644765</x:v>
      </x:c>
      <x:c r="N343" s="36" t="n">
        <x:v>28920000</x:v>
      </x:c>
    </x:row>
    <x:row r="344" ht="20" customHeight="1">
      <x:c r="C344" s="1" t="n">
        <x:v>1</x:v>
      </x:c>
      <x:c r="D344" s="1" t="n">
        <x:v>6</x:v>
      </x:c>
      <x:c r="E344" s="1" t="n">
        <x:v>31</x:v>
      </x:c>
      <x:c r="F344" s="32" t="n">
        <x:v>47224</x:v>
      </x:c>
      <x:c r="G344" s="36" t="n">
        <x:v>28920000</x:v>
      </x:c>
      <x:c r="H344" s="36" t="n">
        <x:v>119536</x:v>
      </x:c>
      <x:c r="I344" s="36" t="n">
        <x:v>0</x:v>
      </x:c>
      <x:c r="J344" s="36" t="n">
        <x:v>0</x:v>
      </x:c>
      <x:c r="K344" s="36" t="n">
        <x:v>28920000</x:v>
      </x:c>
      <x:c r="L344" s="36" t="n">
        <x:v>0</x:v>
      </x:c>
      <x:c r="M344" s="38" t="n">
        <x:v>2.5845311430527036</x:v>
      </x:c>
      <x:c r="N344" s="36" t="n">
        <x:v>28920000</x:v>
      </x:c>
    </x:row>
    <x:row r="345" ht="20" customHeight="1">
      <x:c r="C345" s="1" t="n">
        <x:v>1</x:v>
      </x:c>
      <x:c r="D345" s="1" t="n">
        <x:v>6</x:v>
      </x:c>
      <x:c r="E345" s="1" t="n">
        <x:v>32</x:v>
      </x:c>
      <x:c r="F345" s="32" t="n">
        <x:v>47253</x:v>
      </x:c>
      <x:c r="G345" s="36" t="n">
        <x:v>28920000</x:v>
      </x:c>
      <x:c r="H345" s="36" t="n">
        <x:v>119536</x:v>
      </x:c>
      <x:c r="I345" s="36" t="n">
        <x:v>0</x:v>
      </x:c>
      <x:c r="J345" s="36" t="n">
        <x:v>0</x:v>
      </x:c>
      <x:c r="K345" s="36" t="n">
        <x:v>28920000</x:v>
      </x:c>
      <x:c r="L345" s="36" t="n">
        <x:v>0</x:v>
      </x:c>
      <x:c r="M345" s="38" t="n">
        <x:v>2.6639288158795345</x:v>
      </x:c>
      <x:c r="N345" s="36" t="n">
        <x:v>28920000</x:v>
      </x:c>
    </x:row>
    <x:row r="346" ht="20" customHeight="1">
      <x:c r="C346" s="1" t="n">
        <x:v>1</x:v>
      </x:c>
      <x:c r="D346" s="1" t="n">
        <x:v>6</x:v>
      </x:c>
      <x:c r="E346" s="1" t="n">
        <x:v>33</x:v>
      </x:c>
      <x:c r="F346" s="32" t="n">
        <x:v>47284</x:v>
      </x:c>
      <x:c r="G346" s="36" t="n">
        <x:v>28920000</x:v>
      </x:c>
      <x:c r="H346" s="36" t="n">
        <x:v>119536</x:v>
      </x:c>
      <x:c r="I346" s="36" t="n">
        <x:v>0</x:v>
      </x:c>
      <x:c r="J346" s="36" t="n">
        <x:v>0</x:v>
      </x:c>
      <x:c r="K346" s="36" t="n">
        <x:v>28920000</x:v>
      </x:c>
      <x:c r="L346" s="36" t="n">
        <x:v>0</x:v>
      </x:c>
      <x:c r="M346" s="38" t="n">
        <x:v>2.74880219028063</x:v>
      </x:c>
      <x:c r="N346" s="36" t="n">
        <x:v>28920000</x:v>
      </x:c>
    </x:row>
    <x:row r="347" ht="20" customHeight="1">
      <x:c r="C347" s="1" t="n">
        <x:v>1</x:v>
      </x:c>
      <x:c r="D347" s="1" t="n">
        <x:v>6</x:v>
      </x:c>
      <x:c r="E347" s="1" t="n">
        <x:v>34</x:v>
      </x:c>
      <x:c r="F347" s="32" t="n">
        <x:v>47315</x:v>
      </x:c>
      <x:c r="G347" s="36" t="n">
        <x:v>28920000</x:v>
      </x:c>
      <x:c r="H347" s="36" t="n">
        <x:v>119536</x:v>
      </x:c>
      <x:c r="I347" s="36" t="n">
        <x:v>0</x:v>
      </x:c>
      <x:c r="J347" s="36" t="n">
        <x:v>0</x:v>
      </x:c>
      <x:c r="K347" s="36" t="n">
        <x:v>28920000</x:v>
      </x:c>
      <x:c r="L347" s="36" t="n">
        <x:v>0</x:v>
      </x:c>
      <x:c r="M347" s="38" t="n">
        <x:v>2.833675564681725</x:v>
      </x:c>
      <x:c r="N347" s="36" t="n">
        <x:v>28920000</x:v>
      </x:c>
    </x:row>
    <x:row r="348" ht="20" customHeight="1">
      <x:c r="C348" s="1" t="n">
        <x:v>1</x:v>
      </x:c>
      <x:c r="D348" s="1" t="n">
        <x:v>6</x:v>
      </x:c>
      <x:c r="E348" s="1" t="n">
        <x:v>35</x:v>
      </x:c>
      <x:c r="F348" s="32" t="n">
        <x:v>47345</x:v>
      </x:c>
      <x:c r="G348" s="36" t="n">
        <x:v>28920000</x:v>
      </x:c>
      <x:c r="H348" s="36" t="n">
        <x:v>119536</x:v>
      </x:c>
      <x:c r="I348" s="36" t="n">
        <x:v>0</x:v>
      </x:c>
      <x:c r="J348" s="36" t="n">
        <x:v>0</x:v>
      </x:c>
      <x:c r="K348" s="36" t="n">
        <x:v>28920000</x:v>
      </x:c>
      <x:c r="L348" s="36" t="n">
        <x:v>0</x:v>
      </x:c>
      <x:c r="M348" s="38" t="n">
        <x:v>2.915811088295688</x:v>
      </x:c>
      <x:c r="N348" s="36" t="n">
        <x:v>28920000</x:v>
      </x:c>
    </x:row>
    <x:row r="349" ht="20" customHeight="1">
      <x:c r="C349" s="1" t="n">
        <x:v>1</x:v>
      </x:c>
      <x:c r="D349" s="1" t="n">
        <x:v>6</x:v>
      </x:c>
      <x:c r="E349" s="1" t="n">
        <x:v>36</x:v>
      </x:c>
      <x:c r="F349" s="32" t="n">
        <x:v>47378</x:v>
      </x:c>
      <x:c r="G349" s="36" t="n">
        <x:v>28920000</x:v>
      </x:c>
      <x:c r="H349" s="36" t="n">
        <x:v>119536</x:v>
      </x:c>
      <x:c r="I349" s="36" t="n">
        <x:v>0</x:v>
      </x:c>
      <x:c r="J349" s="36" t="n">
        <x:v>0</x:v>
      </x:c>
      <x:c r="K349" s="36" t="n">
        <x:v>28920000</x:v>
      </x:c>
      <x:c r="L349" s="36" t="n">
        <x:v>0</x:v>
      </x:c>
      <x:c r="M349" s="38" t="n">
        <x:v>3.0061601642710474</x:v>
      </x:c>
      <x:c r="N349" s="36" t="n">
        <x:v>28920000</x:v>
      </x:c>
    </x:row>
    <x:row r="350" ht="20" customHeight="1">
      <x:c r="C350" s="1" t="n">
        <x:v>1</x:v>
      </x:c>
      <x:c r="D350" s="1" t="n">
        <x:v>6</x:v>
      </x:c>
      <x:c r="E350" s="1" t="n">
        <x:v>37</x:v>
      </x:c>
      <x:c r="F350" s="32" t="n">
        <x:v>47406</x:v>
      </x:c>
      <x:c r="G350" s="36" t="n">
        <x:v>28920000</x:v>
      </x:c>
      <x:c r="H350" s="36" t="n">
        <x:v>119536</x:v>
      </x:c>
      <x:c r="I350" s="36" t="n">
        <x:v>0</x:v>
      </x:c>
      <x:c r="J350" s="36" t="n">
        <x:v>0</x:v>
      </x:c>
      <x:c r="K350" s="36" t="n">
        <x:v>28920000</x:v>
      </x:c>
      <x:c r="L350" s="36" t="n">
        <x:v>0</x:v>
      </x:c>
      <x:c r="M350" s="38" t="n">
        <x:v>3.082819986310746</x:v>
      </x:c>
      <x:c r="N350" s="36" t="n">
        <x:v>28920000</x:v>
      </x:c>
    </x:row>
    <x:row r="351" ht="20" customHeight="1">
      <x:c r="C351" s="1" t="n">
        <x:v>1</x:v>
      </x:c>
      <x:c r="D351" s="1" t="n">
        <x:v>6</x:v>
      </x:c>
      <x:c r="E351" s="1" t="n">
        <x:v>38</x:v>
      </x:c>
      <x:c r="F351" s="32" t="n">
        <x:v>47437</x:v>
      </x:c>
      <x:c r="G351" s="36" t="n">
        <x:v>28920000</x:v>
      </x:c>
      <x:c r="H351" s="36" t="n">
        <x:v>119536</x:v>
      </x:c>
      <x:c r="I351" s="36" t="n">
        <x:v>0</x:v>
      </x:c>
      <x:c r="J351" s="36" t="n">
        <x:v>0</x:v>
      </x:c>
      <x:c r="K351" s="36" t="n">
        <x:v>28920000</x:v>
      </x:c>
      <x:c r="L351" s="36" t="n">
        <x:v>0</x:v>
      </x:c>
      <x:c r="M351" s="38" t="n">
        <x:v>3.167693360711841</x:v>
      </x:c>
      <x:c r="N351" s="36" t="n">
        <x:v>28920000</x:v>
      </x:c>
    </x:row>
    <x:row r="352" ht="20" customHeight="1">
      <x:c r="C352" s="1" t="n">
        <x:v>1</x:v>
      </x:c>
      <x:c r="D352" s="1" t="n">
        <x:v>6</x:v>
      </x:c>
      <x:c r="E352" s="1" t="n">
        <x:v>39</x:v>
      </x:c>
      <x:c r="F352" s="32" t="n">
        <x:v>47469</x:v>
      </x:c>
      <x:c r="G352" s="36" t="n">
        <x:v>28920000</x:v>
      </x:c>
      <x:c r="H352" s="36" t="n">
        <x:v>119536</x:v>
      </x:c>
      <x:c r="I352" s="36" t="n">
        <x:v>656643.31</x:v>
      </x:c>
      <x:c r="J352" s="36" t="n">
        <x:v>0</x:v>
      </x:c>
      <x:c r="K352" s="36" t="n">
        <x:v>28263356.69</x:v>
      </x:c>
      <x:c r="L352" s="36" t="n">
        <x:v>0</x:v>
      </x:c>
      <x:c r="M352" s="38" t="n">
        <x:v>3.2553045859000687</x:v>
      </x:c>
      <x:c r="N352" s="36" t="n">
        <x:v>28263356.69</x:v>
      </x:c>
    </x:row>
    <x:row r="353" ht="20" customHeight="1">
      <x:c r="C353" s="1" t="n">
        <x:v>1</x:v>
      </x:c>
      <x:c r="D353" s="1" t="n">
        <x:v>6</x:v>
      </x:c>
      <x:c r="E353" s="1" t="n">
        <x:v>40</x:v>
      </x:c>
      <x:c r="F353" s="32" t="n">
        <x:v>47498</x:v>
      </x:c>
      <x:c r="G353" s="36" t="n">
        <x:v>28263356.69</x:v>
      </x:c>
      <x:c r="H353" s="36" t="n">
        <x:v>116821.87</x:v>
      </x:c>
      <x:c r="I353" s="36" t="n">
        <x:v>9271811.87</x:v>
      </x:c>
      <x:c r="J353" s="36" t="n">
        <x:v>0</x:v>
      </x:c>
      <x:c r="K353" s="36" t="n">
        <x:v>18991544.82</x:v>
      </x:c>
      <x:c r="L353" s="36" t="n">
        <x:v>0</x:v>
      </x:c>
      <x:c r="M353" s="38" t="n">
        <x:v>3.3347022587268995</x:v>
      </x:c>
      <x:c r="N353" s="36" t="n">
        <x:v>18991544.82</x:v>
      </x:c>
    </x:row>
    <x:row r="354" ht="20" customHeight="1">
      <x:c r="C354" s="1" t="n">
        <x:v>1</x:v>
      </x:c>
      <x:c r="D354" s="1" t="n">
        <x:v>6</x:v>
      </x:c>
      <x:c r="E354" s="1" t="n">
        <x:v>41</x:v>
      </x:c>
      <x:c r="F354" s="32" t="n">
        <x:v>47529</x:v>
      </x:c>
      <x:c r="G354" s="36" t="n">
        <x:v>18991544.82</x:v>
      </x:c>
      <x:c r="H354" s="36" t="n">
        <x:v>78498.39</x:v>
      </x:c>
      <x:c r="I354" s="36" t="n">
        <x:v>8406448.99</x:v>
      </x:c>
      <x:c r="J354" s="36" t="n">
        <x:v>0</x:v>
      </x:c>
      <x:c r="K354" s="36" t="n">
        <x:v>10585095.83</x:v>
      </x:c>
      <x:c r="L354" s="36" t="n">
        <x:v>0</x:v>
      </x:c>
      <x:c r="M354" s="38" t="n">
        <x:v>3.4195756331279945</x:v>
      </x:c>
      <x:c r="N354" s="36" t="n">
        <x:v>10585095.83</x:v>
      </x:c>
    </x:row>
    <x:row r="355" ht="20" customHeight="1">
      <x:c r="C355" s="1" t="n">
        <x:v>1</x:v>
      </x:c>
      <x:c r="D355" s="1" t="n">
        <x:v>6</x:v>
      </x:c>
      <x:c r="E355" s="1" t="n">
        <x:v>42</x:v>
      </x:c>
      <x:c r="F355" s="32" t="n">
        <x:v>47557</x:v>
      </x:c>
      <x:c r="G355" s="36" t="n">
        <x:v>10585095.83</x:v>
      </x:c>
      <x:c r="H355" s="36" t="n">
        <x:v>43751.73</x:v>
      </x:c>
      <x:c r="I355" s="36" t="n">
        <x:v>7605729.67</x:v>
      </x:c>
      <x:c r="J355" s="36" t="n">
        <x:v>0</x:v>
      </x:c>
      <x:c r="K355" s="36" t="n">
        <x:v>2979366.16</x:v>
      </x:c>
      <x:c r="L355" s="36" t="n">
        <x:v>0</x:v>
      </x:c>
      <x:c r="M355" s="38" t="n">
        <x:v>3.4962354551676933</x:v>
      </x:c>
      <x:c r="N355" s="36" t="n">
        <x:v>2979366.16</x:v>
      </x:c>
    </x:row>
    <x:row r="356" ht="20" customHeight="1">
      <x:c r="C356" s="1" t="n">
        <x:v>1</x:v>
      </x:c>
      <x:c r="D356" s="1" t="n">
        <x:v>6</x:v>
      </x:c>
      <x:c r="E356" s="1" t="n">
        <x:v>43</x:v>
      </x:c>
      <x:c r="F356" s="32" t="n">
        <x:v>47588</x:v>
      </x:c>
      <x:c r="G356" s="36" t="n">
        <x:v>2979366.16</x:v>
      </x:c>
      <x:c r="H356" s="36" t="n">
        <x:v>12314.71</x:v>
      </x:c>
      <x:c r="I356" s="36" t="n">
        <x:v>2979366.16</x:v>
      </x:c>
      <x:c r="J356" s="36" t="n">
        <x:v>0</x:v>
      </x:c>
      <x:c r="K356" s="36" t="n">
        <x:v>0</x:v>
      </x:c>
      <x:c r="L356" s="36" t="n">
        <x:v>0</x:v>
      </x:c>
      <x:c r="M356" s="38" t="n">
        <x:v>3.5811088295687883</x:v>
      </x:c>
      <x:c r="N356" s="36" t="n">
        <x:v>0</x:v>
      </x:c>
    </x:row>
    <x:row r="357" ht="20" customHeight="1">
      <x:c r="C357" s="1" t="n">
        <x:v>1</x:v>
      </x:c>
      <x:c r="D357" s="1" t="n">
        <x:v>6</x:v>
      </x:c>
      <x:c r="E357" s="1" t="n">
        <x:v>44</x:v>
      </x:c>
      <x:c r="F357" s="32" t="n">
        <x:v>47618</x:v>
      </x:c>
      <x:c r="G357" s="36" t="n">
        <x:v>0</x:v>
      </x:c>
      <x:c r="H357" s="36" t="n">
        <x:v>0</x:v>
      </x:c>
      <x:c r="I357" s="36" t="n">
        <x:v>0</x:v>
      </x:c>
      <x:c r="J357" s="36" t="n">
        <x:v>0</x:v>
      </x:c>
      <x:c r="K357" s="36" t="n">
        <x:v>0</x:v>
      </x:c>
      <x:c r="L357" s="36" t="n">
        <x:v>0</x:v>
      </x:c>
      <x:c r="M357" s="38" t="n">
        <x:v>3.6632443531827517</x:v>
      </x:c>
      <x:c r="N357" s="36" t="n">
        <x:v>0</x:v>
      </x:c>
    </x:row>
    <x:row r="358" ht="20" customHeight="1">
      <x:c r="C358" s="1" t="n">
        <x:v>1</x:v>
      </x:c>
      <x:c r="D358" s="1" t="n">
        <x:v>6</x:v>
      </x:c>
      <x:c r="E358" s="1" t="n">
        <x:v>45</x:v>
      </x:c>
      <x:c r="F358" s="32" t="n">
        <x:v>47651</x:v>
      </x:c>
      <x:c r="G358" s="36" t="n">
        <x:v>0</x:v>
      </x:c>
      <x:c r="H358" s="36" t="n">
        <x:v>0</x:v>
      </x:c>
      <x:c r="I358" s="36" t="n">
        <x:v>0</x:v>
      </x:c>
      <x:c r="J358" s="36" t="n">
        <x:v>0</x:v>
      </x:c>
      <x:c r="K358" s="36" t="n">
        <x:v>0</x:v>
      </x:c>
      <x:c r="L358" s="36" t="n">
        <x:v>0</x:v>
      </x:c>
      <x:c r="M358" s="38" t="n">
        <x:v>3.753593429158111</x:v>
      </x:c>
      <x:c r="N358" s="36" t="n">
        <x:v>0</x:v>
      </x:c>
    </x:row>
    <x:row r="359" ht="20" customHeight="1">
      <x:c r="C359" s="1" t="n">
        <x:v>1</x:v>
      </x:c>
      <x:c r="D359" s="1" t="n">
        <x:v>6</x:v>
      </x:c>
      <x:c r="E359" s="1" t="n">
        <x:v>46</x:v>
      </x:c>
      <x:c r="F359" s="32" t="n">
        <x:v>47679</x:v>
      </x:c>
      <x:c r="G359" s="36" t="n">
        <x:v>0</x:v>
      </x:c>
      <x:c r="H359" s="36" t="n">
        <x:v>0</x:v>
      </x:c>
      <x:c r="I359" s="36" t="n">
        <x:v>0</x:v>
      </x:c>
      <x:c r="J359" s="36" t="n">
        <x:v>0</x:v>
      </x:c>
      <x:c r="K359" s="36" t="n">
        <x:v>0</x:v>
      </x:c>
      <x:c r="L359" s="36" t="n">
        <x:v>0</x:v>
      </x:c>
      <x:c r="M359" s="38" t="n">
        <x:v>3.8302532511978096</x:v>
      </x:c>
      <x:c r="N359" s="36" t="n">
        <x:v>0</x:v>
      </x:c>
    </x:row>
    <x:row r="360" ht="20" customHeight="1">
      <x:c r="C360" s="1" t="n">
        <x:v>1</x:v>
      </x:c>
      <x:c r="D360" s="1" t="n">
        <x:v>6</x:v>
      </x:c>
      <x:c r="E360" s="1" t="n">
        <x:v>47</x:v>
      </x:c>
      <x:c r="F360" s="32" t="n">
        <x:v>47710</x:v>
      </x:c>
      <x:c r="G360" s="36" t="n">
        <x:v>0</x:v>
      </x:c>
      <x:c r="H360" s="36" t="n">
        <x:v>0</x:v>
      </x:c>
      <x:c r="I360" s="36" t="n">
        <x:v>0</x:v>
      </x:c>
      <x:c r="J360" s="36" t="n">
        <x:v>0</x:v>
      </x:c>
      <x:c r="K360" s="36" t="n">
        <x:v>0</x:v>
      </x:c>
      <x:c r="L360" s="36" t="n">
        <x:v>0</x:v>
      </x:c>
      <x:c r="M360" s="38" t="n">
        <x:v>3.915126625598905</x:v>
      </x:c>
      <x:c r="N360" s="36" t="n">
        <x:v>0</x:v>
      </x:c>
    </x:row>
    <x:row r="361" ht="20" customHeight="1">
      <x:c r="C361" s="1" t="n">
        <x:v>1</x:v>
      </x:c>
      <x:c r="D361" s="1" t="n">
        <x:v>6</x:v>
      </x:c>
      <x:c r="E361" s="1" t="n">
        <x:v>48</x:v>
      </x:c>
      <x:c r="F361" s="32" t="n">
        <x:v>47742</x:v>
      </x:c>
      <x:c r="G361" s="36" t="n">
        <x:v>0</x:v>
      </x:c>
      <x:c r="H361" s="36" t="n">
        <x:v>0</x:v>
      </x:c>
      <x:c r="I361" s="36" t="n">
        <x:v>0</x:v>
      </x:c>
      <x:c r="J361" s="36" t="n">
        <x:v>0</x:v>
      </x:c>
      <x:c r="K361" s="36" t="n">
        <x:v>0</x:v>
      </x:c>
      <x:c r="L361" s="36" t="n">
        <x:v>0</x:v>
      </x:c>
      <x:c r="M361" s="38" t="n">
        <x:v>4.002737850787132</x:v>
      </x:c>
      <x:c r="N361" s="36" t="n">
        <x:v>0</x:v>
      </x:c>
    </x:row>
    <x:row r="362" ht="20" customHeight="1">
      <x:c r="C362" s="1" t="n">
        <x:v>1</x:v>
      </x:c>
      <x:c r="D362" s="1" t="n">
        <x:v>6</x:v>
      </x:c>
      <x:c r="E362" s="1" t="n">
        <x:v>49</x:v>
      </x:c>
      <x:c r="F362" s="32" t="n">
        <x:v>47771</x:v>
      </x:c>
      <x:c r="G362" s="36" t="n">
        <x:v>0</x:v>
      </x:c>
      <x:c r="H362" s="36" t="n">
        <x:v>0</x:v>
      </x:c>
      <x:c r="I362" s="36" t="n">
        <x:v>0</x:v>
      </x:c>
      <x:c r="J362" s="36" t="n">
        <x:v>0</x:v>
      </x:c>
      <x:c r="K362" s="36" t="n">
        <x:v>0</x:v>
      </x:c>
      <x:c r="L362" s="36" t="n">
        <x:v>0</x:v>
      </x:c>
      <x:c r="M362" s="38" t="n">
        <x:v>4.082135523613963</x:v>
      </x:c>
      <x:c r="N362" s="36" t="n">
        <x:v>0</x:v>
      </x:c>
    </x:row>
    <x:row r="363" ht="20" customHeight="1">
      <x:c r="C363" s="1" t="n">
        <x:v>1</x:v>
      </x:c>
      <x:c r="D363" s="1" t="n">
        <x:v>6</x:v>
      </x:c>
      <x:c r="E363" s="1" t="n">
        <x:v>50</x:v>
      </x:c>
      <x:c r="F363" s="32" t="n">
        <x:v>47802</x:v>
      </x:c>
      <x:c r="G363" s="36" t="n">
        <x:v>0</x:v>
      </x:c>
      <x:c r="H363" s="36" t="n">
        <x:v>0</x:v>
      </x:c>
      <x:c r="I363" s="36" t="n">
        <x:v>0</x:v>
      </x:c>
      <x:c r="J363" s="36" t="n">
        <x:v>0</x:v>
      </x:c>
      <x:c r="K363" s="36" t="n">
        <x:v>0</x:v>
      </x:c>
      <x:c r="L363" s="36" t="n">
        <x:v>0</x:v>
      </x:c>
      <x:c r="M363" s="38" t="n">
        <x:v>4.167008898015058</x:v>
      </x:c>
      <x:c r="N363" s="36" t="n">
        <x:v>0</x:v>
      </x:c>
    </x:row>
    <x:row r="364" ht="20" customHeight="1">
      <x:c r="C364" s="1" t="n">
        <x:v>1</x:v>
      </x:c>
      <x:c r="D364" s="1" t="n">
        <x:v>6</x:v>
      </x:c>
      <x:c r="E364" s="1" t="n">
        <x:v>51</x:v>
      </x:c>
      <x:c r="F364" s="32" t="n">
        <x:v>47833</x:v>
      </x:c>
      <x:c r="G364" s="36" t="n">
        <x:v>0</x:v>
      </x:c>
      <x:c r="H364" s="36" t="n">
        <x:v>0</x:v>
      </x:c>
      <x:c r="I364" s="36" t="n">
        <x:v>0</x:v>
      </x:c>
      <x:c r="J364" s="36" t="n">
        <x:v>0</x:v>
      </x:c>
      <x:c r="K364" s="36" t="n">
        <x:v>0</x:v>
      </x:c>
      <x:c r="L364" s="36" t="n">
        <x:v>0</x:v>
      </x:c>
      <x:c r="M364" s="38" t="n">
        <x:v>4.251882272416153</x:v>
      </x:c>
      <x:c r="N364" s="36" t="n">
        <x:v>0</x:v>
      </x:c>
    </x:row>
    <x:row r="365" ht="20" customHeight="1">
      <x:c r="C365" s="1" t="n">
        <x:v>1</x:v>
      </x:c>
      <x:c r="D365" s="1" t="n">
        <x:v>6</x:v>
      </x:c>
      <x:c r="E365" s="1" t="n">
        <x:v>52</x:v>
      </x:c>
      <x:c r="F365" s="32" t="n">
        <x:v>47863</x:v>
      </x:c>
      <x:c r="G365" s="36" t="n">
        <x:v>0</x:v>
      </x:c>
      <x:c r="H365" s="36" t="n">
        <x:v>0</x:v>
      </x:c>
      <x:c r="I365" s="36" t="n">
        <x:v>0</x:v>
      </x:c>
      <x:c r="J365" s="36" t="n">
        <x:v>0</x:v>
      </x:c>
      <x:c r="K365" s="36" t="n">
        <x:v>0</x:v>
      </x:c>
      <x:c r="L365" s="36" t="n">
        <x:v>0</x:v>
      </x:c>
      <x:c r="M365" s="38" t="n">
        <x:v>4.334017796030117</x:v>
      </x:c>
      <x:c r="N365" s="36" t="n">
        <x:v>0</x:v>
      </x:c>
    </x:row>
    <x:row r="366" ht="20" customHeight="1">
      <x:c r="C366" s="1" t="n">
        <x:v>1</x:v>
      </x:c>
      <x:c r="D366" s="1" t="n">
        <x:v>6</x:v>
      </x:c>
      <x:c r="E366" s="1" t="n">
        <x:v>53</x:v>
      </x:c>
      <x:c r="F366" s="32" t="n">
        <x:v>47897</x:v>
      </x:c>
      <x:c r="G366" s="36" t="n">
        <x:v>0</x:v>
      </x:c>
      <x:c r="H366" s="36" t="n">
        <x:v>0</x:v>
      </x:c>
      <x:c r="I366" s="36" t="n">
        <x:v>0</x:v>
      </x:c>
      <x:c r="J366" s="36" t="n">
        <x:v>0</x:v>
      </x:c>
      <x:c r="K366" s="36" t="n">
        <x:v>0</x:v>
      </x:c>
      <x:c r="L366" s="36" t="n">
        <x:v>0</x:v>
      </x:c>
      <x:c r="M366" s="38" t="n">
        <x:v>4.427104722792608</x:v>
      </x:c>
      <x:c r="N366" s="36" t="n">
        <x:v>0</x:v>
      </x:c>
    </x:row>
    <x:row r="367" ht="20" customHeight="1">
      <x:c r="C367" s="1" t="n">
        <x:v>1</x:v>
      </x:c>
      <x:c r="D367" s="1" t="n">
        <x:v>6</x:v>
      </x:c>
      <x:c r="E367" s="1" t="n">
        <x:v>54</x:v>
      </x:c>
      <x:c r="F367" s="32" t="n">
        <x:v>47924</x:v>
      </x:c>
      <x:c r="G367" s="36" t="n">
        <x:v>0</x:v>
      </x:c>
      <x:c r="H367" s="36" t="n">
        <x:v>0</x:v>
      </x:c>
      <x:c r="I367" s="36" t="n">
        <x:v>0</x:v>
      </x:c>
      <x:c r="J367" s="36" t="n">
        <x:v>0</x:v>
      </x:c>
      <x:c r="K367" s="36" t="n">
        <x:v>0</x:v>
      </x:c>
      <x:c r="L367" s="36" t="n">
        <x:v>0</x:v>
      </x:c>
      <x:c r="M367" s="38" t="n">
        <x:v>4.501026694045175</x:v>
      </x:c>
      <x:c r="N367" s="36" t="n">
        <x:v>0</x:v>
      </x:c>
    </x:row>
    <x:row r="368" ht="20" customHeight="1">
      <x:c r="C368" s="1" t="n">
        <x:v>1</x:v>
      </x:c>
      <x:c r="D368" s="1" t="n">
        <x:v>6</x:v>
      </x:c>
      <x:c r="E368" s="1" t="n">
        <x:v>55</x:v>
      </x:c>
      <x:c r="F368" s="32" t="n">
        <x:v>47953</x:v>
      </x:c>
      <x:c r="G368" s="36" t="n">
        <x:v>0</x:v>
      </x:c>
      <x:c r="H368" s="36" t="n">
        <x:v>0</x:v>
      </x:c>
      <x:c r="I368" s="36" t="n">
        <x:v>0</x:v>
      </x:c>
      <x:c r="J368" s="36" t="n">
        <x:v>0</x:v>
      </x:c>
      <x:c r="K368" s="36" t="n">
        <x:v>0</x:v>
      </x:c>
      <x:c r="L368" s="36" t="n">
        <x:v>0</x:v>
      </x:c>
      <x:c r="M368" s="38" t="n">
        <x:v>4.5804243668720055</x:v>
      </x:c>
      <x:c r="N368" s="36" t="n">
        <x:v>0</x:v>
      </x:c>
    </x:row>
    <x:row r="369" ht="20" customHeight="1">
      <x:c r="C369" s="1" t="n">
        <x:v>1</x:v>
      </x:c>
      <x:c r="D369" s="1" t="n">
        <x:v>6</x:v>
      </x:c>
      <x:c r="E369" s="1" t="n">
        <x:v>56</x:v>
      </x:c>
      <x:c r="F369" s="32" t="n">
        <x:v>47983</x:v>
      </x:c>
      <x:c r="G369" s="36" t="n">
        <x:v>0</x:v>
      </x:c>
      <x:c r="H369" s="36" t="n">
        <x:v>0</x:v>
      </x:c>
      <x:c r="I369" s="36" t="n">
        <x:v>0</x:v>
      </x:c>
      <x:c r="J369" s="36" t="n">
        <x:v>0</x:v>
      </x:c>
      <x:c r="K369" s="36" t="n">
        <x:v>0</x:v>
      </x:c>
      <x:c r="L369" s="36" t="n">
        <x:v>0</x:v>
      </x:c>
      <x:c r="M369" s="38" t="n">
        <x:v>4.662559890485968</x:v>
      </x:c>
      <x:c r="N369" s="36" t="n">
        <x:v>0</x:v>
      </x:c>
    </x:row>
    <x:row r="370" ht="20" customHeight="1">
      <x:c r="C370" s="1" t="n">
        <x:v>1</x:v>
      </x:c>
      <x:c r="D370" s="1" t="n">
        <x:v>6</x:v>
      </x:c>
      <x:c r="E370" s="1" t="n">
        <x:v>57</x:v>
      </x:c>
      <x:c r="F370" s="32" t="n">
        <x:v>48015</x:v>
      </x:c>
      <x:c r="G370" s="36" t="n">
        <x:v>0</x:v>
      </x:c>
      <x:c r="H370" s="36" t="n">
        <x:v>0</x:v>
      </x:c>
      <x:c r="I370" s="36" t="n">
        <x:v>0</x:v>
      </x:c>
      <x:c r="J370" s="36" t="n">
        <x:v>0</x:v>
      </x:c>
      <x:c r="K370" s="36" t="n">
        <x:v>0</x:v>
      </x:c>
      <x:c r="L370" s="36" t="n">
        <x:v>0</x:v>
      </x:c>
      <x:c r="M370" s="38" t="n">
        <x:v>4.7501711156741955</x:v>
      </x:c>
      <x:c r="N370" s="36" t="n">
        <x:v>0</x:v>
      </x:c>
    </x:row>
    <x:row r="371" ht="20" customHeight="1">
      <x:c r="C371" s="1" t="n">
        <x:v>1</x:v>
      </x:c>
      <x:c r="D371" s="1" t="n">
        <x:v>6</x:v>
      </x:c>
      <x:c r="E371" s="1" t="n">
        <x:v>58</x:v>
      </x:c>
      <x:c r="F371" s="32" t="n">
        <x:v>48044</x:v>
      </x:c>
      <x:c r="G371" s="36" t="n">
        <x:v>0</x:v>
      </x:c>
      <x:c r="H371" s="36" t="n">
        <x:v>0</x:v>
      </x:c>
      <x:c r="I371" s="36" t="n">
        <x:v>0</x:v>
      </x:c>
      <x:c r="J371" s="36" t="n">
        <x:v>0</x:v>
      </x:c>
      <x:c r="K371" s="36" t="n">
        <x:v>0</x:v>
      </x:c>
      <x:c r="L371" s="36" t="n">
        <x:v>0</x:v>
      </x:c>
      <x:c r="M371" s="38" t="n">
        <x:v>4.829568788501026</x:v>
      </x:c>
      <x:c r="N371" s="36" t="n">
        <x:v>0</x:v>
      </x:c>
    </x:row>
    <x:row r="372" ht="20" customHeight="1">
      <x:c r="C372" s="1" t="n">
        <x:v>1</x:v>
      </x:c>
      <x:c r="D372" s="1" t="n">
        <x:v>6</x:v>
      </x:c>
      <x:c r="E372" s="1" t="n">
        <x:v>59</x:v>
      </x:c>
      <x:c r="F372" s="32" t="n">
        <x:v>48075</x:v>
      </x:c>
      <x:c r="G372" s="36" t="n">
        <x:v>0</x:v>
      </x:c>
      <x:c r="H372" s="36" t="n">
        <x:v>0</x:v>
      </x:c>
      <x:c r="I372" s="36" t="n">
        <x:v>0</x:v>
      </x:c>
      <x:c r="J372" s="36" t="n">
        <x:v>0</x:v>
      </x:c>
      <x:c r="K372" s="36" t="n">
        <x:v>0</x:v>
      </x:c>
      <x:c r="L372" s="36" t="n">
        <x:v>0</x:v>
      </x:c>
      <x:c r="M372" s="38" t="n">
        <x:v>4.914442162902122</x:v>
      </x:c>
      <x:c r="N372" s="36" t="n">
        <x:v>0</x:v>
      </x:c>
    </x:row>
    <x:row r="373" ht="20" customHeight="1">
      <x:c r="C373" s="1" t="n">
        <x:v>1</x:v>
      </x:c>
      <x:c r="D373" s="1" t="n">
        <x:v>6</x:v>
      </x:c>
      <x:c r="E373" s="1" t="n">
        <x:v>60</x:v>
      </x:c>
      <x:c r="F373" s="32" t="n">
        <x:v>48106</x:v>
      </x:c>
      <x:c r="G373" s="36" t="n">
        <x:v>0</x:v>
      </x:c>
      <x:c r="H373" s="36" t="n">
        <x:v>0</x:v>
      </x:c>
      <x:c r="I373" s="36" t="n">
        <x:v>0</x:v>
      </x:c>
      <x:c r="J373" s="36" t="n">
        <x:v>0</x:v>
      </x:c>
      <x:c r="K373" s="36" t="n">
        <x:v>0</x:v>
      </x:c>
      <x:c r="L373" s="36" t="n">
        <x:v>0</x:v>
      </x:c>
      <x:c r="M373" s="38" t="n">
        <x:v>4.999315537303217</x:v>
      </x:c>
      <x:c r="N373" s="36" t="n">
        <x:v>0</x:v>
      </x:c>
    </x:row>
    <x:row r="374" ht="20" customHeight="1">
      <x:c r="C374" s="1" t="n">
        <x:v>1</x:v>
      </x:c>
      <x:c r="D374" s="1" t="n">
        <x:v>6</x:v>
      </x:c>
      <x:c r="E374" s="1" t="n">
        <x:v>61</x:v>
      </x:c>
      <x:c r="F374" s="32" t="n">
        <x:v>48136</x:v>
      </x:c>
      <x:c r="G374" s="36" t="n">
        <x:v>0</x:v>
      </x:c>
      <x:c r="H374" s="36" t="n">
        <x:v>0</x:v>
      </x:c>
      <x:c r="I374" s="36" t="n">
        <x:v>0</x:v>
      </x:c>
      <x:c r="J374" s="36" t="n">
        <x:v>0</x:v>
      </x:c>
      <x:c r="K374" s="36" t="n">
        <x:v>0</x:v>
      </x:c>
      <x:c r="L374" s="36" t="n">
        <x:v>0</x:v>
      </x:c>
      <x:c r="M374" s="38" t="n">
        <x:v>5.08145106091718</x:v>
      </x:c>
      <x:c r="N374" s="36" t="n">
        <x:v>0</x:v>
      </x:c>
    </x:row>
    <x:row r="375" ht="20" customHeight="1">
      <x:c r="C375" s="1" t="n">
        <x:v>1</x:v>
      </x:c>
      <x:c r="D375" s="1" t="n">
        <x:v>7</x:v>
      </x:c>
      <x:c r="E375" s="1" t="n">
        <x:v>1</x:v>
      </x:c>
      <x:c r="F375" s="32" t="n">
        <x:v>46310</x:v>
      </x:c>
      <x:c r="G375" s="36" t="n">
        <x:v>21160000</x:v>
      </x:c>
      <x:c r="H375" s="36" t="n">
        <x:v>90988</x:v>
      </x:c>
      <x:c r="I375" s="36" t="n">
        <x:v>0</x:v>
      </x:c>
      <x:c r="J375" s="36" t="n">
        <x:v>0</x:v>
      </x:c>
      <x:c r="K375" s="36" t="n">
        <x:v>21160000</x:v>
      </x:c>
      <x:c r="L375" s="36" t="n">
        <x:v>0</x:v>
      </x:c>
      <x:c r="M375" s="38" t="n">
        <x:v>0.08213552361396304</x:v>
      </x:c>
      <x:c r="N375" s="36" t="n">
        <x:v>21160000</x:v>
      </x:c>
    </x:row>
    <x:row r="376" ht="20" customHeight="1">
      <x:c r="C376" s="1" t="n">
        <x:v>1</x:v>
      </x:c>
      <x:c r="D376" s="1" t="n">
        <x:v>7</x:v>
      </x:c>
      <x:c r="E376" s="1" t="n">
        <x:v>2</x:v>
      </x:c>
      <x:c r="F376" s="32" t="n">
        <x:v>46342</x:v>
      </x:c>
      <x:c r="G376" s="36" t="n">
        <x:v>21160000</x:v>
      </x:c>
      <x:c r="H376" s="36" t="n">
        <x:v>90988</x:v>
      </x:c>
      <x:c r="I376" s="36" t="n">
        <x:v>0</x:v>
      </x:c>
      <x:c r="J376" s="36" t="n">
        <x:v>0</x:v>
      </x:c>
      <x:c r="K376" s="36" t="n">
        <x:v>21160000</x:v>
      </x:c>
      <x:c r="L376" s="36" t="n">
        <x:v>0</x:v>
      </x:c>
      <x:c r="M376" s="38" t="n">
        <x:v>0.1697467488021903</x:v>
      </x:c>
      <x:c r="N376" s="36" t="n">
        <x:v>21160000</x:v>
      </x:c>
    </x:row>
    <x:row r="377" ht="20" customHeight="1">
      <x:c r="C377" s="1" t="n">
        <x:v>1</x:v>
      </x:c>
      <x:c r="D377" s="1" t="n">
        <x:v>7</x:v>
      </x:c>
      <x:c r="E377" s="1" t="n">
        <x:v>3</x:v>
      </x:c>
      <x:c r="F377" s="32" t="n">
        <x:v>46371</x:v>
      </x:c>
      <x:c r="G377" s="36" t="n">
        <x:v>21160000</x:v>
      </x:c>
      <x:c r="H377" s="36" t="n">
        <x:v>90988</x:v>
      </x:c>
      <x:c r="I377" s="36" t="n">
        <x:v>0</x:v>
      </x:c>
      <x:c r="J377" s="36" t="n">
        <x:v>0</x:v>
      </x:c>
      <x:c r="K377" s="36" t="n">
        <x:v>21160000</x:v>
      </x:c>
      <x:c r="L377" s="36" t="n">
        <x:v>0</x:v>
      </x:c>
      <x:c r="M377" s="38" t="n">
        <x:v>0.24914442162902123</x:v>
      </x:c>
      <x:c r="N377" s="36" t="n">
        <x:v>21160000</x:v>
      </x:c>
    </x:row>
    <x:row r="378" ht="20" customHeight="1">
      <x:c r="C378" s="1" t="n">
        <x:v>1</x:v>
      </x:c>
      <x:c r="D378" s="1" t="n">
        <x:v>7</x:v>
      </x:c>
      <x:c r="E378" s="1" t="n">
        <x:v>4</x:v>
      </x:c>
      <x:c r="F378" s="32" t="n">
        <x:v>46402</x:v>
      </x:c>
      <x:c r="G378" s="36" t="n">
        <x:v>21160000</x:v>
      </x:c>
      <x:c r="H378" s="36" t="n">
        <x:v>90988</x:v>
      </x:c>
      <x:c r="I378" s="36" t="n">
        <x:v>0</x:v>
      </x:c>
      <x:c r="J378" s="36" t="n">
        <x:v>0</x:v>
      </x:c>
      <x:c r="K378" s="36" t="n">
        <x:v>21160000</x:v>
      </x:c>
      <x:c r="L378" s="36" t="n">
        <x:v>0</x:v>
      </x:c>
      <x:c r="M378" s="38" t="n">
        <x:v>0.33401779603011633</x:v>
      </x:c>
      <x:c r="N378" s="36" t="n">
        <x:v>21160000</x:v>
      </x:c>
    </x:row>
    <x:row r="379" ht="20" customHeight="1">
      <x:c r="C379" s="1" t="n">
        <x:v>1</x:v>
      </x:c>
      <x:c r="D379" s="1" t="n">
        <x:v>7</x:v>
      </x:c>
      <x:c r="E379" s="1" t="n">
        <x:v>5</x:v>
      </x:c>
      <x:c r="F379" s="32" t="n">
        <x:v>46434</x:v>
      </x:c>
      <x:c r="G379" s="36" t="n">
        <x:v>21160000</x:v>
      </x:c>
      <x:c r="H379" s="36" t="n">
        <x:v>90988</x:v>
      </x:c>
      <x:c r="I379" s="36" t="n">
        <x:v>0</x:v>
      </x:c>
      <x:c r="J379" s="36" t="n">
        <x:v>0</x:v>
      </x:c>
      <x:c r="K379" s="36" t="n">
        <x:v>21160000</x:v>
      </x:c>
      <x:c r="L379" s="36" t="n">
        <x:v>0</x:v>
      </x:c>
      <x:c r="M379" s="38" t="n">
        <x:v>0.4216290212183436</x:v>
      </x:c>
      <x:c r="N379" s="36" t="n">
        <x:v>21160000</x:v>
      </x:c>
    </x:row>
    <x:row r="380" ht="20" customHeight="1">
      <x:c r="C380" s="1" t="n">
        <x:v>1</x:v>
      </x:c>
      <x:c r="D380" s="1" t="n">
        <x:v>7</x:v>
      </x:c>
      <x:c r="E380" s="1" t="n">
        <x:v>6</x:v>
      </x:c>
      <x:c r="F380" s="32" t="n">
        <x:v>46461</x:v>
      </x:c>
      <x:c r="G380" s="36" t="n">
        <x:v>21160000</x:v>
      </x:c>
      <x:c r="H380" s="36" t="n">
        <x:v>90988</x:v>
      </x:c>
      <x:c r="I380" s="36" t="n">
        <x:v>0</x:v>
      </x:c>
      <x:c r="J380" s="36" t="n">
        <x:v>0</x:v>
      </x:c>
      <x:c r="K380" s="36" t="n">
        <x:v>21160000</x:v>
      </x:c>
      <x:c r="L380" s="36" t="n">
        <x:v>0</x:v>
      </x:c>
      <x:c r="M380" s="38" t="n">
        <x:v>0.49555099247091033</x:v>
      </x:c>
      <x:c r="N380" s="36" t="n">
        <x:v>21160000</x:v>
      </x:c>
    </x:row>
    <x:row r="381" ht="20" customHeight="1">
      <x:c r="C381" s="1" t="n">
        <x:v>1</x:v>
      </x:c>
      <x:c r="D381" s="1" t="n">
        <x:v>7</x:v>
      </x:c>
      <x:c r="E381" s="1" t="n">
        <x:v>7</x:v>
      </x:c>
      <x:c r="F381" s="32" t="n">
        <x:v>46492</x:v>
      </x:c>
      <x:c r="G381" s="36" t="n">
        <x:v>21160000</x:v>
      </x:c>
      <x:c r="H381" s="36" t="n">
        <x:v>90988</x:v>
      </x:c>
      <x:c r="I381" s="36" t="n">
        <x:v>0</x:v>
      </x:c>
      <x:c r="J381" s="36" t="n">
        <x:v>0</x:v>
      </x:c>
      <x:c r="K381" s="36" t="n">
        <x:v>21160000</x:v>
      </x:c>
      <x:c r="L381" s="36" t="n">
        <x:v>0</x:v>
      </x:c>
      <x:c r="M381" s="38" t="n">
        <x:v>0.5804243668720055</x:v>
      </x:c>
      <x:c r="N381" s="36" t="n">
        <x:v>21160000</x:v>
      </x:c>
    </x:row>
    <x:row r="382" ht="20" customHeight="1">
      <x:c r="C382" s="1" t="n">
        <x:v>1</x:v>
      </x:c>
      <x:c r="D382" s="1" t="n">
        <x:v>7</x:v>
      </x:c>
      <x:c r="E382" s="1" t="n">
        <x:v>8</x:v>
      </x:c>
      <x:c r="F382" s="32" t="n">
        <x:v>46524</x:v>
      </x:c>
      <x:c r="G382" s="36" t="n">
        <x:v>21160000</x:v>
      </x:c>
      <x:c r="H382" s="36" t="n">
        <x:v>90988</x:v>
      </x:c>
      <x:c r="I382" s="36" t="n">
        <x:v>0</x:v>
      </x:c>
      <x:c r="J382" s="36" t="n">
        <x:v>0</x:v>
      </x:c>
      <x:c r="K382" s="36" t="n">
        <x:v>21160000</x:v>
      </x:c>
      <x:c r="L382" s="36" t="n">
        <x:v>0</x:v>
      </x:c>
      <x:c r="M382" s="38" t="n">
        <x:v>0.6680355920602327</x:v>
      </x:c>
      <x:c r="N382" s="36" t="n">
        <x:v>21160000</x:v>
      </x:c>
    </x:row>
    <x:row r="383" ht="20" customHeight="1">
      <x:c r="C383" s="1" t="n">
        <x:v>1</x:v>
      </x:c>
      <x:c r="D383" s="1" t="n">
        <x:v>7</x:v>
      </x:c>
      <x:c r="E383" s="1" t="n">
        <x:v>9</x:v>
      </x:c>
      <x:c r="F383" s="32" t="n">
        <x:v>46553</x:v>
      </x:c>
      <x:c r="G383" s="36" t="n">
        <x:v>21160000</x:v>
      </x:c>
      <x:c r="H383" s="36" t="n">
        <x:v>90988</x:v>
      </x:c>
      <x:c r="I383" s="36" t="n">
        <x:v>0</x:v>
      </x:c>
      <x:c r="J383" s="36" t="n">
        <x:v>0</x:v>
      </x:c>
      <x:c r="K383" s="36" t="n">
        <x:v>21160000</x:v>
      </x:c>
      <x:c r="L383" s="36" t="n">
        <x:v>0</x:v>
      </x:c>
      <x:c r="M383" s="38" t="n">
        <x:v>0.7474332648870636</x:v>
      </x:c>
      <x:c r="N383" s="36" t="n">
        <x:v>21160000</x:v>
      </x:c>
    </x:row>
    <x:row r="384" ht="20" customHeight="1">
      <x:c r="C384" s="1" t="n">
        <x:v>1</x:v>
      </x:c>
      <x:c r="D384" s="1" t="n">
        <x:v>7</x:v>
      </x:c>
      <x:c r="E384" s="1" t="n">
        <x:v>10</x:v>
      </x:c>
      <x:c r="F384" s="32" t="n">
        <x:v>46583</x:v>
      </x:c>
      <x:c r="G384" s="36" t="n">
        <x:v>21160000</x:v>
      </x:c>
      <x:c r="H384" s="36" t="n">
        <x:v>90988</x:v>
      </x:c>
      <x:c r="I384" s="36" t="n">
        <x:v>0</x:v>
      </x:c>
      <x:c r="J384" s="36" t="n">
        <x:v>0</x:v>
      </x:c>
      <x:c r="K384" s="36" t="n">
        <x:v>21160000</x:v>
      </x:c>
      <x:c r="L384" s="36" t="n">
        <x:v>0</x:v>
      </x:c>
      <x:c r="M384" s="38" t="n">
        <x:v>0.8295687885010267</x:v>
      </x:c>
      <x:c r="N384" s="36" t="n">
        <x:v>21160000</x:v>
      </x:c>
    </x:row>
    <x:row r="385" ht="20" customHeight="1">
      <x:c r="C385" s="1" t="n">
        <x:v>1</x:v>
      </x:c>
      <x:c r="D385" s="1" t="n">
        <x:v>7</x:v>
      </x:c>
      <x:c r="E385" s="1" t="n">
        <x:v>11</x:v>
      </x:c>
      <x:c r="F385" s="32" t="n">
        <x:v>46615</x:v>
      </x:c>
      <x:c r="G385" s="36" t="n">
        <x:v>21160000</x:v>
      </x:c>
      <x:c r="H385" s="36" t="n">
        <x:v>90988</x:v>
      </x:c>
      <x:c r="I385" s="36" t="n">
        <x:v>0</x:v>
      </x:c>
      <x:c r="J385" s="36" t="n">
        <x:v>0</x:v>
      </x:c>
      <x:c r="K385" s="36" t="n">
        <x:v>21160000</x:v>
      </x:c>
      <x:c r="L385" s="36" t="n">
        <x:v>0</x:v>
      </x:c>
      <x:c r="M385" s="38" t="n">
        <x:v>0.917180013689254</x:v>
      </x:c>
      <x:c r="N385" s="36" t="n">
        <x:v>21160000</x:v>
      </x:c>
    </x:row>
    <x:row r="386" ht="20" customHeight="1">
      <x:c r="C386" s="1" t="n">
        <x:v>1</x:v>
      </x:c>
      <x:c r="D386" s="1" t="n">
        <x:v>7</x:v>
      </x:c>
      <x:c r="E386" s="1" t="n">
        <x:v>12</x:v>
      </x:c>
      <x:c r="F386" s="32" t="n">
        <x:v>46645</x:v>
      </x:c>
      <x:c r="G386" s="36" t="n">
        <x:v>21160000</x:v>
      </x:c>
      <x:c r="H386" s="36" t="n">
        <x:v>90988</x:v>
      </x:c>
      <x:c r="I386" s="36" t="n">
        <x:v>0</x:v>
      </x:c>
      <x:c r="J386" s="36" t="n">
        <x:v>0</x:v>
      </x:c>
      <x:c r="K386" s="36" t="n">
        <x:v>21160000</x:v>
      </x:c>
      <x:c r="L386" s="36" t="n">
        <x:v>0</x:v>
      </x:c>
      <x:c r="M386" s="38" t="n">
        <x:v>0.999315537303217</x:v>
      </x:c>
      <x:c r="N386" s="36" t="n">
        <x:v>21160000</x:v>
      </x:c>
    </x:row>
    <x:row r="387" ht="20" customHeight="1">
      <x:c r="C387" s="1" t="n">
        <x:v>1</x:v>
      </x:c>
      <x:c r="D387" s="1" t="n">
        <x:v>7</x:v>
      </x:c>
      <x:c r="E387" s="1" t="n">
        <x:v>13</x:v>
      </x:c>
      <x:c r="F387" s="32" t="n">
        <x:v>46675</x:v>
      </x:c>
      <x:c r="G387" s="36" t="n">
        <x:v>21160000</x:v>
      </x:c>
      <x:c r="H387" s="36" t="n">
        <x:v>90988</x:v>
      </x:c>
      <x:c r="I387" s="36" t="n">
        <x:v>0</x:v>
      </x:c>
      <x:c r="J387" s="36" t="n">
        <x:v>0</x:v>
      </x:c>
      <x:c r="K387" s="36" t="n">
        <x:v>21160000</x:v>
      </x:c>
      <x:c r="L387" s="36" t="n">
        <x:v>0</x:v>
      </x:c>
      <x:c r="M387" s="38" t="n">
        <x:v>1.08145106091718</x:v>
      </x:c>
      <x:c r="N387" s="36" t="n">
        <x:v>21160000</x:v>
      </x:c>
    </x:row>
    <x:row r="388" ht="20" customHeight="1">
      <x:c r="C388" s="1" t="n">
        <x:v>1</x:v>
      </x:c>
      <x:c r="D388" s="1" t="n">
        <x:v>7</x:v>
      </x:c>
      <x:c r="E388" s="1" t="n">
        <x:v>14</x:v>
      </x:c>
      <x:c r="F388" s="32" t="n">
        <x:v>46706</x:v>
      </x:c>
      <x:c r="G388" s="36" t="n">
        <x:v>21160000</x:v>
      </x:c>
      <x:c r="H388" s="36" t="n">
        <x:v>90988</x:v>
      </x:c>
      <x:c r="I388" s="36" t="n">
        <x:v>0</x:v>
      </x:c>
      <x:c r="J388" s="36" t="n">
        <x:v>0</x:v>
      </x:c>
      <x:c r="K388" s="36" t="n">
        <x:v>21160000</x:v>
      </x:c>
      <x:c r="L388" s="36" t="n">
        <x:v>0</x:v>
      </x:c>
      <x:c r="M388" s="38" t="n">
        <x:v>1.1663244353182751</x:v>
      </x:c>
      <x:c r="N388" s="36" t="n">
        <x:v>21160000</x:v>
      </x:c>
    </x:row>
    <x:row r="389" ht="20" customHeight="1">
      <x:c r="C389" s="1" t="n">
        <x:v>1</x:v>
      </x:c>
      <x:c r="D389" s="1" t="n">
        <x:v>7</x:v>
      </x:c>
      <x:c r="E389" s="1" t="n">
        <x:v>15</x:v>
      </x:c>
      <x:c r="F389" s="32" t="n">
        <x:v>46736</x:v>
      </x:c>
      <x:c r="G389" s="36" t="n">
        <x:v>21160000</x:v>
      </x:c>
      <x:c r="H389" s="36" t="n">
        <x:v>90988</x:v>
      </x:c>
      <x:c r="I389" s="36" t="n">
        <x:v>0</x:v>
      </x:c>
      <x:c r="J389" s="36" t="n">
        <x:v>0</x:v>
      </x:c>
      <x:c r="K389" s="36" t="n">
        <x:v>21160000</x:v>
      </x:c>
      <x:c r="L389" s="36" t="n">
        <x:v>0</x:v>
      </x:c>
      <x:c r="M389" s="38" t="n">
        <x:v>1.2484599589322383</x:v>
      </x:c>
      <x:c r="N389" s="36" t="n">
        <x:v>21160000</x:v>
      </x:c>
    </x:row>
    <x:row r="390" ht="20" customHeight="1">
      <x:c r="C390" s="1" t="n">
        <x:v>1</x:v>
      </x:c>
      <x:c r="D390" s="1" t="n">
        <x:v>7</x:v>
      </x:c>
      <x:c r="E390" s="1" t="n">
        <x:v>16</x:v>
      </x:c>
      <x:c r="F390" s="32" t="n">
        <x:v>46770</x:v>
      </x:c>
      <x:c r="G390" s="36" t="n">
        <x:v>21160000</x:v>
      </x:c>
      <x:c r="H390" s="36" t="n">
        <x:v>90988</x:v>
      </x:c>
      <x:c r="I390" s="36" t="n">
        <x:v>0</x:v>
      </x:c>
      <x:c r="J390" s="36" t="n">
        <x:v>0</x:v>
      </x:c>
      <x:c r="K390" s="36" t="n">
        <x:v>21160000</x:v>
      </x:c>
      <x:c r="L390" s="36" t="n">
        <x:v>0</x:v>
      </x:c>
      <x:c r="M390" s="38" t="n">
        <x:v>1.3415468856947297</x:v>
      </x:c>
      <x:c r="N390" s="36" t="n">
        <x:v>21160000</x:v>
      </x:c>
    </x:row>
    <x:row r="391" ht="20" customHeight="1">
      <x:c r="C391" s="1" t="n">
        <x:v>1</x:v>
      </x:c>
      <x:c r="D391" s="1" t="n">
        <x:v>7</x:v>
      </x:c>
      <x:c r="E391" s="1" t="n">
        <x:v>17</x:v>
      </x:c>
      <x:c r="F391" s="32" t="n">
        <x:v>46798</x:v>
      </x:c>
      <x:c r="G391" s="36" t="n">
        <x:v>21160000</x:v>
      </x:c>
      <x:c r="H391" s="36" t="n">
        <x:v>90988</x:v>
      </x:c>
      <x:c r="I391" s="36" t="n">
        <x:v>0</x:v>
      </x:c>
      <x:c r="J391" s="36" t="n">
        <x:v>0</x:v>
      </x:c>
      <x:c r="K391" s="36" t="n">
        <x:v>21160000</x:v>
      </x:c>
      <x:c r="L391" s="36" t="n">
        <x:v>0</x:v>
      </x:c>
      <x:c r="M391" s="38" t="n">
        <x:v>1.4182067077344285</x:v>
      </x:c>
      <x:c r="N391" s="36" t="n">
        <x:v>21160000</x:v>
      </x:c>
    </x:row>
    <x:row r="392" ht="20" customHeight="1">
      <x:c r="C392" s="1" t="n">
        <x:v>1</x:v>
      </x:c>
      <x:c r="D392" s="1" t="n">
        <x:v>7</x:v>
      </x:c>
      <x:c r="E392" s="1" t="n">
        <x:v>18</x:v>
      </x:c>
      <x:c r="F392" s="32" t="n">
        <x:v>46827</x:v>
      </x:c>
      <x:c r="G392" s="36" t="n">
        <x:v>21160000</x:v>
      </x:c>
      <x:c r="H392" s="36" t="n">
        <x:v>90988</x:v>
      </x:c>
      <x:c r="I392" s="36" t="n">
        <x:v>0</x:v>
      </x:c>
      <x:c r="J392" s="36" t="n">
        <x:v>0</x:v>
      </x:c>
      <x:c r="K392" s="36" t="n">
        <x:v>21160000</x:v>
      </x:c>
      <x:c r="L392" s="36" t="n">
        <x:v>0</x:v>
      </x:c>
      <x:c r="M392" s="38" t="n">
        <x:v>1.4976043805612593</x:v>
      </x:c>
      <x:c r="N392" s="36" t="n">
        <x:v>21160000</x:v>
      </x:c>
    </x:row>
    <x:row r="393" ht="20" customHeight="1">
      <x:c r="C393" s="1" t="n">
        <x:v>1</x:v>
      </x:c>
      <x:c r="D393" s="1" t="n">
        <x:v>7</x:v>
      </x:c>
      <x:c r="E393" s="1" t="n">
        <x:v>19</x:v>
      </x:c>
      <x:c r="F393" s="32" t="n">
        <x:v>46860</x:v>
      </x:c>
      <x:c r="G393" s="36" t="n">
        <x:v>21160000</x:v>
      </x:c>
      <x:c r="H393" s="36" t="n">
        <x:v>90988</x:v>
      </x:c>
      <x:c r="I393" s="36" t="n">
        <x:v>0</x:v>
      </x:c>
      <x:c r="J393" s="36" t="n">
        <x:v>0</x:v>
      </x:c>
      <x:c r="K393" s="36" t="n">
        <x:v>21160000</x:v>
      </x:c>
      <x:c r="L393" s="36" t="n">
        <x:v>0</x:v>
      </x:c>
      <x:c r="M393" s="38" t="n">
        <x:v>1.5879534565366187</x:v>
      </x:c>
      <x:c r="N393" s="36" t="n">
        <x:v>21160000</x:v>
      </x:c>
    </x:row>
    <x:row r="394" ht="20" customHeight="1">
      <x:c r="C394" s="1" t="n">
        <x:v>1</x:v>
      </x:c>
      <x:c r="D394" s="1" t="n">
        <x:v>7</x:v>
      </x:c>
      <x:c r="E394" s="1" t="n">
        <x:v>20</x:v>
      </x:c>
      <x:c r="F394" s="32" t="n">
        <x:v>46888</x:v>
      </x:c>
      <x:c r="G394" s="36" t="n">
        <x:v>21160000</x:v>
      </x:c>
      <x:c r="H394" s="36" t="n">
        <x:v>90988</x:v>
      </x:c>
      <x:c r="I394" s="36" t="n">
        <x:v>0</x:v>
      </x:c>
      <x:c r="J394" s="36" t="n">
        <x:v>0</x:v>
      </x:c>
      <x:c r="K394" s="36" t="n">
        <x:v>21160000</x:v>
      </x:c>
      <x:c r="L394" s="36" t="n">
        <x:v>0</x:v>
      </x:c>
      <x:c r="M394" s="38" t="n">
        <x:v>1.6646132785763177</x:v>
      </x:c>
      <x:c r="N394" s="36" t="n">
        <x:v>21160000</x:v>
      </x:c>
    </x:row>
    <x:row r="395" ht="20" customHeight="1">
      <x:c r="C395" s="1" t="n">
        <x:v>1</x:v>
      </x:c>
      <x:c r="D395" s="1" t="n">
        <x:v>7</x:v>
      </x:c>
      <x:c r="E395" s="1" t="n">
        <x:v>21</x:v>
      </x:c>
      <x:c r="F395" s="32" t="n">
        <x:v>46919</x:v>
      </x:c>
      <x:c r="G395" s="36" t="n">
        <x:v>21160000</x:v>
      </x:c>
      <x:c r="H395" s="36" t="n">
        <x:v>90988</x:v>
      </x:c>
      <x:c r="I395" s="36" t="n">
        <x:v>0</x:v>
      </x:c>
      <x:c r="J395" s="36" t="n">
        <x:v>0</x:v>
      </x:c>
      <x:c r="K395" s="36" t="n">
        <x:v>21160000</x:v>
      </x:c>
      <x:c r="L395" s="36" t="n">
        <x:v>0</x:v>
      </x:c>
      <x:c r="M395" s="38" t="n">
        <x:v>1.7494866529774127</x:v>
      </x:c>
      <x:c r="N395" s="36" t="n">
        <x:v>21160000</x:v>
      </x:c>
    </x:row>
    <x:row r="396" ht="20" customHeight="1">
      <x:c r="C396" s="1" t="n">
        <x:v>1</x:v>
      </x:c>
      <x:c r="D396" s="1" t="n">
        <x:v>7</x:v>
      </x:c>
      <x:c r="E396" s="1" t="n">
        <x:v>22</x:v>
      </x:c>
      <x:c r="F396" s="32" t="n">
        <x:v>46951</x:v>
      </x:c>
      <x:c r="G396" s="36" t="n">
        <x:v>21160000</x:v>
      </x:c>
      <x:c r="H396" s="36" t="n">
        <x:v>90988</x:v>
      </x:c>
      <x:c r="I396" s="36" t="n">
        <x:v>0</x:v>
      </x:c>
      <x:c r="J396" s="36" t="n">
        <x:v>0</x:v>
      </x:c>
      <x:c r="K396" s="36" t="n">
        <x:v>21160000</x:v>
      </x:c>
      <x:c r="L396" s="36" t="n">
        <x:v>0</x:v>
      </x:c>
      <x:c r="M396" s="38" t="n">
        <x:v>1.83709787816564</x:v>
      </x:c>
      <x:c r="N396" s="36" t="n">
        <x:v>21160000</x:v>
      </x:c>
    </x:row>
    <x:row r="397" ht="20" customHeight="1">
      <x:c r="C397" s="1" t="n">
        <x:v>1</x:v>
      </x:c>
      <x:c r="D397" s="1" t="n">
        <x:v>7</x:v>
      </x:c>
      <x:c r="E397" s="1" t="n">
        <x:v>23</x:v>
      </x:c>
      <x:c r="F397" s="32" t="n">
        <x:v>46980</x:v>
      </x:c>
      <x:c r="G397" s="36" t="n">
        <x:v>21160000</x:v>
      </x:c>
      <x:c r="H397" s="36" t="n">
        <x:v>90988</x:v>
      </x:c>
      <x:c r="I397" s="36" t="n">
        <x:v>0</x:v>
      </x:c>
      <x:c r="J397" s="36" t="n">
        <x:v>0</x:v>
      </x:c>
      <x:c r="K397" s="36" t="n">
        <x:v>21160000</x:v>
      </x:c>
      <x:c r="L397" s="36" t="n">
        <x:v>0</x:v>
      </x:c>
      <x:c r="M397" s="38" t="n">
        <x:v>1.9164955509924708</x:v>
      </x:c>
      <x:c r="N397" s="36" t="n">
        <x:v>21160000</x:v>
      </x:c>
    </x:row>
    <x:row r="398" ht="20" customHeight="1">
      <x:c r="C398" s="1" t="n">
        <x:v>1</x:v>
      </x:c>
      <x:c r="D398" s="1" t="n">
        <x:v>7</x:v>
      </x:c>
      <x:c r="E398" s="1" t="n">
        <x:v>24</x:v>
      </x:c>
      <x:c r="F398" s="32" t="n">
        <x:v>47011</x:v>
      </x:c>
      <x:c r="G398" s="36" t="n">
        <x:v>21160000</x:v>
      </x:c>
      <x:c r="H398" s="36" t="n">
        <x:v>90988</x:v>
      </x:c>
      <x:c r="I398" s="36" t="n">
        <x:v>0</x:v>
      </x:c>
      <x:c r="J398" s="36" t="n">
        <x:v>0</x:v>
      </x:c>
      <x:c r="K398" s="36" t="n">
        <x:v>21160000</x:v>
      </x:c>
      <x:c r="L398" s="36" t="n">
        <x:v>0</x:v>
      </x:c>
      <x:c r="M398" s="38" t="n">
        <x:v>2.001368925393566</x:v>
      </x:c>
      <x:c r="N398" s="36" t="n">
        <x:v>21160000</x:v>
      </x:c>
    </x:row>
    <x:row r="399" ht="20" customHeight="1">
      <x:c r="C399" s="1" t="n">
        <x:v>1</x:v>
      </x:c>
      <x:c r="D399" s="1" t="n">
        <x:v>7</x:v>
      </x:c>
      <x:c r="E399" s="1" t="n">
        <x:v>25</x:v>
      </x:c>
      <x:c r="F399" s="32" t="n">
        <x:v>47042</x:v>
      </x:c>
      <x:c r="G399" s="36" t="n">
        <x:v>21160000</x:v>
      </x:c>
      <x:c r="H399" s="36" t="n">
        <x:v>90988</x:v>
      </x:c>
      <x:c r="I399" s="36" t="n">
        <x:v>0</x:v>
      </x:c>
      <x:c r="J399" s="36" t="n">
        <x:v>0</x:v>
      </x:c>
      <x:c r="K399" s="36" t="n">
        <x:v>21160000</x:v>
      </x:c>
      <x:c r="L399" s="36" t="n">
        <x:v>0</x:v>
      </x:c>
      <x:c r="M399" s="38" t="n">
        <x:v>2.086242299794661</x:v>
      </x:c>
      <x:c r="N399" s="36" t="n">
        <x:v>21160000</x:v>
      </x:c>
    </x:row>
    <x:row r="400" ht="20" customHeight="1">
      <x:c r="C400" s="1" t="n">
        <x:v>1</x:v>
      </x:c>
      <x:c r="D400" s="1" t="n">
        <x:v>7</x:v>
      </x:c>
      <x:c r="E400" s="1" t="n">
        <x:v>26</x:v>
      </x:c>
      <x:c r="F400" s="32" t="n">
        <x:v>47072</x:v>
      </x:c>
      <x:c r="G400" s="36" t="n">
        <x:v>21160000</x:v>
      </x:c>
      <x:c r="H400" s="36" t="n">
        <x:v>90988</x:v>
      </x:c>
      <x:c r="I400" s="36" t="n">
        <x:v>0</x:v>
      </x:c>
      <x:c r="J400" s="36" t="n">
        <x:v>0</x:v>
      </x:c>
      <x:c r="K400" s="36" t="n">
        <x:v>21160000</x:v>
      </x:c>
      <x:c r="L400" s="36" t="n">
        <x:v>0</x:v>
      </x:c>
      <x:c r="M400" s="38" t="n">
        <x:v>2.1683778234086244</x:v>
      </x:c>
      <x:c r="N400" s="36" t="n">
        <x:v>21160000</x:v>
      </x:c>
    </x:row>
    <x:row r="401" ht="20" customHeight="1">
      <x:c r="C401" s="1" t="n">
        <x:v>1</x:v>
      </x:c>
      <x:c r="D401" s="1" t="n">
        <x:v>7</x:v>
      </x:c>
      <x:c r="E401" s="1" t="n">
        <x:v>27</x:v>
      </x:c>
      <x:c r="F401" s="32" t="n">
        <x:v>47102</x:v>
      </x:c>
      <x:c r="G401" s="36" t="n">
        <x:v>21160000</x:v>
      </x:c>
      <x:c r="H401" s="36" t="n">
        <x:v>90988</x:v>
      </x:c>
      <x:c r="I401" s="36" t="n">
        <x:v>0</x:v>
      </x:c>
      <x:c r="J401" s="36" t="n">
        <x:v>0</x:v>
      </x:c>
      <x:c r="K401" s="36" t="n">
        <x:v>21160000</x:v>
      </x:c>
      <x:c r="L401" s="36" t="n">
        <x:v>0</x:v>
      </x:c>
      <x:c r="M401" s="38" t="n">
        <x:v>2.2505133470225873</x:v>
      </x:c>
      <x:c r="N401" s="36" t="n">
        <x:v>21160000</x:v>
      </x:c>
    </x:row>
    <x:row r="402" ht="20" customHeight="1">
      <x:c r="C402" s="1" t="n">
        <x:v>1</x:v>
      </x:c>
      <x:c r="D402" s="1" t="n">
        <x:v>7</x:v>
      </x:c>
      <x:c r="E402" s="1" t="n">
        <x:v>28</x:v>
      </x:c>
      <x:c r="F402" s="32" t="n">
        <x:v>47134</x:v>
      </x:c>
      <x:c r="G402" s="36" t="n">
        <x:v>21160000</x:v>
      </x:c>
      <x:c r="H402" s="36" t="n">
        <x:v>90988</x:v>
      </x:c>
      <x:c r="I402" s="36" t="n">
        <x:v>0</x:v>
      </x:c>
      <x:c r="J402" s="36" t="n">
        <x:v>0</x:v>
      </x:c>
      <x:c r="K402" s="36" t="n">
        <x:v>21160000</x:v>
      </x:c>
      <x:c r="L402" s="36" t="n">
        <x:v>0</x:v>
      </x:c>
      <x:c r="M402" s="38" t="n">
        <x:v>2.3381245722108144</x:v>
      </x:c>
      <x:c r="N402" s="36" t="n">
        <x:v>21160000</x:v>
      </x:c>
    </x:row>
    <x:row r="403" ht="20" customHeight="1">
      <x:c r="C403" s="1" t="n">
        <x:v>1</x:v>
      </x:c>
      <x:c r="D403" s="1" t="n">
        <x:v>7</x:v>
      </x:c>
      <x:c r="E403" s="1" t="n">
        <x:v>29</x:v>
      </x:c>
      <x:c r="F403" s="32" t="n">
        <x:v>47164</x:v>
      </x:c>
      <x:c r="G403" s="36" t="n">
        <x:v>21160000</x:v>
      </x:c>
      <x:c r="H403" s="36" t="n">
        <x:v>90988</x:v>
      </x:c>
      <x:c r="I403" s="36" t="n">
        <x:v>0</x:v>
      </x:c>
      <x:c r="J403" s="36" t="n">
        <x:v>0</x:v>
      </x:c>
      <x:c r="K403" s="36" t="n">
        <x:v>21160000</x:v>
      </x:c>
      <x:c r="L403" s="36" t="n">
        <x:v>0</x:v>
      </x:c>
      <x:c r="M403" s="38" t="n">
        <x:v>2.4202600958247777</x:v>
      </x:c>
      <x:c r="N403" s="36" t="n">
        <x:v>21160000</x:v>
      </x:c>
    </x:row>
    <x:row r="404" ht="20" customHeight="1">
      <x:c r="C404" s="1" t="n">
        <x:v>1</x:v>
      </x:c>
      <x:c r="D404" s="1" t="n">
        <x:v>7</x:v>
      </x:c>
      <x:c r="E404" s="1" t="n">
        <x:v>30</x:v>
      </x:c>
      <x:c r="F404" s="32" t="n">
        <x:v>47192</x:v>
      </x:c>
      <x:c r="G404" s="36" t="n">
        <x:v>21160000</x:v>
      </x:c>
      <x:c r="H404" s="36" t="n">
        <x:v>90988</x:v>
      </x:c>
      <x:c r="I404" s="36" t="n">
        <x:v>0</x:v>
      </x:c>
      <x:c r="J404" s="36" t="n">
        <x:v>0</x:v>
      </x:c>
      <x:c r="K404" s="36" t="n">
        <x:v>21160000</x:v>
      </x:c>
      <x:c r="L404" s="36" t="n">
        <x:v>0</x:v>
      </x:c>
      <x:c r="M404" s="38" t="n">
        <x:v>2.4969199178644765</x:v>
      </x:c>
      <x:c r="N404" s="36" t="n">
        <x:v>21160000</x:v>
      </x:c>
    </x:row>
    <x:row r="405" ht="20" customHeight="1">
      <x:c r="C405" s="1" t="n">
        <x:v>1</x:v>
      </x:c>
      <x:c r="D405" s="1" t="n">
        <x:v>7</x:v>
      </x:c>
      <x:c r="E405" s="1" t="n">
        <x:v>31</x:v>
      </x:c>
      <x:c r="F405" s="32" t="n">
        <x:v>47224</x:v>
      </x:c>
      <x:c r="G405" s="36" t="n">
        <x:v>21160000</x:v>
      </x:c>
      <x:c r="H405" s="36" t="n">
        <x:v>90988</x:v>
      </x:c>
      <x:c r="I405" s="36" t="n">
        <x:v>0</x:v>
      </x:c>
      <x:c r="J405" s="36" t="n">
        <x:v>0</x:v>
      </x:c>
      <x:c r="K405" s="36" t="n">
        <x:v>21160000</x:v>
      </x:c>
      <x:c r="L405" s="36" t="n">
        <x:v>0</x:v>
      </x:c>
      <x:c r="M405" s="38" t="n">
        <x:v>2.5845311430527036</x:v>
      </x:c>
      <x:c r="N405" s="36" t="n">
        <x:v>21160000</x:v>
      </x:c>
    </x:row>
    <x:row r="406" ht="20" customHeight="1">
      <x:c r="C406" s="1" t="n">
        <x:v>1</x:v>
      </x:c>
      <x:c r="D406" s="1" t="n">
        <x:v>7</x:v>
      </x:c>
      <x:c r="E406" s="1" t="n">
        <x:v>32</x:v>
      </x:c>
      <x:c r="F406" s="32" t="n">
        <x:v>47253</x:v>
      </x:c>
      <x:c r="G406" s="36" t="n">
        <x:v>21160000</x:v>
      </x:c>
      <x:c r="H406" s="36" t="n">
        <x:v>90988</x:v>
      </x:c>
      <x:c r="I406" s="36" t="n">
        <x:v>0</x:v>
      </x:c>
      <x:c r="J406" s="36" t="n">
        <x:v>0</x:v>
      </x:c>
      <x:c r="K406" s="36" t="n">
        <x:v>21160000</x:v>
      </x:c>
      <x:c r="L406" s="36" t="n">
        <x:v>0</x:v>
      </x:c>
      <x:c r="M406" s="38" t="n">
        <x:v>2.6639288158795345</x:v>
      </x:c>
      <x:c r="N406" s="36" t="n">
        <x:v>21160000</x:v>
      </x:c>
    </x:row>
    <x:row r="407" ht="20" customHeight="1">
      <x:c r="C407" s="1" t="n">
        <x:v>1</x:v>
      </x:c>
      <x:c r="D407" s="1" t="n">
        <x:v>7</x:v>
      </x:c>
      <x:c r="E407" s="1" t="n">
        <x:v>33</x:v>
      </x:c>
      <x:c r="F407" s="32" t="n">
        <x:v>47284</x:v>
      </x:c>
      <x:c r="G407" s="36" t="n">
        <x:v>21160000</x:v>
      </x:c>
      <x:c r="H407" s="36" t="n">
        <x:v>90988</x:v>
      </x:c>
      <x:c r="I407" s="36" t="n">
        <x:v>0</x:v>
      </x:c>
      <x:c r="J407" s="36" t="n">
        <x:v>0</x:v>
      </x:c>
      <x:c r="K407" s="36" t="n">
        <x:v>21160000</x:v>
      </x:c>
      <x:c r="L407" s="36" t="n">
        <x:v>0</x:v>
      </x:c>
      <x:c r="M407" s="38" t="n">
        <x:v>2.74880219028063</x:v>
      </x:c>
      <x:c r="N407" s="36" t="n">
        <x:v>21160000</x:v>
      </x:c>
    </x:row>
    <x:row r="408" ht="20" customHeight="1">
      <x:c r="C408" s="1" t="n">
        <x:v>1</x:v>
      </x:c>
      <x:c r="D408" s="1" t="n">
        <x:v>7</x:v>
      </x:c>
      <x:c r="E408" s="1" t="n">
        <x:v>34</x:v>
      </x:c>
      <x:c r="F408" s="32" t="n">
        <x:v>47315</x:v>
      </x:c>
      <x:c r="G408" s="36" t="n">
        <x:v>21160000</x:v>
      </x:c>
      <x:c r="H408" s="36" t="n">
        <x:v>90988</x:v>
      </x:c>
      <x:c r="I408" s="36" t="n">
        <x:v>0</x:v>
      </x:c>
      <x:c r="J408" s="36" t="n">
        <x:v>0</x:v>
      </x:c>
      <x:c r="K408" s="36" t="n">
        <x:v>21160000</x:v>
      </x:c>
      <x:c r="L408" s="36" t="n">
        <x:v>0</x:v>
      </x:c>
      <x:c r="M408" s="38" t="n">
        <x:v>2.833675564681725</x:v>
      </x:c>
      <x:c r="N408" s="36" t="n">
        <x:v>21160000</x:v>
      </x:c>
    </x:row>
    <x:row r="409" ht="20" customHeight="1">
      <x:c r="C409" s="1" t="n">
        <x:v>1</x:v>
      </x:c>
      <x:c r="D409" s="1" t="n">
        <x:v>7</x:v>
      </x:c>
      <x:c r="E409" s="1" t="n">
        <x:v>35</x:v>
      </x:c>
      <x:c r="F409" s="32" t="n">
        <x:v>47345</x:v>
      </x:c>
      <x:c r="G409" s="36" t="n">
        <x:v>21160000</x:v>
      </x:c>
      <x:c r="H409" s="36" t="n">
        <x:v>90988</x:v>
      </x:c>
      <x:c r="I409" s="36" t="n">
        <x:v>0</x:v>
      </x:c>
      <x:c r="J409" s="36" t="n">
        <x:v>0</x:v>
      </x:c>
      <x:c r="K409" s="36" t="n">
        <x:v>21160000</x:v>
      </x:c>
      <x:c r="L409" s="36" t="n">
        <x:v>0</x:v>
      </x:c>
      <x:c r="M409" s="38" t="n">
        <x:v>2.915811088295688</x:v>
      </x:c>
      <x:c r="N409" s="36" t="n">
        <x:v>21160000</x:v>
      </x:c>
    </x:row>
    <x:row r="410" ht="20" customHeight="1">
      <x:c r="C410" s="1" t="n">
        <x:v>1</x:v>
      </x:c>
      <x:c r="D410" s="1" t="n">
        <x:v>7</x:v>
      </x:c>
      <x:c r="E410" s="1" t="n">
        <x:v>36</x:v>
      </x:c>
      <x:c r="F410" s="32" t="n">
        <x:v>47378</x:v>
      </x:c>
      <x:c r="G410" s="36" t="n">
        <x:v>21160000</x:v>
      </x:c>
      <x:c r="H410" s="36" t="n">
        <x:v>90988</x:v>
      </x:c>
      <x:c r="I410" s="36" t="n">
        <x:v>0</x:v>
      </x:c>
      <x:c r="J410" s="36" t="n">
        <x:v>0</x:v>
      </x:c>
      <x:c r="K410" s="36" t="n">
        <x:v>21160000</x:v>
      </x:c>
      <x:c r="L410" s="36" t="n">
        <x:v>0</x:v>
      </x:c>
      <x:c r="M410" s="38" t="n">
        <x:v>3.0061601642710474</x:v>
      </x:c>
      <x:c r="N410" s="36" t="n">
        <x:v>21160000</x:v>
      </x:c>
    </x:row>
    <x:row r="411" ht="20" customHeight="1">
      <x:c r="C411" s="1" t="n">
        <x:v>1</x:v>
      </x:c>
      <x:c r="D411" s="1" t="n">
        <x:v>7</x:v>
      </x:c>
      <x:c r="E411" s="1" t="n">
        <x:v>37</x:v>
      </x:c>
      <x:c r="F411" s="32" t="n">
        <x:v>47406</x:v>
      </x:c>
      <x:c r="G411" s="36" t="n">
        <x:v>21160000</x:v>
      </x:c>
      <x:c r="H411" s="36" t="n">
        <x:v>90988</x:v>
      </x:c>
      <x:c r="I411" s="36" t="n">
        <x:v>0</x:v>
      </x:c>
      <x:c r="J411" s="36" t="n">
        <x:v>0</x:v>
      </x:c>
      <x:c r="K411" s="36" t="n">
        <x:v>21160000</x:v>
      </x:c>
      <x:c r="L411" s="36" t="n">
        <x:v>0</x:v>
      </x:c>
      <x:c r="M411" s="38" t="n">
        <x:v>3.082819986310746</x:v>
      </x:c>
      <x:c r="N411" s="36" t="n">
        <x:v>21160000</x:v>
      </x:c>
    </x:row>
    <x:row r="412" ht="20" customHeight="1">
      <x:c r="C412" s="1" t="n">
        <x:v>1</x:v>
      </x:c>
      <x:c r="D412" s="1" t="n">
        <x:v>7</x:v>
      </x:c>
      <x:c r="E412" s="1" t="n">
        <x:v>38</x:v>
      </x:c>
      <x:c r="F412" s="32" t="n">
        <x:v>47437</x:v>
      </x:c>
      <x:c r="G412" s="36" t="n">
        <x:v>21160000</x:v>
      </x:c>
      <x:c r="H412" s="36" t="n">
        <x:v>90988</x:v>
      </x:c>
      <x:c r="I412" s="36" t="n">
        <x:v>0</x:v>
      </x:c>
      <x:c r="J412" s="36" t="n">
        <x:v>0</x:v>
      </x:c>
      <x:c r="K412" s="36" t="n">
        <x:v>21160000</x:v>
      </x:c>
      <x:c r="L412" s="36" t="n">
        <x:v>0</x:v>
      </x:c>
      <x:c r="M412" s="38" t="n">
        <x:v>3.167693360711841</x:v>
      </x:c>
      <x:c r="N412" s="36" t="n">
        <x:v>21160000</x:v>
      </x:c>
    </x:row>
    <x:row r="413" ht="20" customHeight="1">
      <x:c r="C413" s="1" t="n">
        <x:v>1</x:v>
      </x:c>
      <x:c r="D413" s="1" t="n">
        <x:v>7</x:v>
      </x:c>
      <x:c r="E413" s="1" t="n">
        <x:v>39</x:v>
      </x:c>
      <x:c r="F413" s="32" t="n">
        <x:v>47469</x:v>
      </x:c>
      <x:c r="G413" s="36" t="n">
        <x:v>21160000</x:v>
      </x:c>
      <x:c r="H413" s="36" t="n">
        <x:v>90988</x:v>
      </x:c>
      <x:c r="I413" s="36" t="n">
        <x:v>0</x:v>
      </x:c>
      <x:c r="J413" s="36" t="n">
        <x:v>0</x:v>
      </x:c>
      <x:c r="K413" s="36" t="n">
        <x:v>21160000</x:v>
      </x:c>
      <x:c r="L413" s="36" t="n">
        <x:v>0</x:v>
      </x:c>
      <x:c r="M413" s="38" t="n">
        <x:v>3.2553045859000687</x:v>
      </x:c>
      <x:c r="N413" s="36" t="n">
        <x:v>21160000</x:v>
      </x:c>
    </x:row>
    <x:row r="414" ht="20" customHeight="1">
      <x:c r="C414" s="1" t="n">
        <x:v>1</x:v>
      </x:c>
      <x:c r="D414" s="1" t="n">
        <x:v>7</x:v>
      </x:c>
      <x:c r="E414" s="1" t="n">
        <x:v>40</x:v>
      </x:c>
      <x:c r="F414" s="32" t="n">
        <x:v>47498</x:v>
      </x:c>
      <x:c r="G414" s="36" t="n">
        <x:v>21160000</x:v>
      </x:c>
      <x:c r="H414" s="36" t="n">
        <x:v>90988</x:v>
      </x:c>
      <x:c r="I414" s="36" t="n">
        <x:v>0</x:v>
      </x:c>
      <x:c r="J414" s="36" t="n">
        <x:v>0</x:v>
      </x:c>
      <x:c r="K414" s="36" t="n">
        <x:v>21160000</x:v>
      </x:c>
      <x:c r="L414" s="36" t="n">
        <x:v>0</x:v>
      </x:c>
      <x:c r="M414" s="38" t="n">
        <x:v>3.3347022587268995</x:v>
      </x:c>
      <x:c r="N414" s="36" t="n">
        <x:v>21160000</x:v>
      </x:c>
    </x:row>
    <x:row r="415" ht="20" customHeight="1">
      <x:c r="C415" s="1" t="n">
        <x:v>1</x:v>
      </x:c>
      <x:c r="D415" s="1" t="n">
        <x:v>7</x:v>
      </x:c>
      <x:c r="E415" s="1" t="n">
        <x:v>41</x:v>
      </x:c>
      <x:c r="F415" s="32" t="n">
        <x:v>47529</x:v>
      </x:c>
      <x:c r="G415" s="36" t="n">
        <x:v>21160000</x:v>
      </x:c>
      <x:c r="H415" s="36" t="n">
        <x:v>90988</x:v>
      </x:c>
      <x:c r="I415" s="36" t="n">
        <x:v>0</x:v>
      </x:c>
      <x:c r="J415" s="36" t="n">
        <x:v>0</x:v>
      </x:c>
      <x:c r="K415" s="36" t="n">
        <x:v>21160000</x:v>
      </x:c>
      <x:c r="L415" s="36" t="n">
        <x:v>0</x:v>
      </x:c>
      <x:c r="M415" s="38" t="n">
        <x:v>3.4195756331279945</x:v>
      </x:c>
      <x:c r="N415" s="36" t="n">
        <x:v>21160000</x:v>
      </x:c>
    </x:row>
    <x:row r="416" ht="20" customHeight="1">
      <x:c r="C416" s="1" t="n">
        <x:v>1</x:v>
      </x:c>
      <x:c r="D416" s="1" t="n">
        <x:v>7</x:v>
      </x:c>
      <x:c r="E416" s="1" t="n">
        <x:v>42</x:v>
      </x:c>
      <x:c r="F416" s="32" t="n">
        <x:v>47557</x:v>
      </x:c>
      <x:c r="G416" s="36" t="n">
        <x:v>21160000</x:v>
      </x:c>
      <x:c r="H416" s="36" t="n">
        <x:v>90988</x:v>
      </x:c>
      <x:c r="I416" s="36" t="n">
        <x:v>0</x:v>
      </x:c>
      <x:c r="J416" s="36" t="n">
        <x:v>0</x:v>
      </x:c>
      <x:c r="K416" s="36" t="n">
        <x:v>21160000</x:v>
      </x:c>
      <x:c r="L416" s="36" t="n">
        <x:v>0</x:v>
      </x:c>
      <x:c r="M416" s="38" t="n">
        <x:v>3.4962354551676933</x:v>
      </x:c>
      <x:c r="N416" s="36" t="n">
        <x:v>21160000</x:v>
      </x:c>
    </x:row>
    <x:row r="417" ht="20" customHeight="1">
      <x:c r="C417" s="1" t="n">
        <x:v>1</x:v>
      </x:c>
      <x:c r="D417" s="1" t="n">
        <x:v>7</x:v>
      </x:c>
      <x:c r="E417" s="1" t="n">
        <x:v>43</x:v>
      </x:c>
      <x:c r="F417" s="32" t="n">
        <x:v>47588</x:v>
      </x:c>
      <x:c r="G417" s="36" t="n">
        <x:v>21160000</x:v>
      </x:c>
      <x:c r="H417" s="36" t="n">
        <x:v>90988</x:v>
      </x:c>
      <x:c r="I417" s="36" t="n">
        <x:v>3792530</x:v>
      </x:c>
      <x:c r="J417" s="36" t="n">
        <x:v>0</x:v>
      </x:c>
      <x:c r="K417" s="36" t="n">
        <x:v>17367470</x:v>
      </x:c>
      <x:c r="L417" s="36" t="n">
        <x:v>0</x:v>
      </x:c>
      <x:c r="M417" s="38" t="n">
        <x:v>3.5811088295687883</x:v>
      </x:c>
      <x:c r="N417" s="36" t="n">
        <x:v>17367470</x:v>
      </x:c>
    </x:row>
    <x:row r="418" ht="20" customHeight="1">
      <x:c r="C418" s="1" t="n">
        <x:v>1</x:v>
      </x:c>
      <x:c r="D418" s="1" t="n">
        <x:v>7</x:v>
      </x:c>
      <x:c r="E418" s="1" t="n">
        <x:v>44</x:v>
      </x:c>
      <x:c r="F418" s="32" t="n">
        <x:v>47618</x:v>
      </x:c>
      <x:c r="G418" s="36" t="n">
        <x:v>17367470</x:v>
      </x:c>
      <x:c r="H418" s="36" t="n">
        <x:v>74680.12</x:v>
      </x:c>
      <x:c r="I418" s="36" t="n">
        <x:v>6341296.44</x:v>
      </x:c>
      <x:c r="J418" s="36" t="n">
        <x:v>0</x:v>
      </x:c>
      <x:c r="K418" s="36" t="n">
        <x:v>11026173.56</x:v>
      </x:c>
      <x:c r="L418" s="36" t="n">
        <x:v>0</x:v>
      </x:c>
      <x:c r="M418" s="38" t="n">
        <x:v>3.6632443531827517</x:v>
      </x:c>
      <x:c r="N418" s="36" t="n">
        <x:v>11026173.56</x:v>
      </x:c>
    </x:row>
    <x:row r="419" ht="20" customHeight="1">
      <x:c r="C419" s="1" t="n">
        <x:v>1</x:v>
      </x:c>
      <x:c r="D419" s="1" t="n">
        <x:v>7</x:v>
      </x:c>
      <x:c r="E419" s="1" t="n">
        <x:v>45</x:v>
      </x:c>
      <x:c r="F419" s="32" t="n">
        <x:v>47651</x:v>
      </x:c>
      <x:c r="G419" s="36" t="n">
        <x:v>11026173.56</x:v>
      </x:c>
      <x:c r="H419" s="36" t="n">
        <x:v>47412.55</x:v>
      </x:c>
      <x:c r="I419" s="36" t="n">
        <x:v>5988763.33</x:v>
      </x:c>
      <x:c r="J419" s="36" t="n">
        <x:v>0</x:v>
      </x:c>
      <x:c r="K419" s="36" t="n">
        <x:v>5037410.23</x:v>
      </x:c>
      <x:c r="L419" s="36" t="n">
        <x:v>0</x:v>
      </x:c>
      <x:c r="M419" s="38" t="n">
        <x:v>3.753593429158111</x:v>
      </x:c>
      <x:c r="N419" s="36" t="n">
        <x:v>5037410.23</x:v>
      </x:c>
    </x:row>
    <x:row r="420" ht="20" customHeight="1">
      <x:c r="C420" s="1" t="n">
        <x:v>1</x:v>
      </x:c>
      <x:c r="D420" s="1" t="n">
        <x:v>7</x:v>
      </x:c>
      <x:c r="E420" s="1" t="n">
        <x:v>46</x:v>
      </x:c>
      <x:c r="F420" s="32" t="n">
        <x:v>47679</x:v>
      </x:c>
      <x:c r="G420" s="36" t="n">
        <x:v>5037410.23</x:v>
      </x:c>
      <x:c r="H420" s="36" t="n">
        <x:v>21660.86</x:v>
      </x:c>
      <x:c r="I420" s="36" t="n">
        <x:v>5037410.23</x:v>
      </x:c>
      <x:c r="J420" s="36" t="n">
        <x:v>0</x:v>
      </x:c>
      <x:c r="K420" s="36" t="n">
        <x:v>0</x:v>
      </x:c>
      <x:c r="L420" s="36" t="n">
        <x:v>0</x:v>
      </x:c>
      <x:c r="M420" s="38" t="n">
        <x:v>3.8302532511978096</x:v>
      </x:c>
      <x:c r="N420" s="36" t="n">
        <x:v>0</x:v>
      </x:c>
    </x:row>
    <x:row r="421" ht="20" customHeight="1">
      <x:c r="C421" s="1" t="n">
        <x:v>1</x:v>
      </x:c>
      <x:c r="D421" s="1" t="n">
        <x:v>7</x:v>
      </x:c>
      <x:c r="E421" s="1" t="n">
        <x:v>47</x:v>
      </x:c>
      <x:c r="F421" s="32" t="n">
        <x:v>47710</x:v>
      </x:c>
      <x:c r="G421" s="36" t="n">
        <x:v>0</x:v>
      </x:c>
      <x:c r="H421" s="36" t="n">
        <x:v>0</x:v>
      </x:c>
      <x:c r="I421" s="36" t="n">
        <x:v>0</x:v>
      </x:c>
      <x:c r="J421" s="36" t="n">
        <x:v>0</x:v>
      </x:c>
      <x:c r="K421" s="36" t="n">
        <x:v>0</x:v>
      </x:c>
      <x:c r="L421" s="36" t="n">
        <x:v>0</x:v>
      </x:c>
      <x:c r="M421" s="38" t="n">
        <x:v>3.915126625598905</x:v>
      </x:c>
      <x:c r="N421" s="36" t="n">
        <x:v>0</x:v>
      </x:c>
    </x:row>
    <x:row r="422" ht="20" customHeight="1">
      <x:c r="C422" s="1" t="n">
        <x:v>1</x:v>
      </x:c>
      <x:c r="D422" s="1" t="n">
        <x:v>7</x:v>
      </x:c>
      <x:c r="E422" s="1" t="n">
        <x:v>48</x:v>
      </x:c>
      <x:c r="F422" s="32" t="n">
        <x:v>47742</x:v>
      </x:c>
      <x:c r="G422" s="36" t="n">
        <x:v>0</x:v>
      </x:c>
      <x:c r="H422" s="36" t="n">
        <x:v>0</x:v>
      </x:c>
      <x:c r="I422" s="36" t="n">
        <x:v>0</x:v>
      </x:c>
      <x:c r="J422" s="36" t="n">
        <x:v>0</x:v>
      </x:c>
      <x:c r="K422" s="36" t="n">
        <x:v>0</x:v>
      </x:c>
      <x:c r="L422" s="36" t="n">
        <x:v>0</x:v>
      </x:c>
      <x:c r="M422" s="38" t="n">
        <x:v>4.002737850787132</x:v>
      </x:c>
      <x:c r="N422" s="36" t="n">
        <x:v>0</x:v>
      </x:c>
    </x:row>
    <x:row r="423" ht="20" customHeight="1">
      <x:c r="C423" s="1" t="n">
        <x:v>1</x:v>
      </x:c>
      <x:c r="D423" s="1" t="n">
        <x:v>7</x:v>
      </x:c>
      <x:c r="E423" s="1" t="n">
        <x:v>49</x:v>
      </x:c>
      <x:c r="F423" s="32" t="n">
        <x:v>47771</x:v>
      </x:c>
      <x:c r="G423" s="36" t="n">
        <x:v>0</x:v>
      </x:c>
      <x:c r="H423" s="36" t="n">
        <x:v>0</x:v>
      </x:c>
      <x:c r="I423" s="36" t="n">
        <x:v>0</x:v>
      </x:c>
      <x:c r="J423" s="36" t="n">
        <x:v>0</x:v>
      </x:c>
      <x:c r="K423" s="36" t="n">
        <x:v>0</x:v>
      </x:c>
      <x:c r="L423" s="36" t="n">
        <x:v>0</x:v>
      </x:c>
      <x:c r="M423" s="38" t="n">
        <x:v>4.082135523613963</x:v>
      </x:c>
      <x:c r="N423" s="36" t="n">
        <x:v>0</x:v>
      </x:c>
    </x:row>
    <x:row r="424" ht="20" customHeight="1">
      <x:c r="C424" s="1" t="n">
        <x:v>1</x:v>
      </x:c>
      <x:c r="D424" s="1" t="n">
        <x:v>7</x:v>
      </x:c>
      <x:c r="E424" s="1" t="n">
        <x:v>50</x:v>
      </x:c>
      <x:c r="F424" s="32" t="n">
        <x:v>47802</x:v>
      </x:c>
      <x:c r="G424" s="36" t="n">
        <x:v>0</x:v>
      </x:c>
      <x:c r="H424" s="36" t="n">
        <x:v>0</x:v>
      </x:c>
      <x:c r="I424" s="36" t="n">
        <x:v>0</x:v>
      </x:c>
      <x:c r="J424" s="36" t="n">
        <x:v>0</x:v>
      </x:c>
      <x:c r="K424" s="36" t="n">
        <x:v>0</x:v>
      </x:c>
      <x:c r="L424" s="36" t="n">
        <x:v>0</x:v>
      </x:c>
      <x:c r="M424" s="38" t="n">
        <x:v>4.167008898015058</x:v>
      </x:c>
      <x:c r="N424" s="36" t="n">
        <x:v>0</x:v>
      </x:c>
    </x:row>
    <x:row r="425" ht="20" customHeight="1">
      <x:c r="C425" s="1" t="n">
        <x:v>1</x:v>
      </x:c>
      <x:c r="D425" s="1" t="n">
        <x:v>7</x:v>
      </x:c>
      <x:c r="E425" s="1" t="n">
        <x:v>51</x:v>
      </x:c>
      <x:c r="F425" s="32" t="n">
        <x:v>47833</x:v>
      </x:c>
      <x:c r="G425" s="36" t="n">
        <x:v>0</x:v>
      </x:c>
      <x:c r="H425" s="36" t="n">
        <x:v>0</x:v>
      </x:c>
      <x:c r="I425" s="36" t="n">
        <x:v>0</x:v>
      </x:c>
      <x:c r="J425" s="36" t="n">
        <x:v>0</x:v>
      </x:c>
      <x:c r="K425" s="36" t="n">
        <x:v>0</x:v>
      </x:c>
      <x:c r="L425" s="36" t="n">
        <x:v>0</x:v>
      </x:c>
      <x:c r="M425" s="38" t="n">
        <x:v>4.251882272416153</x:v>
      </x:c>
      <x:c r="N425" s="36" t="n">
        <x:v>0</x:v>
      </x:c>
    </x:row>
    <x:row r="426" ht="20" customHeight="1">
      <x:c r="C426" s="1" t="n">
        <x:v>1</x:v>
      </x:c>
      <x:c r="D426" s="1" t="n">
        <x:v>7</x:v>
      </x:c>
      <x:c r="E426" s="1" t="n">
        <x:v>52</x:v>
      </x:c>
      <x:c r="F426" s="32" t="n">
        <x:v>47863</x:v>
      </x:c>
      <x:c r="G426" s="36" t="n">
        <x:v>0</x:v>
      </x:c>
      <x:c r="H426" s="36" t="n">
        <x:v>0</x:v>
      </x:c>
      <x:c r="I426" s="36" t="n">
        <x:v>0</x:v>
      </x:c>
      <x:c r="J426" s="36" t="n">
        <x:v>0</x:v>
      </x:c>
      <x:c r="K426" s="36" t="n">
        <x:v>0</x:v>
      </x:c>
      <x:c r="L426" s="36" t="n">
        <x:v>0</x:v>
      </x:c>
      <x:c r="M426" s="38" t="n">
        <x:v>4.334017796030117</x:v>
      </x:c>
      <x:c r="N426" s="36" t="n">
        <x:v>0</x:v>
      </x:c>
    </x:row>
    <x:row r="427" ht="20" customHeight="1">
      <x:c r="C427" s="1" t="n">
        <x:v>1</x:v>
      </x:c>
      <x:c r="D427" s="1" t="n">
        <x:v>7</x:v>
      </x:c>
      <x:c r="E427" s="1" t="n">
        <x:v>53</x:v>
      </x:c>
      <x:c r="F427" s="32" t="n">
        <x:v>47897</x:v>
      </x:c>
      <x:c r="G427" s="36" t="n">
        <x:v>0</x:v>
      </x:c>
      <x:c r="H427" s="36" t="n">
        <x:v>0</x:v>
      </x:c>
      <x:c r="I427" s="36" t="n">
        <x:v>0</x:v>
      </x:c>
      <x:c r="J427" s="36" t="n">
        <x:v>0</x:v>
      </x:c>
      <x:c r="K427" s="36" t="n">
        <x:v>0</x:v>
      </x:c>
      <x:c r="L427" s="36" t="n">
        <x:v>0</x:v>
      </x:c>
      <x:c r="M427" s="38" t="n">
        <x:v>4.427104722792608</x:v>
      </x:c>
      <x:c r="N427" s="36" t="n">
        <x:v>0</x:v>
      </x:c>
    </x:row>
    <x:row r="428" ht="20" customHeight="1">
      <x:c r="C428" s="1" t="n">
        <x:v>1</x:v>
      </x:c>
      <x:c r="D428" s="1" t="n">
        <x:v>7</x:v>
      </x:c>
      <x:c r="E428" s="1" t="n">
        <x:v>54</x:v>
      </x:c>
      <x:c r="F428" s="32" t="n">
        <x:v>47924</x:v>
      </x:c>
      <x:c r="G428" s="36" t="n">
        <x:v>0</x:v>
      </x:c>
      <x:c r="H428" s="36" t="n">
        <x:v>0</x:v>
      </x:c>
      <x:c r="I428" s="36" t="n">
        <x:v>0</x:v>
      </x:c>
      <x:c r="J428" s="36" t="n">
        <x:v>0</x:v>
      </x:c>
      <x:c r="K428" s="36" t="n">
        <x:v>0</x:v>
      </x:c>
      <x:c r="L428" s="36" t="n">
        <x:v>0</x:v>
      </x:c>
      <x:c r="M428" s="38" t="n">
        <x:v>4.501026694045175</x:v>
      </x:c>
      <x:c r="N428" s="36" t="n">
        <x:v>0</x:v>
      </x:c>
    </x:row>
    <x:row r="429" ht="20" customHeight="1">
      <x:c r="C429" s="1" t="n">
        <x:v>1</x:v>
      </x:c>
      <x:c r="D429" s="1" t="n">
        <x:v>7</x:v>
      </x:c>
      <x:c r="E429" s="1" t="n">
        <x:v>55</x:v>
      </x:c>
      <x:c r="F429" s="32" t="n">
        <x:v>47953</x:v>
      </x:c>
      <x:c r="G429" s="36" t="n">
        <x:v>0</x:v>
      </x:c>
      <x:c r="H429" s="36" t="n">
        <x:v>0</x:v>
      </x:c>
      <x:c r="I429" s="36" t="n">
        <x:v>0</x:v>
      </x:c>
      <x:c r="J429" s="36" t="n">
        <x:v>0</x:v>
      </x:c>
      <x:c r="K429" s="36" t="n">
        <x:v>0</x:v>
      </x:c>
      <x:c r="L429" s="36" t="n">
        <x:v>0</x:v>
      </x:c>
      <x:c r="M429" s="38" t="n">
        <x:v>4.5804243668720055</x:v>
      </x:c>
      <x:c r="N429" s="36" t="n">
        <x:v>0</x:v>
      </x:c>
    </x:row>
    <x:row r="430" ht="20" customHeight="1">
      <x:c r="C430" s="1" t="n">
        <x:v>1</x:v>
      </x:c>
      <x:c r="D430" s="1" t="n">
        <x:v>7</x:v>
      </x:c>
      <x:c r="E430" s="1" t="n">
        <x:v>56</x:v>
      </x:c>
      <x:c r="F430" s="32" t="n">
        <x:v>47983</x:v>
      </x:c>
      <x:c r="G430" s="36" t="n">
        <x:v>0</x:v>
      </x:c>
      <x:c r="H430" s="36" t="n">
        <x:v>0</x:v>
      </x:c>
      <x:c r="I430" s="36" t="n">
        <x:v>0</x:v>
      </x:c>
      <x:c r="J430" s="36" t="n">
        <x:v>0</x:v>
      </x:c>
      <x:c r="K430" s="36" t="n">
        <x:v>0</x:v>
      </x:c>
      <x:c r="L430" s="36" t="n">
        <x:v>0</x:v>
      </x:c>
      <x:c r="M430" s="38" t="n">
        <x:v>4.662559890485968</x:v>
      </x:c>
      <x:c r="N430" s="36" t="n">
        <x:v>0</x:v>
      </x:c>
    </x:row>
    <x:row r="431" ht="20" customHeight="1">
      <x:c r="C431" s="1" t="n">
        <x:v>1</x:v>
      </x:c>
      <x:c r="D431" s="1" t="n">
        <x:v>7</x:v>
      </x:c>
      <x:c r="E431" s="1" t="n">
        <x:v>57</x:v>
      </x:c>
      <x:c r="F431" s="32" t="n">
        <x:v>48015</x:v>
      </x:c>
      <x:c r="G431" s="36" t="n">
        <x:v>0</x:v>
      </x:c>
      <x:c r="H431" s="36" t="n">
        <x:v>0</x:v>
      </x:c>
      <x:c r="I431" s="36" t="n">
        <x:v>0</x:v>
      </x:c>
      <x:c r="J431" s="36" t="n">
        <x:v>0</x:v>
      </x:c>
      <x:c r="K431" s="36" t="n">
        <x:v>0</x:v>
      </x:c>
      <x:c r="L431" s="36" t="n">
        <x:v>0</x:v>
      </x:c>
      <x:c r="M431" s="38" t="n">
        <x:v>4.7501711156741955</x:v>
      </x:c>
      <x:c r="N431" s="36" t="n">
        <x:v>0</x:v>
      </x:c>
    </x:row>
    <x:row r="432" ht="20" customHeight="1">
      <x:c r="C432" s="1" t="n">
        <x:v>1</x:v>
      </x:c>
      <x:c r="D432" s="1" t="n">
        <x:v>7</x:v>
      </x:c>
      <x:c r="E432" s="1" t="n">
        <x:v>58</x:v>
      </x:c>
      <x:c r="F432" s="32" t="n">
        <x:v>48044</x:v>
      </x:c>
      <x:c r="G432" s="36" t="n">
        <x:v>0</x:v>
      </x:c>
      <x:c r="H432" s="36" t="n">
        <x:v>0</x:v>
      </x:c>
      <x:c r="I432" s="36" t="n">
        <x:v>0</x:v>
      </x:c>
      <x:c r="J432" s="36" t="n">
        <x:v>0</x:v>
      </x:c>
      <x:c r="K432" s="36" t="n">
        <x:v>0</x:v>
      </x:c>
      <x:c r="L432" s="36" t="n">
        <x:v>0</x:v>
      </x:c>
      <x:c r="M432" s="38" t="n">
        <x:v>4.829568788501026</x:v>
      </x:c>
      <x:c r="N432" s="36" t="n">
        <x:v>0</x:v>
      </x:c>
    </x:row>
    <x:row r="433" ht="20" customHeight="1">
      <x:c r="C433" s="1" t="n">
        <x:v>1</x:v>
      </x:c>
      <x:c r="D433" s="1" t="n">
        <x:v>7</x:v>
      </x:c>
      <x:c r="E433" s="1" t="n">
        <x:v>59</x:v>
      </x:c>
      <x:c r="F433" s="32" t="n">
        <x:v>48075</x:v>
      </x:c>
      <x:c r="G433" s="36" t="n">
        <x:v>0</x:v>
      </x:c>
      <x:c r="H433" s="36" t="n">
        <x:v>0</x:v>
      </x:c>
      <x:c r="I433" s="36" t="n">
        <x:v>0</x:v>
      </x:c>
      <x:c r="J433" s="36" t="n">
        <x:v>0</x:v>
      </x:c>
      <x:c r="K433" s="36" t="n">
        <x:v>0</x:v>
      </x:c>
      <x:c r="L433" s="36" t="n">
        <x:v>0</x:v>
      </x:c>
      <x:c r="M433" s="38" t="n">
        <x:v>4.914442162902122</x:v>
      </x:c>
      <x:c r="N433" s="36" t="n">
        <x:v>0</x:v>
      </x:c>
    </x:row>
    <x:row r="434" ht="20" customHeight="1">
      <x:c r="C434" s="1" t="n">
        <x:v>1</x:v>
      </x:c>
      <x:c r="D434" s="1" t="n">
        <x:v>7</x:v>
      </x:c>
      <x:c r="E434" s="1" t="n">
        <x:v>60</x:v>
      </x:c>
      <x:c r="F434" s="32" t="n">
        <x:v>48106</x:v>
      </x:c>
      <x:c r="G434" s="36" t="n">
        <x:v>0</x:v>
      </x:c>
      <x:c r="H434" s="36" t="n">
        <x:v>0</x:v>
      </x:c>
      <x:c r="I434" s="36" t="n">
        <x:v>0</x:v>
      </x:c>
      <x:c r="J434" s="36" t="n">
        <x:v>0</x:v>
      </x:c>
      <x:c r="K434" s="36" t="n">
        <x:v>0</x:v>
      </x:c>
      <x:c r="L434" s="36" t="n">
        <x:v>0</x:v>
      </x:c>
      <x:c r="M434" s="38" t="n">
        <x:v>4.999315537303217</x:v>
      </x:c>
      <x:c r="N434" s="36" t="n">
        <x:v>0</x:v>
      </x:c>
    </x:row>
    <x:row r="435" ht="20" customHeight="1">
      <x:c r="C435" s="1" t="n">
        <x:v>1</x:v>
      </x:c>
      <x:c r="D435" s="1" t="n">
        <x:v>7</x:v>
      </x:c>
      <x:c r="E435" s="1" t="n">
        <x:v>61</x:v>
      </x:c>
      <x:c r="F435" s="32" t="n">
        <x:v>48136</x:v>
      </x:c>
      <x:c r="G435" s="36" t="n">
        <x:v>0</x:v>
      </x:c>
      <x:c r="H435" s="36" t="n">
        <x:v>0</x:v>
      </x:c>
      <x:c r="I435" s="36" t="n">
        <x:v>0</x:v>
      </x:c>
      <x:c r="J435" s="36" t="n">
        <x:v>0</x:v>
      </x:c>
      <x:c r="K435" s="36" t="n">
        <x:v>0</x:v>
      </x:c>
      <x:c r="L435" s="36" t="n">
        <x:v>0</x:v>
      </x:c>
      <x:c r="M435" s="38" t="n">
        <x:v>5.08145106091718</x:v>
      </x:c>
      <x:c r="N435" s="36" t="n">
        <x:v>0</x:v>
      </x:c>
    </x:row>
    <x:row r="436" ht="20" customHeight="1">
      <x:c r="C436" s="1" t="n">
        <x:v>1</x:v>
      </x:c>
      <x:c r="D436" s="1" t="n">
        <x:v>8</x:v>
      </x:c>
      <x:c r="E436" s="1" t="n">
        <x:v>1</x:v>
      </x:c>
      <x:c r="F436" s="32" t="n">
        <x:v>46310</x:v>
      </x:c>
      <x:c r="G436" s="36" t="n">
        <x:v>14110000</x:v>
      </x:c>
      <x:c r="H436" s="36" t="n">
        <x:v>67492.83</x:v>
      </x:c>
      <x:c r="I436" s="36" t="n">
        <x:v>0</x:v>
      </x:c>
      <x:c r="J436" s="36" t="n">
        <x:v>0</x:v>
      </x:c>
      <x:c r="K436" s="36" t="n">
        <x:v>14110000</x:v>
      </x:c>
      <x:c r="L436" s="36" t="n">
        <x:v>0</x:v>
      </x:c>
      <x:c r="M436" s="38" t="n">
        <x:v>0.08213552361396304</x:v>
      </x:c>
      <x:c r="N436" s="36" t="n">
        <x:v>14110000</x:v>
      </x:c>
    </x:row>
    <x:row r="437" ht="20" customHeight="1">
      <x:c r="C437" s="1" t="n">
        <x:v>1</x:v>
      </x:c>
      <x:c r="D437" s="1" t="n">
        <x:v>8</x:v>
      </x:c>
      <x:c r="E437" s="1" t="n">
        <x:v>2</x:v>
      </x:c>
      <x:c r="F437" s="32" t="n">
        <x:v>46342</x:v>
      </x:c>
      <x:c r="G437" s="36" t="n">
        <x:v>14110000</x:v>
      </x:c>
      <x:c r="H437" s="36" t="n">
        <x:v>67492.83</x:v>
      </x:c>
      <x:c r="I437" s="36" t="n">
        <x:v>0</x:v>
      </x:c>
      <x:c r="J437" s="36" t="n">
        <x:v>0</x:v>
      </x:c>
      <x:c r="K437" s="36" t="n">
        <x:v>14110000</x:v>
      </x:c>
      <x:c r="L437" s="36" t="n">
        <x:v>0</x:v>
      </x:c>
      <x:c r="M437" s="38" t="n">
        <x:v>0.1697467488021903</x:v>
      </x:c>
      <x:c r="N437" s="36" t="n">
        <x:v>14110000</x:v>
      </x:c>
    </x:row>
    <x:row r="438" ht="20" customHeight="1">
      <x:c r="C438" s="1" t="n">
        <x:v>1</x:v>
      </x:c>
      <x:c r="D438" s="1" t="n">
        <x:v>8</x:v>
      </x:c>
      <x:c r="E438" s="1" t="n">
        <x:v>3</x:v>
      </x:c>
      <x:c r="F438" s="32" t="n">
        <x:v>46371</x:v>
      </x:c>
      <x:c r="G438" s="36" t="n">
        <x:v>14110000</x:v>
      </x:c>
      <x:c r="H438" s="36" t="n">
        <x:v>67492.83</x:v>
      </x:c>
      <x:c r="I438" s="36" t="n">
        <x:v>0</x:v>
      </x:c>
      <x:c r="J438" s="36" t="n">
        <x:v>0</x:v>
      </x:c>
      <x:c r="K438" s="36" t="n">
        <x:v>14110000</x:v>
      </x:c>
      <x:c r="L438" s="36" t="n">
        <x:v>0</x:v>
      </x:c>
      <x:c r="M438" s="38" t="n">
        <x:v>0.24914442162902123</x:v>
      </x:c>
      <x:c r="N438" s="36" t="n">
        <x:v>14110000</x:v>
      </x:c>
    </x:row>
    <x:row r="439" ht="20" customHeight="1">
      <x:c r="C439" s="1" t="n">
        <x:v>1</x:v>
      </x:c>
      <x:c r="D439" s="1" t="n">
        <x:v>8</x:v>
      </x:c>
      <x:c r="E439" s="1" t="n">
        <x:v>4</x:v>
      </x:c>
      <x:c r="F439" s="32" t="n">
        <x:v>46402</x:v>
      </x:c>
      <x:c r="G439" s="36" t="n">
        <x:v>14110000</x:v>
      </x:c>
      <x:c r="H439" s="36" t="n">
        <x:v>67492.83</x:v>
      </x:c>
      <x:c r="I439" s="36" t="n">
        <x:v>0</x:v>
      </x:c>
      <x:c r="J439" s="36" t="n">
        <x:v>0</x:v>
      </x:c>
      <x:c r="K439" s="36" t="n">
        <x:v>14110000</x:v>
      </x:c>
      <x:c r="L439" s="36" t="n">
        <x:v>0</x:v>
      </x:c>
      <x:c r="M439" s="38" t="n">
        <x:v>0.33401779603011633</x:v>
      </x:c>
      <x:c r="N439" s="36" t="n">
        <x:v>14110000</x:v>
      </x:c>
    </x:row>
    <x:row r="440" ht="20" customHeight="1">
      <x:c r="C440" s="1" t="n">
        <x:v>1</x:v>
      </x:c>
      <x:c r="D440" s="1" t="n">
        <x:v>8</x:v>
      </x:c>
      <x:c r="E440" s="1" t="n">
        <x:v>5</x:v>
      </x:c>
      <x:c r="F440" s="32" t="n">
        <x:v>46434</x:v>
      </x:c>
      <x:c r="G440" s="36" t="n">
        <x:v>14110000</x:v>
      </x:c>
      <x:c r="H440" s="36" t="n">
        <x:v>67492.83</x:v>
      </x:c>
      <x:c r="I440" s="36" t="n">
        <x:v>0</x:v>
      </x:c>
      <x:c r="J440" s="36" t="n">
        <x:v>0</x:v>
      </x:c>
      <x:c r="K440" s="36" t="n">
        <x:v>14110000</x:v>
      </x:c>
      <x:c r="L440" s="36" t="n">
        <x:v>0</x:v>
      </x:c>
      <x:c r="M440" s="38" t="n">
        <x:v>0.4216290212183436</x:v>
      </x:c>
      <x:c r="N440" s="36" t="n">
        <x:v>14110000</x:v>
      </x:c>
    </x:row>
    <x:row r="441" ht="20" customHeight="1">
      <x:c r="C441" s="1" t="n">
        <x:v>1</x:v>
      </x:c>
      <x:c r="D441" s="1" t="n">
        <x:v>8</x:v>
      </x:c>
      <x:c r="E441" s="1" t="n">
        <x:v>6</x:v>
      </x:c>
      <x:c r="F441" s="32" t="n">
        <x:v>46461</x:v>
      </x:c>
      <x:c r="G441" s="36" t="n">
        <x:v>14110000</x:v>
      </x:c>
      <x:c r="H441" s="36" t="n">
        <x:v>67492.83</x:v>
      </x:c>
      <x:c r="I441" s="36" t="n">
        <x:v>0</x:v>
      </x:c>
      <x:c r="J441" s="36" t="n">
        <x:v>0</x:v>
      </x:c>
      <x:c r="K441" s="36" t="n">
        <x:v>14110000</x:v>
      </x:c>
      <x:c r="L441" s="36" t="n">
        <x:v>0</x:v>
      </x:c>
      <x:c r="M441" s="38" t="n">
        <x:v>0.49555099247091033</x:v>
      </x:c>
      <x:c r="N441" s="36" t="n">
        <x:v>14110000</x:v>
      </x:c>
    </x:row>
    <x:row r="442" ht="20" customHeight="1">
      <x:c r="C442" s="1" t="n">
        <x:v>1</x:v>
      </x:c>
      <x:c r="D442" s="1" t="n">
        <x:v>8</x:v>
      </x:c>
      <x:c r="E442" s="1" t="n">
        <x:v>7</x:v>
      </x:c>
      <x:c r="F442" s="32" t="n">
        <x:v>46492</x:v>
      </x:c>
      <x:c r="G442" s="36" t="n">
        <x:v>14110000</x:v>
      </x:c>
      <x:c r="H442" s="36" t="n">
        <x:v>67492.83</x:v>
      </x:c>
      <x:c r="I442" s="36" t="n">
        <x:v>0</x:v>
      </x:c>
      <x:c r="J442" s="36" t="n">
        <x:v>0</x:v>
      </x:c>
      <x:c r="K442" s="36" t="n">
        <x:v>14110000</x:v>
      </x:c>
      <x:c r="L442" s="36" t="n">
        <x:v>0</x:v>
      </x:c>
      <x:c r="M442" s="38" t="n">
        <x:v>0.5804243668720055</x:v>
      </x:c>
      <x:c r="N442" s="36" t="n">
        <x:v>14110000</x:v>
      </x:c>
    </x:row>
    <x:row r="443" ht="20" customHeight="1">
      <x:c r="C443" s="1" t="n">
        <x:v>1</x:v>
      </x:c>
      <x:c r="D443" s="1" t="n">
        <x:v>8</x:v>
      </x:c>
      <x:c r="E443" s="1" t="n">
        <x:v>8</x:v>
      </x:c>
      <x:c r="F443" s="32" t="n">
        <x:v>46524</x:v>
      </x:c>
      <x:c r="G443" s="36" t="n">
        <x:v>14110000</x:v>
      </x:c>
      <x:c r="H443" s="36" t="n">
        <x:v>67492.83</x:v>
      </x:c>
      <x:c r="I443" s="36" t="n">
        <x:v>0</x:v>
      </x:c>
      <x:c r="J443" s="36" t="n">
        <x:v>0</x:v>
      </x:c>
      <x:c r="K443" s="36" t="n">
        <x:v>14110000</x:v>
      </x:c>
      <x:c r="L443" s="36" t="n">
        <x:v>0</x:v>
      </x:c>
      <x:c r="M443" s="38" t="n">
        <x:v>0.6680355920602327</x:v>
      </x:c>
      <x:c r="N443" s="36" t="n">
        <x:v>14110000</x:v>
      </x:c>
    </x:row>
    <x:row r="444" ht="20" customHeight="1">
      <x:c r="C444" s="1" t="n">
        <x:v>1</x:v>
      </x:c>
      <x:c r="D444" s="1" t="n">
        <x:v>8</x:v>
      </x:c>
      <x:c r="E444" s="1" t="n">
        <x:v>9</x:v>
      </x:c>
      <x:c r="F444" s="32" t="n">
        <x:v>46553</x:v>
      </x:c>
      <x:c r="G444" s="36" t="n">
        <x:v>14110000</x:v>
      </x:c>
      <x:c r="H444" s="36" t="n">
        <x:v>67492.83</x:v>
      </x:c>
      <x:c r="I444" s="36" t="n">
        <x:v>0</x:v>
      </x:c>
      <x:c r="J444" s="36" t="n">
        <x:v>0</x:v>
      </x:c>
      <x:c r="K444" s="36" t="n">
        <x:v>14110000</x:v>
      </x:c>
      <x:c r="L444" s="36" t="n">
        <x:v>0</x:v>
      </x:c>
      <x:c r="M444" s="38" t="n">
        <x:v>0.7474332648870636</x:v>
      </x:c>
      <x:c r="N444" s="36" t="n">
        <x:v>14110000</x:v>
      </x:c>
    </x:row>
    <x:row r="445" ht="20" customHeight="1">
      <x:c r="C445" s="1" t="n">
        <x:v>1</x:v>
      </x:c>
      <x:c r="D445" s="1" t="n">
        <x:v>8</x:v>
      </x:c>
      <x:c r="E445" s="1" t="n">
        <x:v>10</x:v>
      </x:c>
      <x:c r="F445" s="32" t="n">
        <x:v>46583</x:v>
      </x:c>
      <x:c r="G445" s="36" t="n">
        <x:v>14110000</x:v>
      </x:c>
      <x:c r="H445" s="36" t="n">
        <x:v>67492.83</x:v>
      </x:c>
      <x:c r="I445" s="36" t="n">
        <x:v>0</x:v>
      </x:c>
      <x:c r="J445" s="36" t="n">
        <x:v>0</x:v>
      </x:c>
      <x:c r="K445" s="36" t="n">
        <x:v>14110000</x:v>
      </x:c>
      <x:c r="L445" s="36" t="n">
        <x:v>0</x:v>
      </x:c>
      <x:c r="M445" s="38" t="n">
        <x:v>0.8295687885010267</x:v>
      </x:c>
      <x:c r="N445" s="36" t="n">
        <x:v>14110000</x:v>
      </x:c>
    </x:row>
    <x:row r="446" ht="20" customHeight="1">
      <x:c r="C446" s="1" t="n">
        <x:v>1</x:v>
      </x:c>
      <x:c r="D446" s="1" t="n">
        <x:v>8</x:v>
      </x:c>
      <x:c r="E446" s="1" t="n">
        <x:v>11</x:v>
      </x:c>
      <x:c r="F446" s="32" t="n">
        <x:v>46615</x:v>
      </x:c>
      <x:c r="G446" s="36" t="n">
        <x:v>14110000</x:v>
      </x:c>
      <x:c r="H446" s="36" t="n">
        <x:v>67492.83</x:v>
      </x:c>
      <x:c r="I446" s="36" t="n">
        <x:v>0</x:v>
      </x:c>
      <x:c r="J446" s="36" t="n">
        <x:v>0</x:v>
      </x:c>
      <x:c r="K446" s="36" t="n">
        <x:v>14110000</x:v>
      </x:c>
      <x:c r="L446" s="36" t="n">
        <x:v>0</x:v>
      </x:c>
      <x:c r="M446" s="38" t="n">
        <x:v>0.917180013689254</x:v>
      </x:c>
      <x:c r="N446" s="36" t="n">
        <x:v>14110000</x:v>
      </x:c>
    </x:row>
    <x:row r="447" ht="20" customHeight="1">
      <x:c r="C447" s="1" t="n">
        <x:v>1</x:v>
      </x:c>
      <x:c r="D447" s="1" t="n">
        <x:v>8</x:v>
      </x:c>
      <x:c r="E447" s="1" t="n">
        <x:v>12</x:v>
      </x:c>
      <x:c r="F447" s="32" t="n">
        <x:v>46645</x:v>
      </x:c>
      <x:c r="G447" s="36" t="n">
        <x:v>14110000</x:v>
      </x:c>
      <x:c r="H447" s="36" t="n">
        <x:v>67492.83</x:v>
      </x:c>
      <x:c r="I447" s="36" t="n">
        <x:v>0</x:v>
      </x:c>
      <x:c r="J447" s="36" t="n">
        <x:v>0</x:v>
      </x:c>
      <x:c r="K447" s="36" t="n">
        <x:v>14110000</x:v>
      </x:c>
      <x:c r="L447" s="36" t="n">
        <x:v>0</x:v>
      </x:c>
      <x:c r="M447" s="38" t="n">
        <x:v>0.999315537303217</x:v>
      </x:c>
      <x:c r="N447" s="36" t="n">
        <x:v>14110000</x:v>
      </x:c>
    </x:row>
    <x:row r="448" ht="20" customHeight="1">
      <x:c r="C448" s="1" t="n">
        <x:v>1</x:v>
      </x:c>
      <x:c r="D448" s="1" t="n">
        <x:v>8</x:v>
      </x:c>
      <x:c r="E448" s="1" t="n">
        <x:v>13</x:v>
      </x:c>
      <x:c r="F448" s="32" t="n">
        <x:v>46675</x:v>
      </x:c>
      <x:c r="G448" s="36" t="n">
        <x:v>14110000</x:v>
      </x:c>
      <x:c r="H448" s="36" t="n">
        <x:v>67492.83</x:v>
      </x:c>
      <x:c r="I448" s="36" t="n">
        <x:v>0</x:v>
      </x:c>
      <x:c r="J448" s="36" t="n">
        <x:v>0</x:v>
      </x:c>
      <x:c r="K448" s="36" t="n">
        <x:v>14110000</x:v>
      </x:c>
      <x:c r="L448" s="36" t="n">
        <x:v>0</x:v>
      </x:c>
      <x:c r="M448" s="38" t="n">
        <x:v>1.08145106091718</x:v>
      </x:c>
      <x:c r="N448" s="36" t="n">
        <x:v>14110000</x:v>
      </x:c>
    </x:row>
    <x:row r="449" ht="20" customHeight="1">
      <x:c r="C449" s="1" t="n">
        <x:v>1</x:v>
      </x:c>
      <x:c r="D449" s="1" t="n">
        <x:v>8</x:v>
      </x:c>
      <x:c r="E449" s="1" t="n">
        <x:v>14</x:v>
      </x:c>
      <x:c r="F449" s="32" t="n">
        <x:v>46706</x:v>
      </x:c>
      <x:c r="G449" s="36" t="n">
        <x:v>14110000</x:v>
      </x:c>
      <x:c r="H449" s="36" t="n">
        <x:v>67492.83</x:v>
      </x:c>
      <x:c r="I449" s="36" t="n">
        <x:v>0</x:v>
      </x:c>
      <x:c r="J449" s="36" t="n">
        <x:v>0</x:v>
      </x:c>
      <x:c r="K449" s="36" t="n">
        <x:v>14110000</x:v>
      </x:c>
      <x:c r="L449" s="36" t="n">
        <x:v>0</x:v>
      </x:c>
      <x:c r="M449" s="38" t="n">
        <x:v>1.1663244353182751</x:v>
      </x:c>
      <x:c r="N449" s="36" t="n">
        <x:v>14110000</x:v>
      </x:c>
    </x:row>
    <x:row r="450" ht="20" customHeight="1">
      <x:c r="C450" s="1" t="n">
        <x:v>1</x:v>
      </x:c>
      <x:c r="D450" s="1" t="n">
        <x:v>8</x:v>
      </x:c>
      <x:c r="E450" s="1" t="n">
        <x:v>15</x:v>
      </x:c>
      <x:c r="F450" s="32" t="n">
        <x:v>46736</x:v>
      </x:c>
      <x:c r="G450" s="36" t="n">
        <x:v>14110000</x:v>
      </x:c>
      <x:c r="H450" s="36" t="n">
        <x:v>67492.83</x:v>
      </x:c>
      <x:c r="I450" s="36" t="n">
        <x:v>0</x:v>
      </x:c>
      <x:c r="J450" s="36" t="n">
        <x:v>0</x:v>
      </x:c>
      <x:c r="K450" s="36" t="n">
        <x:v>14110000</x:v>
      </x:c>
      <x:c r="L450" s="36" t="n">
        <x:v>0</x:v>
      </x:c>
      <x:c r="M450" s="38" t="n">
        <x:v>1.2484599589322383</x:v>
      </x:c>
      <x:c r="N450" s="36" t="n">
        <x:v>14110000</x:v>
      </x:c>
    </x:row>
    <x:row r="451" ht="20" customHeight="1">
      <x:c r="C451" s="1" t="n">
        <x:v>1</x:v>
      </x:c>
      <x:c r="D451" s="1" t="n">
        <x:v>8</x:v>
      </x:c>
      <x:c r="E451" s="1" t="n">
        <x:v>16</x:v>
      </x:c>
      <x:c r="F451" s="32" t="n">
        <x:v>46770</x:v>
      </x:c>
      <x:c r="G451" s="36" t="n">
        <x:v>14110000</x:v>
      </x:c>
      <x:c r="H451" s="36" t="n">
        <x:v>67492.83</x:v>
      </x:c>
      <x:c r="I451" s="36" t="n">
        <x:v>0</x:v>
      </x:c>
      <x:c r="J451" s="36" t="n">
        <x:v>0</x:v>
      </x:c>
      <x:c r="K451" s="36" t="n">
        <x:v>14110000</x:v>
      </x:c>
      <x:c r="L451" s="36" t="n">
        <x:v>0</x:v>
      </x:c>
      <x:c r="M451" s="38" t="n">
        <x:v>1.3415468856947297</x:v>
      </x:c>
      <x:c r="N451" s="36" t="n">
        <x:v>14110000</x:v>
      </x:c>
    </x:row>
    <x:row r="452" ht="20" customHeight="1">
      <x:c r="C452" s="1" t="n">
        <x:v>1</x:v>
      </x:c>
      <x:c r="D452" s="1" t="n">
        <x:v>8</x:v>
      </x:c>
      <x:c r="E452" s="1" t="n">
        <x:v>17</x:v>
      </x:c>
      <x:c r="F452" s="32" t="n">
        <x:v>46798</x:v>
      </x:c>
      <x:c r="G452" s="36" t="n">
        <x:v>14110000</x:v>
      </x:c>
      <x:c r="H452" s="36" t="n">
        <x:v>67492.83</x:v>
      </x:c>
      <x:c r="I452" s="36" t="n">
        <x:v>0</x:v>
      </x:c>
      <x:c r="J452" s="36" t="n">
        <x:v>0</x:v>
      </x:c>
      <x:c r="K452" s="36" t="n">
        <x:v>14110000</x:v>
      </x:c>
      <x:c r="L452" s="36" t="n">
        <x:v>0</x:v>
      </x:c>
      <x:c r="M452" s="38" t="n">
        <x:v>1.4182067077344285</x:v>
      </x:c>
      <x:c r="N452" s="36" t="n">
        <x:v>14110000</x:v>
      </x:c>
    </x:row>
    <x:row r="453" ht="20" customHeight="1">
      <x:c r="C453" s="1" t="n">
        <x:v>1</x:v>
      </x:c>
      <x:c r="D453" s="1" t="n">
        <x:v>8</x:v>
      </x:c>
      <x:c r="E453" s="1" t="n">
        <x:v>18</x:v>
      </x:c>
      <x:c r="F453" s="32" t="n">
        <x:v>46827</x:v>
      </x:c>
      <x:c r="G453" s="36" t="n">
        <x:v>14110000</x:v>
      </x:c>
      <x:c r="H453" s="36" t="n">
        <x:v>67492.83</x:v>
      </x:c>
      <x:c r="I453" s="36" t="n">
        <x:v>0</x:v>
      </x:c>
      <x:c r="J453" s="36" t="n">
        <x:v>0</x:v>
      </x:c>
      <x:c r="K453" s="36" t="n">
        <x:v>14110000</x:v>
      </x:c>
      <x:c r="L453" s="36" t="n">
        <x:v>0</x:v>
      </x:c>
      <x:c r="M453" s="38" t="n">
        <x:v>1.4976043805612593</x:v>
      </x:c>
      <x:c r="N453" s="36" t="n">
        <x:v>14110000</x:v>
      </x:c>
    </x:row>
    <x:row r="454" ht="20" customHeight="1">
      <x:c r="C454" s="1" t="n">
        <x:v>1</x:v>
      </x:c>
      <x:c r="D454" s="1" t="n">
        <x:v>8</x:v>
      </x:c>
      <x:c r="E454" s="1" t="n">
        <x:v>19</x:v>
      </x:c>
      <x:c r="F454" s="32" t="n">
        <x:v>46860</x:v>
      </x:c>
      <x:c r="G454" s="36" t="n">
        <x:v>14110000</x:v>
      </x:c>
      <x:c r="H454" s="36" t="n">
        <x:v>67492.83</x:v>
      </x:c>
      <x:c r="I454" s="36" t="n">
        <x:v>0</x:v>
      </x:c>
      <x:c r="J454" s="36" t="n">
        <x:v>0</x:v>
      </x:c>
      <x:c r="K454" s="36" t="n">
        <x:v>14110000</x:v>
      </x:c>
      <x:c r="L454" s="36" t="n">
        <x:v>0</x:v>
      </x:c>
      <x:c r="M454" s="38" t="n">
        <x:v>1.5879534565366187</x:v>
      </x:c>
      <x:c r="N454" s="36" t="n">
        <x:v>14110000</x:v>
      </x:c>
    </x:row>
    <x:row r="455" ht="20" customHeight="1">
      <x:c r="C455" s="1" t="n">
        <x:v>1</x:v>
      </x:c>
      <x:c r="D455" s="1" t="n">
        <x:v>8</x:v>
      </x:c>
      <x:c r="E455" s="1" t="n">
        <x:v>20</x:v>
      </x:c>
      <x:c r="F455" s="32" t="n">
        <x:v>46888</x:v>
      </x:c>
      <x:c r="G455" s="36" t="n">
        <x:v>14110000</x:v>
      </x:c>
      <x:c r="H455" s="36" t="n">
        <x:v>67492.83</x:v>
      </x:c>
      <x:c r="I455" s="36" t="n">
        <x:v>0</x:v>
      </x:c>
      <x:c r="J455" s="36" t="n">
        <x:v>0</x:v>
      </x:c>
      <x:c r="K455" s="36" t="n">
        <x:v>14110000</x:v>
      </x:c>
      <x:c r="L455" s="36" t="n">
        <x:v>0</x:v>
      </x:c>
      <x:c r="M455" s="38" t="n">
        <x:v>1.6646132785763177</x:v>
      </x:c>
      <x:c r="N455" s="36" t="n">
        <x:v>14110000</x:v>
      </x:c>
    </x:row>
    <x:row r="456" ht="20" customHeight="1">
      <x:c r="C456" s="1" t="n">
        <x:v>1</x:v>
      </x:c>
      <x:c r="D456" s="1" t="n">
        <x:v>8</x:v>
      </x:c>
      <x:c r="E456" s="1" t="n">
        <x:v>21</x:v>
      </x:c>
      <x:c r="F456" s="32" t="n">
        <x:v>46919</x:v>
      </x:c>
      <x:c r="G456" s="36" t="n">
        <x:v>14110000</x:v>
      </x:c>
      <x:c r="H456" s="36" t="n">
        <x:v>67492.83</x:v>
      </x:c>
      <x:c r="I456" s="36" t="n">
        <x:v>0</x:v>
      </x:c>
      <x:c r="J456" s="36" t="n">
        <x:v>0</x:v>
      </x:c>
      <x:c r="K456" s="36" t="n">
        <x:v>14110000</x:v>
      </x:c>
      <x:c r="L456" s="36" t="n">
        <x:v>0</x:v>
      </x:c>
      <x:c r="M456" s="38" t="n">
        <x:v>1.7494866529774127</x:v>
      </x:c>
      <x:c r="N456" s="36" t="n">
        <x:v>14110000</x:v>
      </x:c>
    </x:row>
    <x:row r="457" ht="20" customHeight="1">
      <x:c r="C457" s="1" t="n">
        <x:v>1</x:v>
      </x:c>
      <x:c r="D457" s="1" t="n">
        <x:v>8</x:v>
      </x:c>
      <x:c r="E457" s="1" t="n">
        <x:v>22</x:v>
      </x:c>
      <x:c r="F457" s="32" t="n">
        <x:v>46951</x:v>
      </x:c>
      <x:c r="G457" s="36" t="n">
        <x:v>14110000</x:v>
      </x:c>
      <x:c r="H457" s="36" t="n">
        <x:v>67492.83</x:v>
      </x:c>
      <x:c r="I457" s="36" t="n">
        <x:v>0</x:v>
      </x:c>
      <x:c r="J457" s="36" t="n">
        <x:v>0</x:v>
      </x:c>
      <x:c r="K457" s="36" t="n">
        <x:v>14110000</x:v>
      </x:c>
      <x:c r="L457" s="36" t="n">
        <x:v>0</x:v>
      </x:c>
      <x:c r="M457" s="38" t="n">
        <x:v>1.83709787816564</x:v>
      </x:c>
      <x:c r="N457" s="36" t="n">
        <x:v>14110000</x:v>
      </x:c>
    </x:row>
    <x:row r="458" ht="20" customHeight="1">
      <x:c r="C458" s="1" t="n">
        <x:v>1</x:v>
      </x:c>
      <x:c r="D458" s="1" t="n">
        <x:v>8</x:v>
      </x:c>
      <x:c r="E458" s="1" t="n">
        <x:v>23</x:v>
      </x:c>
      <x:c r="F458" s="32" t="n">
        <x:v>46980</x:v>
      </x:c>
      <x:c r="G458" s="36" t="n">
        <x:v>14110000</x:v>
      </x:c>
      <x:c r="H458" s="36" t="n">
        <x:v>67492.83</x:v>
      </x:c>
      <x:c r="I458" s="36" t="n">
        <x:v>0</x:v>
      </x:c>
      <x:c r="J458" s="36" t="n">
        <x:v>0</x:v>
      </x:c>
      <x:c r="K458" s="36" t="n">
        <x:v>14110000</x:v>
      </x:c>
      <x:c r="L458" s="36" t="n">
        <x:v>0</x:v>
      </x:c>
      <x:c r="M458" s="38" t="n">
        <x:v>1.9164955509924708</x:v>
      </x:c>
      <x:c r="N458" s="36" t="n">
        <x:v>14110000</x:v>
      </x:c>
    </x:row>
    <x:row r="459" ht="20" customHeight="1">
      <x:c r="C459" s="1" t="n">
        <x:v>1</x:v>
      </x:c>
      <x:c r="D459" s="1" t="n">
        <x:v>8</x:v>
      </x:c>
      <x:c r="E459" s="1" t="n">
        <x:v>24</x:v>
      </x:c>
      <x:c r="F459" s="32" t="n">
        <x:v>47011</x:v>
      </x:c>
      <x:c r="G459" s="36" t="n">
        <x:v>14110000</x:v>
      </x:c>
      <x:c r="H459" s="36" t="n">
        <x:v>67492.83</x:v>
      </x:c>
      <x:c r="I459" s="36" t="n">
        <x:v>0</x:v>
      </x:c>
      <x:c r="J459" s="36" t="n">
        <x:v>0</x:v>
      </x:c>
      <x:c r="K459" s="36" t="n">
        <x:v>14110000</x:v>
      </x:c>
      <x:c r="L459" s="36" t="n">
        <x:v>0</x:v>
      </x:c>
      <x:c r="M459" s="38" t="n">
        <x:v>2.001368925393566</x:v>
      </x:c>
      <x:c r="N459" s="36" t="n">
        <x:v>14110000</x:v>
      </x:c>
    </x:row>
    <x:row r="460" ht="20" customHeight="1">
      <x:c r="C460" s="1" t="n">
        <x:v>1</x:v>
      </x:c>
      <x:c r="D460" s="1" t="n">
        <x:v>8</x:v>
      </x:c>
      <x:c r="E460" s="1" t="n">
        <x:v>25</x:v>
      </x:c>
      <x:c r="F460" s="32" t="n">
        <x:v>47042</x:v>
      </x:c>
      <x:c r="G460" s="36" t="n">
        <x:v>14110000</x:v>
      </x:c>
      <x:c r="H460" s="36" t="n">
        <x:v>67492.83</x:v>
      </x:c>
      <x:c r="I460" s="36" t="n">
        <x:v>0</x:v>
      </x:c>
      <x:c r="J460" s="36" t="n">
        <x:v>0</x:v>
      </x:c>
      <x:c r="K460" s="36" t="n">
        <x:v>14110000</x:v>
      </x:c>
      <x:c r="L460" s="36" t="n">
        <x:v>0</x:v>
      </x:c>
      <x:c r="M460" s="38" t="n">
        <x:v>2.086242299794661</x:v>
      </x:c>
      <x:c r="N460" s="36" t="n">
        <x:v>14110000</x:v>
      </x:c>
    </x:row>
    <x:row r="461" ht="20" customHeight="1">
      <x:c r="C461" s="1" t="n">
        <x:v>1</x:v>
      </x:c>
      <x:c r="D461" s="1" t="n">
        <x:v>8</x:v>
      </x:c>
      <x:c r="E461" s="1" t="n">
        <x:v>26</x:v>
      </x:c>
      <x:c r="F461" s="32" t="n">
        <x:v>47072</x:v>
      </x:c>
      <x:c r="G461" s="36" t="n">
        <x:v>14110000</x:v>
      </x:c>
      <x:c r="H461" s="36" t="n">
        <x:v>67492.83</x:v>
      </x:c>
      <x:c r="I461" s="36" t="n">
        <x:v>0</x:v>
      </x:c>
      <x:c r="J461" s="36" t="n">
        <x:v>0</x:v>
      </x:c>
      <x:c r="K461" s="36" t="n">
        <x:v>14110000</x:v>
      </x:c>
      <x:c r="L461" s="36" t="n">
        <x:v>0</x:v>
      </x:c>
      <x:c r="M461" s="38" t="n">
        <x:v>2.1683778234086244</x:v>
      </x:c>
      <x:c r="N461" s="36" t="n">
        <x:v>14110000</x:v>
      </x:c>
    </x:row>
    <x:row r="462" ht="20" customHeight="1">
      <x:c r="C462" s="1" t="n">
        <x:v>1</x:v>
      </x:c>
      <x:c r="D462" s="1" t="n">
        <x:v>8</x:v>
      </x:c>
      <x:c r="E462" s="1" t="n">
        <x:v>27</x:v>
      </x:c>
      <x:c r="F462" s="32" t="n">
        <x:v>47102</x:v>
      </x:c>
      <x:c r="G462" s="36" t="n">
        <x:v>14110000</x:v>
      </x:c>
      <x:c r="H462" s="36" t="n">
        <x:v>67492.83</x:v>
      </x:c>
      <x:c r="I462" s="36" t="n">
        <x:v>0</x:v>
      </x:c>
      <x:c r="J462" s="36" t="n">
        <x:v>0</x:v>
      </x:c>
      <x:c r="K462" s="36" t="n">
        <x:v>14110000</x:v>
      </x:c>
      <x:c r="L462" s="36" t="n">
        <x:v>0</x:v>
      </x:c>
      <x:c r="M462" s="38" t="n">
        <x:v>2.2505133470225873</x:v>
      </x:c>
      <x:c r="N462" s="36" t="n">
        <x:v>14110000</x:v>
      </x:c>
    </x:row>
    <x:row r="463" ht="20" customHeight="1">
      <x:c r="C463" s="1" t="n">
        <x:v>1</x:v>
      </x:c>
      <x:c r="D463" s="1" t="n">
        <x:v>8</x:v>
      </x:c>
      <x:c r="E463" s="1" t="n">
        <x:v>28</x:v>
      </x:c>
      <x:c r="F463" s="32" t="n">
        <x:v>47134</x:v>
      </x:c>
      <x:c r="G463" s="36" t="n">
        <x:v>14110000</x:v>
      </x:c>
      <x:c r="H463" s="36" t="n">
        <x:v>67492.83</x:v>
      </x:c>
      <x:c r="I463" s="36" t="n">
        <x:v>0</x:v>
      </x:c>
      <x:c r="J463" s="36" t="n">
        <x:v>0</x:v>
      </x:c>
      <x:c r="K463" s="36" t="n">
        <x:v>14110000</x:v>
      </x:c>
      <x:c r="L463" s="36" t="n">
        <x:v>0</x:v>
      </x:c>
      <x:c r="M463" s="38" t="n">
        <x:v>2.3381245722108144</x:v>
      </x:c>
      <x:c r="N463" s="36" t="n">
        <x:v>14110000</x:v>
      </x:c>
    </x:row>
    <x:row r="464" ht="20" customHeight="1">
      <x:c r="C464" s="1" t="n">
        <x:v>1</x:v>
      </x:c>
      <x:c r="D464" s="1" t="n">
        <x:v>8</x:v>
      </x:c>
      <x:c r="E464" s="1" t="n">
        <x:v>29</x:v>
      </x:c>
      <x:c r="F464" s="32" t="n">
        <x:v>47164</x:v>
      </x:c>
      <x:c r="G464" s="36" t="n">
        <x:v>14110000</x:v>
      </x:c>
      <x:c r="H464" s="36" t="n">
        <x:v>67492.83</x:v>
      </x:c>
      <x:c r="I464" s="36" t="n">
        <x:v>0</x:v>
      </x:c>
      <x:c r="J464" s="36" t="n">
        <x:v>0</x:v>
      </x:c>
      <x:c r="K464" s="36" t="n">
        <x:v>14110000</x:v>
      </x:c>
      <x:c r="L464" s="36" t="n">
        <x:v>0</x:v>
      </x:c>
      <x:c r="M464" s="38" t="n">
        <x:v>2.4202600958247777</x:v>
      </x:c>
      <x:c r="N464" s="36" t="n">
        <x:v>14110000</x:v>
      </x:c>
    </x:row>
    <x:row r="465" ht="20" customHeight="1">
      <x:c r="C465" s="1" t="n">
        <x:v>1</x:v>
      </x:c>
      <x:c r="D465" s="1" t="n">
        <x:v>8</x:v>
      </x:c>
      <x:c r="E465" s="1" t="n">
        <x:v>30</x:v>
      </x:c>
      <x:c r="F465" s="32" t="n">
        <x:v>47192</x:v>
      </x:c>
      <x:c r="G465" s="36" t="n">
        <x:v>14110000</x:v>
      </x:c>
      <x:c r="H465" s="36" t="n">
        <x:v>67492.83</x:v>
      </x:c>
      <x:c r="I465" s="36" t="n">
        <x:v>0</x:v>
      </x:c>
      <x:c r="J465" s="36" t="n">
        <x:v>0</x:v>
      </x:c>
      <x:c r="K465" s="36" t="n">
        <x:v>14110000</x:v>
      </x:c>
      <x:c r="L465" s="36" t="n">
        <x:v>0</x:v>
      </x:c>
      <x:c r="M465" s="38" t="n">
        <x:v>2.4969199178644765</x:v>
      </x:c>
      <x:c r="N465" s="36" t="n">
        <x:v>14110000</x:v>
      </x:c>
    </x:row>
    <x:row r="466" ht="20" customHeight="1">
      <x:c r="C466" s="1" t="n">
        <x:v>1</x:v>
      </x:c>
      <x:c r="D466" s="1" t="n">
        <x:v>8</x:v>
      </x:c>
      <x:c r="E466" s="1" t="n">
        <x:v>31</x:v>
      </x:c>
      <x:c r="F466" s="32" t="n">
        <x:v>47224</x:v>
      </x:c>
      <x:c r="G466" s="36" t="n">
        <x:v>14110000</x:v>
      </x:c>
      <x:c r="H466" s="36" t="n">
        <x:v>67492.83</x:v>
      </x:c>
      <x:c r="I466" s="36" t="n">
        <x:v>0</x:v>
      </x:c>
      <x:c r="J466" s="36" t="n">
        <x:v>0</x:v>
      </x:c>
      <x:c r="K466" s="36" t="n">
        <x:v>14110000</x:v>
      </x:c>
      <x:c r="L466" s="36" t="n">
        <x:v>0</x:v>
      </x:c>
      <x:c r="M466" s="38" t="n">
        <x:v>2.5845311430527036</x:v>
      </x:c>
      <x:c r="N466" s="36" t="n">
        <x:v>14110000</x:v>
      </x:c>
    </x:row>
    <x:row r="467" ht="20" customHeight="1">
      <x:c r="C467" s="1" t="n">
        <x:v>1</x:v>
      </x:c>
      <x:c r="D467" s="1" t="n">
        <x:v>8</x:v>
      </x:c>
      <x:c r="E467" s="1" t="n">
        <x:v>32</x:v>
      </x:c>
      <x:c r="F467" s="32" t="n">
        <x:v>47253</x:v>
      </x:c>
      <x:c r="G467" s="36" t="n">
        <x:v>14110000</x:v>
      </x:c>
      <x:c r="H467" s="36" t="n">
        <x:v>67492.83</x:v>
      </x:c>
      <x:c r="I467" s="36" t="n">
        <x:v>0</x:v>
      </x:c>
      <x:c r="J467" s="36" t="n">
        <x:v>0</x:v>
      </x:c>
      <x:c r="K467" s="36" t="n">
        <x:v>14110000</x:v>
      </x:c>
      <x:c r="L467" s="36" t="n">
        <x:v>0</x:v>
      </x:c>
      <x:c r="M467" s="38" t="n">
        <x:v>2.6639288158795345</x:v>
      </x:c>
      <x:c r="N467" s="36" t="n">
        <x:v>14110000</x:v>
      </x:c>
    </x:row>
    <x:row r="468" ht="20" customHeight="1">
      <x:c r="C468" s="1" t="n">
        <x:v>1</x:v>
      </x:c>
      <x:c r="D468" s="1" t="n">
        <x:v>8</x:v>
      </x:c>
      <x:c r="E468" s="1" t="n">
        <x:v>33</x:v>
      </x:c>
      <x:c r="F468" s="32" t="n">
        <x:v>47284</x:v>
      </x:c>
      <x:c r="G468" s="36" t="n">
        <x:v>14110000</x:v>
      </x:c>
      <x:c r="H468" s="36" t="n">
        <x:v>67492.83</x:v>
      </x:c>
      <x:c r="I468" s="36" t="n">
        <x:v>0</x:v>
      </x:c>
      <x:c r="J468" s="36" t="n">
        <x:v>0</x:v>
      </x:c>
      <x:c r="K468" s="36" t="n">
        <x:v>14110000</x:v>
      </x:c>
      <x:c r="L468" s="36" t="n">
        <x:v>0</x:v>
      </x:c>
      <x:c r="M468" s="38" t="n">
        <x:v>2.74880219028063</x:v>
      </x:c>
      <x:c r="N468" s="36" t="n">
        <x:v>14110000</x:v>
      </x:c>
    </x:row>
    <x:row r="469" ht="20" customHeight="1">
      <x:c r="C469" s="1" t="n">
        <x:v>1</x:v>
      </x:c>
      <x:c r="D469" s="1" t="n">
        <x:v>8</x:v>
      </x:c>
      <x:c r="E469" s="1" t="n">
        <x:v>34</x:v>
      </x:c>
      <x:c r="F469" s="32" t="n">
        <x:v>47315</x:v>
      </x:c>
      <x:c r="G469" s="36" t="n">
        <x:v>14110000</x:v>
      </x:c>
      <x:c r="H469" s="36" t="n">
        <x:v>67492.83</x:v>
      </x:c>
      <x:c r="I469" s="36" t="n">
        <x:v>0</x:v>
      </x:c>
      <x:c r="J469" s="36" t="n">
        <x:v>0</x:v>
      </x:c>
      <x:c r="K469" s="36" t="n">
        <x:v>14110000</x:v>
      </x:c>
      <x:c r="L469" s="36" t="n">
        <x:v>0</x:v>
      </x:c>
      <x:c r="M469" s="38" t="n">
        <x:v>2.833675564681725</x:v>
      </x:c>
      <x:c r="N469" s="36" t="n">
        <x:v>14110000</x:v>
      </x:c>
    </x:row>
    <x:row r="470" ht="20" customHeight="1">
      <x:c r="C470" s="1" t="n">
        <x:v>1</x:v>
      </x:c>
      <x:c r="D470" s="1" t="n">
        <x:v>8</x:v>
      </x:c>
      <x:c r="E470" s="1" t="n">
        <x:v>35</x:v>
      </x:c>
      <x:c r="F470" s="32" t="n">
        <x:v>47345</x:v>
      </x:c>
      <x:c r="G470" s="36" t="n">
        <x:v>14110000</x:v>
      </x:c>
      <x:c r="H470" s="36" t="n">
        <x:v>67492.83</x:v>
      </x:c>
      <x:c r="I470" s="36" t="n">
        <x:v>0</x:v>
      </x:c>
      <x:c r="J470" s="36" t="n">
        <x:v>0</x:v>
      </x:c>
      <x:c r="K470" s="36" t="n">
        <x:v>14110000</x:v>
      </x:c>
      <x:c r="L470" s="36" t="n">
        <x:v>0</x:v>
      </x:c>
      <x:c r="M470" s="38" t="n">
        <x:v>2.915811088295688</x:v>
      </x:c>
      <x:c r="N470" s="36" t="n">
        <x:v>14110000</x:v>
      </x:c>
    </x:row>
    <x:row r="471" ht="20" customHeight="1">
      <x:c r="C471" s="1" t="n">
        <x:v>1</x:v>
      </x:c>
      <x:c r="D471" s="1" t="n">
        <x:v>8</x:v>
      </x:c>
      <x:c r="E471" s="1" t="n">
        <x:v>36</x:v>
      </x:c>
      <x:c r="F471" s="32" t="n">
        <x:v>47378</x:v>
      </x:c>
      <x:c r="G471" s="36" t="n">
        <x:v>14110000</x:v>
      </x:c>
      <x:c r="H471" s="36" t="n">
        <x:v>67492.83</x:v>
      </x:c>
      <x:c r="I471" s="36" t="n">
        <x:v>0</x:v>
      </x:c>
      <x:c r="J471" s="36" t="n">
        <x:v>0</x:v>
      </x:c>
      <x:c r="K471" s="36" t="n">
        <x:v>14110000</x:v>
      </x:c>
      <x:c r="L471" s="36" t="n">
        <x:v>0</x:v>
      </x:c>
      <x:c r="M471" s="38" t="n">
        <x:v>3.0061601642710474</x:v>
      </x:c>
      <x:c r="N471" s="36" t="n">
        <x:v>14110000</x:v>
      </x:c>
    </x:row>
    <x:row r="472" ht="20" customHeight="1">
      <x:c r="C472" s="1" t="n">
        <x:v>1</x:v>
      </x:c>
      <x:c r="D472" s="1" t="n">
        <x:v>8</x:v>
      </x:c>
      <x:c r="E472" s="1" t="n">
        <x:v>37</x:v>
      </x:c>
      <x:c r="F472" s="32" t="n">
        <x:v>47406</x:v>
      </x:c>
      <x:c r="G472" s="36" t="n">
        <x:v>14110000</x:v>
      </x:c>
      <x:c r="H472" s="36" t="n">
        <x:v>67492.83</x:v>
      </x:c>
      <x:c r="I472" s="36" t="n">
        <x:v>0</x:v>
      </x:c>
      <x:c r="J472" s="36" t="n">
        <x:v>0</x:v>
      </x:c>
      <x:c r="K472" s="36" t="n">
        <x:v>14110000</x:v>
      </x:c>
      <x:c r="L472" s="36" t="n">
        <x:v>0</x:v>
      </x:c>
      <x:c r="M472" s="38" t="n">
        <x:v>3.082819986310746</x:v>
      </x:c>
      <x:c r="N472" s="36" t="n">
        <x:v>14110000</x:v>
      </x:c>
    </x:row>
    <x:row r="473" ht="20" customHeight="1">
      <x:c r="C473" s="1" t="n">
        <x:v>1</x:v>
      </x:c>
      <x:c r="D473" s="1" t="n">
        <x:v>8</x:v>
      </x:c>
      <x:c r="E473" s="1" t="n">
        <x:v>38</x:v>
      </x:c>
      <x:c r="F473" s="32" t="n">
        <x:v>47437</x:v>
      </x:c>
      <x:c r="G473" s="36" t="n">
        <x:v>14110000</x:v>
      </x:c>
      <x:c r="H473" s="36" t="n">
        <x:v>67492.83</x:v>
      </x:c>
      <x:c r="I473" s="36" t="n">
        <x:v>0</x:v>
      </x:c>
      <x:c r="J473" s="36" t="n">
        <x:v>0</x:v>
      </x:c>
      <x:c r="K473" s="36" t="n">
        <x:v>14110000</x:v>
      </x:c>
      <x:c r="L473" s="36" t="n">
        <x:v>0</x:v>
      </x:c>
      <x:c r="M473" s="38" t="n">
        <x:v>3.167693360711841</x:v>
      </x:c>
      <x:c r="N473" s="36" t="n">
        <x:v>14110000</x:v>
      </x:c>
    </x:row>
    <x:row r="474" ht="20" customHeight="1">
      <x:c r="C474" s="1" t="n">
        <x:v>1</x:v>
      </x:c>
      <x:c r="D474" s="1" t="n">
        <x:v>8</x:v>
      </x:c>
      <x:c r="E474" s="1" t="n">
        <x:v>39</x:v>
      </x:c>
      <x:c r="F474" s="32" t="n">
        <x:v>47469</x:v>
      </x:c>
      <x:c r="G474" s="36" t="n">
        <x:v>14110000</x:v>
      </x:c>
      <x:c r="H474" s="36" t="n">
        <x:v>67492.83</x:v>
      </x:c>
      <x:c r="I474" s="36" t="n">
        <x:v>0</x:v>
      </x:c>
      <x:c r="J474" s="36" t="n">
        <x:v>0</x:v>
      </x:c>
      <x:c r="K474" s="36" t="n">
        <x:v>14110000</x:v>
      </x:c>
      <x:c r="L474" s="36" t="n">
        <x:v>0</x:v>
      </x:c>
      <x:c r="M474" s="38" t="n">
        <x:v>3.2553045859000687</x:v>
      </x:c>
      <x:c r="N474" s="36" t="n">
        <x:v>14110000</x:v>
      </x:c>
    </x:row>
    <x:row r="475" ht="20" customHeight="1">
      <x:c r="C475" s="1" t="n">
        <x:v>1</x:v>
      </x:c>
      <x:c r="D475" s="1" t="n">
        <x:v>8</x:v>
      </x:c>
      <x:c r="E475" s="1" t="n">
        <x:v>40</x:v>
      </x:c>
      <x:c r="F475" s="32" t="n">
        <x:v>47498</x:v>
      </x:c>
      <x:c r="G475" s="36" t="n">
        <x:v>14110000</x:v>
      </x:c>
      <x:c r="H475" s="36" t="n">
        <x:v>67492.83</x:v>
      </x:c>
      <x:c r="I475" s="36" t="n">
        <x:v>0</x:v>
      </x:c>
      <x:c r="J475" s="36" t="n">
        <x:v>0</x:v>
      </x:c>
      <x:c r="K475" s="36" t="n">
        <x:v>14110000</x:v>
      </x:c>
      <x:c r="L475" s="36" t="n">
        <x:v>0</x:v>
      </x:c>
      <x:c r="M475" s="38" t="n">
        <x:v>3.3347022587268995</x:v>
      </x:c>
      <x:c r="N475" s="36" t="n">
        <x:v>14110000</x:v>
      </x:c>
    </x:row>
    <x:row r="476" ht="20" customHeight="1">
      <x:c r="C476" s="1" t="n">
        <x:v>1</x:v>
      </x:c>
      <x:c r="D476" s="1" t="n">
        <x:v>8</x:v>
      </x:c>
      <x:c r="E476" s="1" t="n">
        <x:v>41</x:v>
      </x:c>
      <x:c r="F476" s="32" t="n">
        <x:v>47529</x:v>
      </x:c>
      <x:c r="G476" s="36" t="n">
        <x:v>14110000</x:v>
      </x:c>
      <x:c r="H476" s="36" t="n">
        <x:v>67492.83</x:v>
      </x:c>
      <x:c r="I476" s="36" t="n">
        <x:v>0</x:v>
      </x:c>
      <x:c r="J476" s="36" t="n">
        <x:v>0</x:v>
      </x:c>
      <x:c r="K476" s="36" t="n">
        <x:v>14110000</x:v>
      </x:c>
      <x:c r="L476" s="36" t="n">
        <x:v>0</x:v>
      </x:c>
      <x:c r="M476" s="38" t="n">
        <x:v>3.4195756331279945</x:v>
      </x:c>
      <x:c r="N476" s="36" t="n">
        <x:v>14110000</x:v>
      </x:c>
    </x:row>
    <x:row r="477" ht="20" customHeight="1">
      <x:c r="C477" s="1" t="n">
        <x:v>1</x:v>
      </x:c>
      <x:c r="D477" s="1" t="n">
        <x:v>8</x:v>
      </x:c>
      <x:c r="E477" s="1" t="n">
        <x:v>42</x:v>
      </x:c>
      <x:c r="F477" s="32" t="n">
        <x:v>47557</x:v>
      </x:c>
      <x:c r="G477" s="36" t="n">
        <x:v>14110000</x:v>
      </x:c>
      <x:c r="H477" s="36" t="n">
        <x:v>67492.83</x:v>
      </x:c>
      <x:c r="I477" s="36" t="n">
        <x:v>0</x:v>
      </x:c>
      <x:c r="J477" s="36" t="n">
        <x:v>0</x:v>
      </x:c>
      <x:c r="K477" s="36" t="n">
        <x:v>14110000</x:v>
      </x:c>
      <x:c r="L477" s="36" t="n">
        <x:v>0</x:v>
      </x:c>
      <x:c r="M477" s="38" t="n">
        <x:v>3.4962354551676933</x:v>
      </x:c>
      <x:c r="N477" s="36" t="n">
        <x:v>14110000</x:v>
      </x:c>
    </x:row>
    <x:row r="478" ht="20" customHeight="1">
      <x:c r="C478" s="1" t="n">
        <x:v>1</x:v>
      </x:c>
      <x:c r="D478" s="1" t="n">
        <x:v>8</x:v>
      </x:c>
      <x:c r="E478" s="1" t="n">
        <x:v>43</x:v>
      </x:c>
      <x:c r="F478" s="32" t="n">
        <x:v>47588</x:v>
      </x:c>
      <x:c r="G478" s="36" t="n">
        <x:v>14110000</x:v>
      </x:c>
      <x:c r="H478" s="36" t="n">
        <x:v>67492.83</x:v>
      </x:c>
      <x:c r="I478" s="36" t="n">
        <x:v>0</x:v>
      </x:c>
      <x:c r="J478" s="36" t="n">
        <x:v>0</x:v>
      </x:c>
      <x:c r="K478" s="36" t="n">
        <x:v>14110000</x:v>
      </x:c>
      <x:c r="L478" s="36" t="n">
        <x:v>0</x:v>
      </x:c>
      <x:c r="M478" s="38" t="n">
        <x:v>3.5811088295687883</x:v>
      </x:c>
      <x:c r="N478" s="36" t="n">
        <x:v>14110000</x:v>
      </x:c>
    </x:row>
    <x:row r="479" ht="20" customHeight="1">
      <x:c r="C479" s="1" t="n">
        <x:v>1</x:v>
      </x:c>
      <x:c r="D479" s="1" t="n">
        <x:v>8</x:v>
      </x:c>
      <x:c r="E479" s="1" t="n">
        <x:v>44</x:v>
      </x:c>
      <x:c r="F479" s="32" t="n">
        <x:v>47618</x:v>
      </x:c>
      <x:c r="G479" s="36" t="n">
        <x:v>14110000</x:v>
      </x:c>
      <x:c r="H479" s="36" t="n">
        <x:v>67492.83</x:v>
      </x:c>
      <x:c r="I479" s="36" t="n">
        <x:v>0</x:v>
      </x:c>
      <x:c r="J479" s="36" t="n">
        <x:v>0</x:v>
      </x:c>
      <x:c r="K479" s="36" t="n">
        <x:v>14110000</x:v>
      </x:c>
      <x:c r="L479" s="36" t="n">
        <x:v>0</x:v>
      </x:c>
      <x:c r="M479" s="38" t="n">
        <x:v>3.6632443531827517</x:v>
      </x:c>
      <x:c r="N479" s="36" t="n">
        <x:v>14110000</x:v>
      </x:c>
    </x:row>
    <x:row r="480" ht="20" customHeight="1">
      <x:c r="C480" s="1" t="n">
        <x:v>1</x:v>
      </x:c>
      <x:c r="D480" s="1" t="n">
        <x:v>8</x:v>
      </x:c>
      <x:c r="E480" s="1" t="n">
        <x:v>45</x:v>
      </x:c>
      <x:c r="F480" s="32" t="n">
        <x:v>47651</x:v>
      </x:c>
      <x:c r="G480" s="36" t="n">
        <x:v>14110000</x:v>
      </x:c>
      <x:c r="H480" s="36" t="n">
        <x:v>67492.83</x:v>
      </x:c>
      <x:c r="I480" s="36" t="n">
        <x:v>0</x:v>
      </x:c>
      <x:c r="J480" s="36" t="n">
        <x:v>0</x:v>
      </x:c>
      <x:c r="K480" s="36" t="n">
        <x:v>14110000</x:v>
      </x:c>
      <x:c r="L480" s="36" t="n">
        <x:v>0</x:v>
      </x:c>
      <x:c r="M480" s="38" t="n">
        <x:v>3.753593429158111</x:v>
      </x:c>
      <x:c r="N480" s="36" t="n">
        <x:v>14110000</x:v>
      </x:c>
    </x:row>
    <x:row r="481" ht="20" customHeight="1">
      <x:c r="C481" s="1" t="n">
        <x:v>1</x:v>
      </x:c>
      <x:c r="D481" s="1" t="n">
        <x:v>8</x:v>
      </x:c>
      <x:c r="E481" s="1" t="n">
        <x:v>46</x:v>
      </x:c>
      <x:c r="F481" s="32" t="n">
        <x:v>47679</x:v>
      </x:c>
      <x:c r="G481" s="36" t="n">
        <x:v>14110000</x:v>
      </x:c>
      <x:c r="H481" s="36" t="n">
        <x:v>67492.83</x:v>
      </x:c>
      <x:c r="I481" s="36" t="n">
        <x:v>532386.83</x:v>
      </x:c>
      <x:c r="J481" s="36" t="n">
        <x:v>0</x:v>
      </x:c>
      <x:c r="K481" s="36" t="n">
        <x:v>13577613.17</x:v>
      </x:c>
      <x:c r="L481" s="36" t="n">
        <x:v>0</x:v>
      </x:c>
      <x:c r="M481" s="38" t="n">
        <x:v>3.8302532511978096</x:v>
      </x:c>
      <x:c r="N481" s="36" t="n">
        <x:v>13577613.17</x:v>
      </x:c>
    </x:row>
    <x:row r="482" ht="20" customHeight="1">
      <x:c r="C482" s="1" t="n">
        <x:v>1</x:v>
      </x:c>
      <x:c r="D482" s="1" t="n">
        <x:v>8</x:v>
      </x:c>
      <x:c r="E482" s="1" t="n">
        <x:v>47</x:v>
      </x:c>
      <x:c r="F482" s="32" t="n">
        <x:v>47710</x:v>
      </x:c>
      <x:c r="G482" s="36" t="n">
        <x:v>13577613.17</x:v>
      </x:c>
      <x:c r="H482" s="36" t="n">
        <x:v>64946.25</x:v>
      </x:c>
      <x:c r="I482" s="36" t="n">
        <x:v>4920884.51</x:v>
      </x:c>
      <x:c r="J482" s="36" t="n">
        <x:v>0</x:v>
      </x:c>
      <x:c r="K482" s="36" t="n">
        <x:v>8656728.66</x:v>
      </x:c>
      <x:c r="L482" s="36" t="n">
        <x:v>0</x:v>
      </x:c>
      <x:c r="M482" s="38" t="n">
        <x:v>3.915126625598905</x:v>
      </x:c>
      <x:c r="N482" s="36" t="n">
        <x:v>8656728.66</x:v>
      </x:c>
    </x:row>
    <x:row r="483" ht="20" customHeight="1">
      <x:c r="C483" s="1" t="n">
        <x:v>1</x:v>
      </x:c>
      <x:c r="D483" s="1" t="n">
        <x:v>8</x:v>
      </x:c>
      <x:c r="E483" s="1" t="n">
        <x:v>48</x:v>
      </x:c>
      <x:c r="F483" s="32" t="n">
        <x:v>47742</x:v>
      </x:c>
      <x:c r="G483" s="36" t="n">
        <x:v>8656728.66</x:v>
      </x:c>
      <x:c r="H483" s="36" t="n">
        <x:v>41408.02</x:v>
      </x:c>
      <x:c r="I483" s="36" t="n">
        <x:v>4299316.25</x:v>
      </x:c>
      <x:c r="J483" s="36" t="n">
        <x:v>0</x:v>
      </x:c>
      <x:c r="K483" s="36" t="n">
        <x:v>4357412.41</x:v>
      </x:c>
      <x:c r="L483" s="36" t="n">
        <x:v>0</x:v>
      </x:c>
      <x:c r="M483" s="38" t="n">
        <x:v>4.002737850787132</x:v>
      </x:c>
      <x:c r="N483" s="36" t="n">
        <x:v>4357412.41</x:v>
      </x:c>
    </x:row>
    <x:row r="484" ht="20" customHeight="1">
      <x:c r="C484" s="1" t="n">
        <x:v>1</x:v>
      </x:c>
      <x:c r="D484" s="1" t="n">
        <x:v>8</x:v>
      </x:c>
      <x:c r="E484" s="1" t="n">
        <x:v>49</x:v>
      </x:c>
      <x:c r="F484" s="32" t="n">
        <x:v>47771</x:v>
      </x:c>
      <x:c r="G484" s="36" t="n">
        <x:v>4357412.41</x:v>
      </x:c>
      <x:c r="H484" s="36" t="n">
        <x:v>20842.96</x:v>
      </x:c>
      <x:c r="I484" s="36" t="n">
        <x:v>4357412.41</x:v>
      </x:c>
      <x:c r="J484" s="36" t="n">
        <x:v>0</x:v>
      </x:c>
      <x:c r="K484" s="36" t="n">
        <x:v>0</x:v>
      </x:c>
      <x:c r="L484" s="36" t="n">
        <x:v>0</x:v>
      </x:c>
      <x:c r="M484" s="38" t="n">
        <x:v>4.082135523613963</x:v>
      </x:c>
      <x:c r="N484" s="36" t="n">
        <x:v>0</x:v>
      </x:c>
    </x:row>
    <x:row r="485" ht="20" customHeight="1">
      <x:c r="C485" s="1" t="n">
        <x:v>1</x:v>
      </x:c>
      <x:c r="D485" s="1" t="n">
        <x:v>8</x:v>
      </x:c>
      <x:c r="E485" s="1" t="n">
        <x:v>50</x:v>
      </x:c>
      <x:c r="F485" s="32" t="n">
        <x:v>47802</x:v>
      </x:c>
      <x:c r="G485" s="36" t="n">
        <x:v>0</x:v>
      </x:c>
      <x:c r="H485" s="36" t="n">
        <x:v>0</x:v>
      </x:c>
      <x:c r="I485" s="36" t="n">
        <x:v>0</x:v>
      </x:c>
      <x:c r="J485" s="36" t="n">
        <x:v>0</x:v>
      </x:c>
      <x:c r="K485" s="36" t="n">
        <x:v>0</x:v>
      </x:c>
      <x:c r="L485" s="36" t="n">
        <x:v>0</x:v>
      </x:c>
      <x:c r="M485" s="38" t="n">
        <x:v>4.167008898015058</x:v>
      </x:c>
      <x:c r="N485" s="36" t="n">
        <x:v>0</x:v>
      </x:c>
    </x:row>
    <x:row r="486" ht="20" customHeight="1">
      <x:c r="C486" s="1" t="n">
        <x:v>1</x:v>
      </x:c>
      <x:c r="D486" s="1" t="n">
        <x:v>8</x:v>
      </x:c>
      <x:c r="E486" s="1" t="n">
        <x:v>51</x:v>
      </x:c>
      <x:c r="F486" s="32" t="n">
        <x:v>47833</x:v>
      </x:c>
      <x:c r="G486" s="36" t="n">
        <x:v>0</x:v>
      </x:c>
      <x:c r="H486" s="36" t="n">
        <x:v>0</x:v>
      </x:c>
      <x:c r="I486" s="36" t="n">
        <x:v>0</x:v>
      </x:c>
      <x:c r="J486" s="36" t="n">
        <x:v>0</x:v>
      </x:c>
      <x:c r="K486" s="36" t="n">
        <x:v>0</x:v>
      </x:c>
      <x:c r="L486" s="36" t="n">
        <x:v>0</x:v>
      </x:c>
      <x:c r="M486" s="38" t="n">
        <x:v>4.251882272416153</x:v>
      </x:c>
      <x:c r="N486" s="36" t="n">
        <x:v>0</x:v>
      </x:c>
    </x:row>
    <x:row r="487" ht="20" customHeight="1">
      <x:c r="C487" s="1" t="n">
        <x:v>1</x:v>
      </x:c>
      <x:c r="D487" s="1" t="n">
        <x:v>8</x:v>
      </x:c>
      <x:c r="E487" s="1" t="n">
        <x:v>52</x:v>
      </x:c>
      <x:c r="F487" s="32" t="n">
        <x:v>47863</x:v>
      </x:c>
      <x:c r="G487" s="36" t="n">
        <x:v>0</x:v>
      </x:c>
      <x:c r="H487" s="36" t="n">
        <x:v>0</x:v>
      </x:c>
      <x:c r="I487" s="36" t="n">
        <x:v>0</x:v>
      </x:c>
      <x:c r="J487" s="36" t="n">
        <x:v>0</x:v>
      </x:c>
      <x:c r="K487" s="36" t="n">
        <x:v>0</x:v>
      </x:c>
      <x:c r="L487" s="36" t="n">
        <x:v>0</x:v>
      </x:c>
      <x:c r="M487" s="38" t="n">
        <x:v>4.334017796030117</x:v>
      </x:c>
      <x:c r="N487" s="36" t="n">
        <x:v>0</x:v>
      </x:c>
    </x:row>
    <x:row r="488" ht="20" customHeight="1">
      <x:c r="C488" s="1" t="n">
        <x:v>1</x:v>
      </x:c>
      <x:c r="D488" s="1" t="n">
        <x:v>8</x:v>
      </x:c>
      <x:c r="E488" s="1" t="n">
        <x:v>53</x:v>
      </x:c>
      <x:c r="F488" s="32" t="n">
        <x:v>47897</x:v>
      </x:c>
      <x:c r="G488" s="36" t="n">
        <x:v>0</x:v>
      </x:c>
      <x:c r="H488" s="36" t="n">
        <x:v>0</x:v>
      </x:c>
      <x:c r="I488" s="36" t="n">
        <x:v>0</x:v>
      </x:c>
      <x:c r="J488" s="36" t="n">
        <x:v>0</x:v>
      </x:c>
      <x:c r="K488" s="36" t="n">
        <x:v>0</x:v>
      </x:c>
      <x:c r="L488" s="36" t="n">
        <x:v>0</x:v>
      </x:c>
      <x:c r="M488" s="38" t="n">
        <x:v>4.427104722792608</x:v>
      </x:c>
      <x:c r="N488" s="36" t="n">
        <x:v>0</x:v>
      </x:c>
    </x:row>
    <x:row r="489" ht="20" customHeight="1">
      <x:c r="C489" s="1" t="n">
        <x:v>1</x:v>
      </x:c>
      <x:c r="D489" s="1" t="n">
        <x:v>8</x:v>
      </x:c>
      <x:c r="E489" s="1" t="n">
        <x:v>54</x:v>
      </x:c>
      <x:c r="F489" s="32" t="n">
        <x:v>47924</x:v>
      </x:c>
      <x:c r="G489" s="36" t="n">
        <x:v>0</x:v>
      </x:c>
      <x:c r="H489" s="36" t="n">
        <x:v>0</x:v>
      </x:c>
      <x:c r="I489" s="36" t="n">
        <x:v>0</x:v>
      </x:c>
      <x:c r="J489" s="36" t="n">
        <x:v>0</x:v>
      </x:c>
      <x:c r="K489" s="36" t="n">
        <x:v>0</x:v>
      </x:c>
      <x:c r="L489" s="36" t="n">
        <x:v>0</x:v>
      </x:c>
      <x:c r="M489" s="38" t="n">
        <x:v>4.501026694045175</x:v>
      </x:c>
      <x:c r="N489" s="36" t="n">
        <x:v>0</x:v>
      </x:c>
    </x:row>
    <x:row r="490" ht="20" customHeight="1">
      <x:c r="C490" s="1" t="n">
        <x:v>1</x:v>
      </x:c>
      <x:c r="D490" s="1" t="n">
        <x:v>8</x:v>
      </x:c>
      <x:c r="E490" s="1" t="n">
        <x:v>55</x:v>
      </x:c>
      <x:c r="F490" s="32" t="n">
        <x:v>47953</x:v>
      </x:c>
      <x:c r="G490" s="36" t="n">
        <x:v>0</x:v>
      </x:c>
      <x:c r="H490" s="36" t="n">
        <x:v>0</x:v>
      </x:c>
      <x:c r="I490" s="36" t="n">
        <x:v>0</x:v>
      </x:c>
      <x:c r="J490" s="36" t="n">
        <x:v>0</x:v>
      </x:c>
      <x:c r="K490" s="36" t="n">
        <x:v>0</x:v>
      </x:c>
      <x:c r="L490" s="36" t="n">
        <x:v>0</x:v>
      </x:c>
      <x:c r="M490" s="38" t="n">
        <x:v>4.5804243668720055</x:v>
      </x:c>
      <x:c r="N490" s="36" t="n">
        <x:v>0</x:v>
      </x:c>
    </x:row>
    <x:row r="491" ht="20" customHeight="1">
      <x:c r="C491" s="1" t="n">
        <x:v>1</x:v>
      </x:c>
      <x:c r="D491" s="1" t="n">
        <x:v>8</x:v>
      </x:c>
      <x:c r="E491" s="1" t="n">
        <x:v>56</x:v>
      </x:c>
      <x:c r="F491" s="32" t="n">
        <x:v>47983</x:v>
      </x:c>
      <x:c r="G491" s="36" t="n">
        <x:v>0</x:v>
      </x:c>
      <x:c r="H491" s="36" t="n">
        <x:v>0</x:v>
      </x:c>
      <x:c r="I491" s="36" t="n">
        <x:v>0</x:v>
      </x:c>
      <x:c r="J491" s="36" t="n">
        <x:v>0</x:v>
      </x:c>
      <x:c r="K491" s="36" t="n">
        <x:v>0</x:v>
      </x:c>
      <x:c r="L491" s="36" t="n">
        <x:v>0</x:v>
      </x:c>
      <x:c r="M491" s="38" t="n">
        <x:v>4.662559890485968</x:v>
      </x:c>
      <x:c r="N491" s="36" t="n">
        <x:v>0</x:v>
      </x:c>
    </x:row>
    <x:row r="492" ht="20" customHeight="1">
      <x:c r="C492" s="1" t="n">
        <x:v>1</x:v>
      </x:c>
      <x:c r="D492" s="1" t="n">
        <x:v>8</x:v>
      </x:c>
      <x:c r="E492" s="1" t="n">
        <x:v>57</x:v>
      </x:c>
      <x:c r="F492" s="32" t="n">
        <x:v>48015</x:v>
      </x:c>
      <x:c r="G492" s="36" t="n">
        <x:v>0</x:v>
      </x:c>
      <x:c r="H492" s="36" t="n">
        <x:v>0</x:v>
      </x:c>
      <x:c r="I492" s="36" t="n">
        <x:v>0</x:v>
      </x:c>
      <x:c r="J492" s="36" t="n">
        <x:v>0</x:v>
      </x:c>
      <x:c r="K492" s="36" t="n">
        <x:v>0</x:v>
      </x:c>
      <x:c r="L492" s="36" t="n">
        <x:v>0</x:v>
      </x:c>
      <x:c r="M492" s="38" t="n">
        <x:v>4.7501711156741955</x:v>
      </x:c>
      <x:c r="N492" s="36" t="n">
        <x:v>0</x:v>
      </x:c>
    </x:row>
    <x:row r="493" ht="20" customHeight="1">
      <x:c r="C493" s="1" t="n">
        <x:v>1</x:v>
      </x:c>
      <x:c r="D493" s="1" t="n">
        <x:v>8</x:v>
      </x:c>
      <x:c r="E493" s="1" t="n">
        <x:v>58</x:v>
      </x:c>
      <x:c r="F493" s="32" t="n">
        <x:v>48044</x:v>
      </x:c>
      <x:c r="G493" s="36" t="n">
        <x:v>0</x:v>
      </x:c>
      <x:c r="H493" s="36" t="n">
        <x:v>0</x:v>
      </x:c>
      <x:c r="I493" s="36" t="n">
        <x:v>0</x:v>
      </x:c>
      <x:c r="J493" s="36" t="n">
        <x:v>0</x:v>
      </x:c>
      <x:c r="K493" s="36" t="n">
        <x:v>0</x:v>
      </x:c>
      <x:c r="L493" s="36" t="n">
        <x:v>0</x:v>
      </x:c>
      <x:c r="M493" s="38" t="n">
        <x:v>4.829568788501026</x:v>
      </x:c>
      <x:c r="N493" s="36" t="n">
        <x:v>0</x:v>
      </x:c>
    </x:row>
    <x:row r="494" ht="20" customHeight="1">
      <x:c r="C494" s="1" t="n">
        <x:v>1</x:v>
      </x:c>
      <x:c r="D494" s="1" t="n">
        <x:v>8</x:v>
      </x:c>
      <x:c r="E494" s="1" t="n">
        <x:v>59</x:v>
      </x:c>
      <x:c r="F494" s="32" t="n">
        <x:v>48075</x:v>
      </x:c>
      <x:c r="G494" s="36" t="n">
        <x:v>0</x:v>
      </x:c>
      <x:c r="H494" s="36" t="n">
        <x:v>0</x:v>
      </x:c>
      <x:c r="I494" s="36" t="n">
        <x:v>0</x:v>
      </x:c>
      <x:c r="J494" s="36" t="n">
        <x:v>0</x:v>
      </x:c>
      <x:c r="K494" s="36" t="n">
        <x:v>0</x:v>
      </x:c>
      <x:c r="L494" s="36" t="n">
        <x:v>0</x:v>
      </x:c>
      <x:c r="M494" s="38" t="n">
        <x:v>4.914442162902122</x:v>
      </x:c>
      <x:c r="N494" s="36" t="n">
        <x:v>0</x:v>
      </x:c>
    </x:row>
    <x:row r="495" ht="20" customHeight="1">
      <x:c r="C495" s="1" t="n">
        <x:v>1</x:v>
      </x:c>
      <x:c r="D495" s="1" t="n">
        <x:v>8</x:v>
      </x:c>
      <x:c r="E495" s="1" t="n">
        <x:v>60</x:v>
      </x:c>
      <x:c r="F495" s="32" t="n">
        <x:v>48106</x:v>
      </x:c>
      <x:c r="G495" s="36" t="n">
        <x:v>0</x:v>
      </x:c>
      <x:c r="H495" s="36" t="n">
        <x:v>0</x:v>
      </x:c>
      <x:c r="I495" s="36" t="n">
        <x:v>0</x:v>
      </x:c>
      <x:c r="J495" s="36" t="n">
        <x:v>0</x:v>
      </x:c>
      <x:c r="K495" s="36" t="n">
        <x:v>0</x:v>
      </x:c>
      <x:c r="L495" s="36" t="n">
        <x:v>0</x:v>
      </x:c>
      <x:c r="M495" s="38" t="n">
        <x:v>4.999315537303217</x:v>
      </x:c>
      <x:c r="N495" s="36" t="n">
        <x:v>0</x:v>
      </x:c>
    </x:row>
    <x:row r="496" ht="20" customHeight="1">
      <x:c r="C496" s="1" t="n">
        <x:v>1</x:v>
      </x:c>
      <x:c r="D496" s="1" t="n">
        <x:v>8</x:v>
      </x:c>
      <x:c r="E496" s="1" t="n">
        <x:v>61</x:v>
      </x:c>
      <x:c r="F496" s="32" t="n">
        <x:v>48136</x:v>
      </x:c>
      <x:c r="G496" s="36" t="n">
        <x:v>0</x:v>
      </x:c>
      <x:c r="H496" s="36" t="n">
        <x:v>0</x:v>
      </x:c>
      <x:c r="I496" s="36" t="n">
        <x:v>0</x:v>
      </x:c>
      <x:c r="J496" s="36" t="n">
        <x:v>0</x:v>
      </x:c>
      <x:c r="K496" s="36" t="n">
        <x:v>0</x:v>
      </x:c>
      <x:c r="L496" s="36" t="n">
        <x:v>0</x:v>
      </x:c>
      <x:c r="M496" s="38" t="n">
        <x:v>5.08145106091718</x:v>
      </x:c>
      <x:c r="N496" s="36" t="n">
        <x:v>0</x:v>
      </x:c>
    </x:row>
    <x:row r="497" ht="20" customHeight="1">
      <x:c r="C497" s="1" t="n">
        <x:v>2</x:v>
      </x:c>
      <x:c r="D497" s="1" t="n">
        <x:v>1</x:v>
      </x:c>
      <x:c r="E497" s="1" t="n">
        <x:v>1</x:v>
      </x:c>
      <x:c r="F497" s="32" t="n">
        <x:v>46310</x:v>
      </x:c>
      <x:c r="G497" s="36" t="n">
        <x:v>0</x:v>
      </x:c>
      <x:c r="H497" s="36" t="n">
        <x:v>0</x:v>
      </x:c>
      <x:c r="I497" s="36" t="n">
        <x:v>0</x:v>
      </x:c>
      <x:c r="J497" s="36" t="n">
        <x:v>0</x:v>
      </x:c>
      <x:c r="K497" s="36" t="n">
        <x:v>0</x:v>
      </x:c>
      <x:c r="L497" s="36" t="n">
        <x:v>0</x:v>
      </x:c>
      <x:c r="M497" s="38" t="n">
        <x:v>0.08213552361396304</x:v>
      </x:c>
      <x:c r="N497" s="36" t="n">
        <x:v>0</x:v>
      </x:c>
    </x:row>
    <x:row r="498" ht="20" customHeight="1">
      <x:c r="C498" s="1" t="n">
        <x:v>2</x:v>
      </x:c>
      <x:c r="D498" s="1" t="n">
        <x:v>1</x:v>
      </x:c>
      <x:c r="E498" s="1" t="n">
        <x:v>2</x:v>
      </x:c>
      <x:c r="F498" s="32" t="n">
        <x:v>46342</x:v>
      </x:c>
      <x:c r="G498" s="36" t="n">
        <x:v>0</x:v>
      </x:c>
      <x:c r="H498" s="36" t="n">
        <x:v>0</x:v>
      </x:c>
      <x:c r="I498" s="36" t="n">
        <x:v>0</x:v>
      </x:c>
      <x:c r="J498" s="36" t="n">
        <x:v>0</x:v>
      </x:c>
      <x:c r="K498" s="36" t="n">
        <x:v>0</x:v>
      </x:c>
      <x:c r="L498" s="36" t="n">
        <x:v>0</x:v>
      </x:c>
      <x:c r="M498" s="38" t="n">
        <x:v>0.1697467488021903</x:v>
      </x:c>
      <x:c r="N498" s="36" t="n">
        <x:v>0</x:v>
      </x:c>
    </x:row>
    <x:row r="499" ht="20" customHeight="1">
      <x:c r="C499" s="1" t="n">
        <x:v>2</x:v>
      </x:c>
      <x:c r="D499" s="1" t="n">
        <x:v>1</x:v>
      </x:c>
      <x:c r="E499" s="1" t="n">
        <x:v>3</x:v>
      </x:c>
      <x:c r="F499" s="32" t="n">
        <x:v>46371</x:v>
      </x:c>
      <x:c r="G499" s="36" t="n">
        <x:v>0</x:v>
      </x:c>
      <x:c r="H499" s="36" t="n">
        <x:v>0</x:v>
      </x:c>
      <x:c r="I499" s="36" t="n">
        <x:v>0</x:v>
      </x:c>
      <x:c r="J499" s="36" t="n">
        <x:v>0</x:v>
      </x:c>
      <x:c r="K499" s="36" t="n">
        <x:v>0</x:v>
      </x:c>
      <x:c r="L499" s="36" t="n">
        <x:v>0</x:v>
      </x:c>
      <x:c r="M499" s="38" t="n">
        <x:v>0.24914442162902123</x:v>
      </x:c>
      <x:c r="N499" s="36" t="n">
        <x:v>0</x:v>
      </x:c>
    </x:row>
    <x:row r="500" ht="20" customHeight="1">
      <x:c r="C500" s="1" t="n">
        <x:v>2</x:v>
      </x:c>
      <x:c r="D500" s="1" t="n">
        <x:v>1</x:v>
      </x:c>
      <x:c r="E500" s="1" t="n">
        <x:v>4</x:v>
      </x:c>
      <x:c r="F500" s="32" t="n">
        <x:v>46402</x:v>
      </x:c>
      <x:c r="G500" s="36" t="n">
        <x:v>0</x:v>
      </x:c>
      <x:c r="H500" s="36" t="n">
        <x:v>0</x:v>
      </x:c>
      <x:c r="I500" s="36" t="n">
        <x:v>0</x:v>
      </x:c>
      <x:c r="J500" s="36" t="n">
        <x:v>0</x:v>
      </x:c>
      <x:c r="K500" s="36" t="n">
        <x:v>0</x:v>
      </x:c>
      <x:c r="L500" s="36" t="n">
        <x:v>0</x:v>
      </x:c>
      <x:c r="M500" s="38" t="n">
        <x:v>0.33401779603011633</x:v>
      </x:c>
      <x:c r="N500" s="36" t="n">
        <x:v>0</x:v>
      </x:c>
    </x:row>
    <x:row r="501" ht="20" customHeight="1">
      <x:c r="C501" s="1" t="n">
        <x:v>2</x:v>
      </x:c>
      <x:c r="D501" s="1" t="n">
        <x:v>1</x:v>
      </x:c>
      <x:c r="E501" s="1" t="n">
        <x:v>5</x:v>
      </x:c>
      <x:c r="F501" s="32" t="n">
        <x:v>46434</x:v>
      </x:c>
      <x:c r="G501" s="36" t="n">
        <x:v>0</x:v>
      </x:c>
      <x:c r="H501" s="36" t="n">
        <x:v>0</x:v>
      </x:c>
      <x:c r="I501" s="36" t="n">
        <x:v>0</x:v>
      </x:c>
      <x:c r="J501" s="36" t="n">
        <x:v>0</x:v>
      </x:c>
      <x:c r="K501" s="36" t="n">
        <x:v>0</x:v>
      </x:c>
      <x:c r="L501" s="36" t="n">
        <x:v>0</x:v>
      </x:c>
      <x:c r="M501" s="38" t="n">
        <x:v>0.4216290212183436</x:v>
      </x:c>
      <x:c r="N501" s="36" t="n">
        <x:v>0</x:v>
      </x:c>
    </x:row>
    <x:row r="502" ht="20" customHeight="1">
      <x:c r="C502" s="1" t="n">
        <x:v>2</x:v>
      </x:c>
      <x:c r="D502" s="1" t="n">
        <x:v>1</x:v>
      </x:c>
      <x:c r="E502" s="1" t="n">
        <x:v>6</x:v>
      </x:c>
      <x:c r="F502" s="32" t="n">
        <x:v>46461</x:v>
      </x:c>
      <x:c r="G502" s="36" t="n">
        <x:v>0</x:v>
      </x:c>
      <x:c r="H502" s="36" t="n">
        <x:v>0</x:v>
      </x:c>
      <x:c r="I502" s="36" t="n">
        <x:v>0</x:v>
      </x:c>
      <x:c r="J502" s="36" t="n">
        <x:v>0</x:v>
      </x:c>
      <x:c r="K502" s="36" t="n">
        <x:v>0</x:v>
      </x:c>
      <x:c r="L502" s="36" t="n">
        <x:v>0</x:v>
      </x:c>
      <x:c r="M502" s="38" t="n">
        <x:v>0.49555099247091033</x:v>
      </x:c>
      <x:c r="N502" s="36" t="n">
        <x:v>0</x:v>
      </x:c>
    </x:row>
    <x:row r="503" ht="20" customHeight="1">
      <x:c r="C503" s="1" t="n">
        <x:v>2</x:v>
      </x:c>
      <x:c r="D503" s="1" t="n">
        <x:v>1</x:v>
      </x:c>
      <x:c r="E503" s="1" t="n">
        <x:v>7</x:v>
      </x:c>
      <x:c r="F503" s="32" t="n">
        <x:v>46492</x:v>
      </x:c>
      <x:c r="G503" s="36" t="n">
        <x:v>0</x:v>
      </x:c>
      <x:c r="H503" s="36" t="n">
        <x:v>0</x:v>
      </x:c>
      <x:c r="I503" s="36" t="n">
        <x:v>0</x:v>
      </x:c>
      <x:c r="J503" s="36" t="n">
        <x:v>0</x:v>
      </x:c>
      <x:c r="K503" s="36" t="n">
        <x:v>0</x:v>
      </x:c>
      <x:c r="L503" s="36" t="n">
        <x:v>0</x:v>
      </x:c>
      <x:c r="M503" s="38" t="n">
        <x:v>0.5804243668720055</x:v>
      </x:c>
      <x:c r="N503" s="36" t="n">
        <x:v>0</x:v>
      </x:c>
    </x:row>
    <x:row r="504" ht="20" customHeight="1">
      <x:c r="C504" s="1" t="n">
        <x:v>2</x:v>
      </x:c>
      <x:c r="D504" s="1" t="n">
        <x:v>1</x:v>
      </x:c>
      <x:c r="E504" s="1" t="n">
        <x:v>8</x:v>
      </x:c>
      <x:c r="F504" s="32" t="n">
        <x:v>46524</x:v>
      </x:c>
      <x:c r="G504" s="36" t="n">
        <x:v>0</x:v>
      </x:c>
      <x:c r="H504" s="36" t="n">
        <x:v>0</x:v>
      </x:c>
      <x:c r="I504" s="36" t="n">
        <x:v>0</x:v>
      </x:c>
      <x:c r="J504" s="36" t="n">
        <x:v>0</x:v>
      </x:c>
      <x:c r="K504" s="36" t="n">
        <x:v>0</x:v>
      </x:c>
      <x:c r="L504" s="36" t="n">
        <x:v>0</x:v>
      </x:c>
      <x:c r="M504" s="38" t="n">
        <x:v>0.6680355920602327</x:v>
      </x:c>
      <x:c r="N504" s="36" t="n">
        <x:v>0</x:v>
      </x:c>
    </x:row>
    <x:row r="505" ht="20" customHeight="1">
      <x:c r="C505" s="1" t="n">
        <x:v>2</x:v>
      </x:c>
      <x:c r="D505" s="1" t="n">
        <x:v>1</x:v>
      </x:c>
      <x:c r="E505" s="1" t="n">
        <x:v>9</x:v>
      </x:c>
      <x:c r="F505" s="32" t="n">
        <x:v>46553</x:v>
      </x:c>
      <x:c r="G505" s="36" t="n">
        <x:v>0</x:v>
      </x:c>
      <x:c r="H505" s="36" t="n">
        <x:v>0</x:v>
      </x:c>
      <x:c r="I505" s="36" t="n">
        <x:v>0</x:v>
      </x:c>
      <x:c r="J505" s="36" t="n">
        <x:v>0</x:v>
      </x:c>
      <x:c r="K505" s="36" t="n">
        <x:v>0</x:v>
      </x:c>
      <x:c r="L505" s="36" t="n">
        <x:v>0</x:v>
      </x:c>
      <x:c r="M505" s="38" t="n">
        <x:v>0.7474332648870636</x:v>
      </x:c>
      <x:c r="N505" s="36" t="n">
        <x:v>0</x:v>
      </x:c>
    </x:row>
    <x:row r="506" ht="20" customHeight="1">
      <x:c r="C506" s="1" t="n">
        <x:v>2</x:v>
      </x:c>
      <x:c r="D506" s="1" t="n">
        <x:v>1</x:v>
      </x:c>
      <x:c r="E506" s="1" t="n">
        <x:v>10</x:v>
      </x:c>
      <x:c r="F506" s="32" t="n">
        <x:v>46583</x:v>
      </x:c>
      <x:c r="G506" s="36" t="n">
        <x:v>0</x:v>
      </x:c>
      <x:c r="H506" s="36" t="n">
        <x:v>0</x:v>
      </x:c>
      <x:c r="I506" s="36" t="n">
        <x:v>0</x:v>
      </x:c>
      <x:c r="J506" s="36" t="n">
        <x:v>0</x:v>
      </x:c>
      <x:c r="K506" s="36" t="n">
        <x:v>0</x:v>
      </x:c>
      <x:c r="L506" s="36" t="n">
        <x:v>0</x:v>
      </x:c>
      <x:c r="M506" s="38" t="n">
        <x:v>0.8295687885010267</x:v>
      </x:c>
      <x:c r="N506" s="36" t="n">
        <x:v>0</x:v>
      </x:c>
    </x:row>
    <x:row r="507" ht="20" customHeight="1">
      <x:c r="C507" s="1" t="n">
        <x:v>2</x:v>
      </x:c>
      <x:c r="D507" s="1" t="n">
        <x:v>1</x:v>
      </x:c>
      <x:c r="E507" s="1" t="n">
        <x:v>11</x:v>
      </x:c>
      <x:c r="F507" s="32" t="n">
        <x:v>46615</x:v>
      </x:c>
      <x:c r="G507" s="36" t="n">
        <x:v>0</x:v>
      </x:c>
      <x:c r="H507" s="36" t="n">
        <x:v>0</x:v>
      </x:c>
      <x:c r="I507" s="36" t="n">
        <x:v>0</x:v>
      </x:c>
      <x:c r="J507" s="36" t="n">
        <x:v>0</x:v>
      </x:c>
      <x:c r="K507" s="36" t="n">
        <x:v>0</x:v>
      </x:c>
      <x:c r="L507" s="36" t="n">
        <x:v>0</x:v>
      </x:c>
      <x:c r="M507" s="38" t="n">
        <x:v>0.917180013689254</x:v>
      </x:c>
      <x:c r="N507" s="36" t="n">
        <x:v>0</x:v>
      </x:c>
    </x:row>
    <x:row r="508" ht="20" customHeight="1">
      <x:c r="C508" s="1" t="n">
        <x:v>2</x:v>
      </x:c>
      <x:c r="D508" s="1" t="n">
        <x:v>1</x:v>
      </x:c>
      <x:c r="E508" s="1" t="n">
        <x:v>12</x:v>
      </x:c>
      <x:c r="F508" s="32" t="n">
        <x:v>46645</x:v>
      </x:c>
      <x:c r="G508" s="36" t="n">
        <x:v>0</x:v>
      </x:c>
      <x:c r="H508" s="36" t="n">
        <x:v>0</x:v>
      </x:c>
      <x:c r="I508" s="36" t="n">
        <x:v>0</x:v>
      </x:c>
      <x:c r="J508" s="36" t="n">
        <x:v>0</x:v>
      </x:c>
      <x:c r="K508" s="36" t="n">
        <x:v>0</x:v>
      </x:c>
      <x:c r="L508" s="36" t="n">
        <x:v>0</x:v>
      </x:c>
      <x:c r="M508" s="38" t="n">
        <x:v>0.999315537303217</x:v>
      </x:c>
      <x:c r="N508" s="36" t="n">
        <x:v>0</x:v>
      </x:c>
    </x:row>
    <x:row r="509" ht="20" customHeight="1">
      <x:c r="C509" s="1" t="n">
        <x:v>2</x:v>
      </x:c>
      <x:c r="D509" s="1" t="n">
        <x:v>1</x:v>
      </x:c>
      <x:c r="E509" s="1" t="n">
        <x:v>13</x:v>
      </x:c>
      <x:c r="F509" s="32" t="n">
        <x:v>46675</x:v>
      </x:c>
      <x:c r="G509" s="36" t="n">
        <x:v>0</x:v>
      </x:c>
      <x:c r="H509" s="36" t="n">
        <x:v>0</x:v>
      </x:c>
      <x:c r="I509" s="36" t="n">
        <x:v>0</x:v>
      </x:c>
      <x:c r="J509" s="36" t="n">
        <x:v>0</x:v>
      </x:c>
      <x:c r="K509" s="36" t="n">
        <x:v>0</x:v>
      </x:c>
      <x:c r="L509" s="36" t="n">
        <x:v>0</x:v>
      </x:c>
      <x:c r="M509" s="38" t="n">
        <x:v>1.08145106091718</x:v>
      </x:c>
      <x:c r="N509" s="36" t="n">
        <x:v>0</x:v>
      </x:c>
    </x:row>
    <x:row r="510" ht="20" customHeight="1">
      <x:c r="C510" s="1" t="n">
        <x:v>2</x:v>
      </x:c>
      <x:c r="D510" s="1" t="n">
        <x:v>1</x:v>
      </x:c>
      <x:c r="E510" s="1" t="n">
        <x:v>14</x:v>
      </x:c>
      <x:c r="F510" s="32" t="n">
        <x:v>46706</x:v>
      </x:c>
      <x:c r="G510" s="36" t="n">
        <x:v>0</x:v>
      </x:c>
      <x:c r="H510" s="36" t="n">
        <x:v>0</x:v>
      </x:c>
      <x:c r="I510" s="36" t="n">
        <x:v>0</x:v>
      </x:c>
      <x:c r="J510" s="36" t="n">
        <x:v>0</x:v>
      </x:c>
      <x:c r="K510" s="36" t="n">
        <x:v>0</x:v>
      </x:c>
      <x:c r="L510" s="36" t="n">
        <x:v>0</x:v>
      </x:c>
      <x:c r="M510" s="38" t="n">
        <x:v>1.1663244353182751</x:v>
      </x:c>
      <x:c r="N510" s="36" t="n">
        <x:v>0</x:v>
      </x:c>
    </x:row>
    <x:row r="511" ht="20" customHeight="1">
      <x:c r="C511" s="1" t="n">
        <x:v>2</x:v>
      </x:c>
      <x:c r="D511" s="1" t="n">
        <x:v>1</x:v>
      </x:c>
      <x:c r="E511" s="1" t="n">
        <x:v>15</x:v>
      </x:c>
      <x:c r="F511" s="32" t="n">
        <x:v>46736</x:v>
      </x:c>
      <x:c r="G511" s="36" t="n">
        <x:v>0</x:v>
      </x:c>
      <x:c r="H511" s="36" t="n">
        <x:v>0</x:v>
      </x:c>
      <x:c r="I511" s="36" t="n">
        <x:v>0</x:v>
      </x:c>
      <x:c r="J511" s="36" t="n">
        <x:v>0</x:v>
      </x:c>
      <x:c r="K511" s="36" t="n">
        <x:v>0</x:v>
      </x:c>
      <x:c r="L511" s="36" t="n">
        <x:v>0</x:v>
      </x:c>
      <x:c r="M511" s="38" t="n">
        <x:v>1.2484599589322383</x:v>
      </x:c>
      <x:c r="N511" s="36" t="n">
        <x:v>0</x:v>
      </x:c>
    </x:row>
    <x:row r="512" ht="20" customHeight="1">
      <x:c r="C512" s="1" t="n">
        <x:v>2</x:v>
      </x:c>
      <x:c r="D512" s="1" t="n">
        <x:v>1</x:v>
      </x:c>
      <x:c r="E512" s="1" t="n">
        <x:v>16</x:v>
      </x:c>
      <x:c r="F512" s="32" t="n">
        <x:v>46770</x:v>
      </x:c>
      <x:c r="G512" s="36" t="n">
        <x:v>0</x:v>
      </x:c>
      <x:c r="H512" s="36" t="n">
        <x:v>0</x:v>
      </x:c>
      <x:c r="I512" s="36" t="n">
        <x:v>0</x:v>
      </x:c>
      <x:c r="J512" s="36" t="n">
        <x:v>0</x:v>
      </x:c>
      <x:c r="K512" s="36" t="n">
        <x:v>0</x:v>
      </x:c>
      <x:c r="L512" s="36" t="n">
        <x:v>0</x:v>
      </x:c>
      <x:c r="M512" s="38" t="n">
        <x:v>1.3415468856947297</x:v>
      </x:c>
      <x:c r="N512" s="36" t="n">
        <x:v>0</x:v>
      </x:c>
    </x:row>
    <x:row r="513" ht="20" customHeight="1">
      <x:c r="C513" s="1" t="n">
        <x:v>2</x:v>
      </x:c>
      <x:c r="D513" s="1" t="n">
        <x:v>1</x:v>
      </x:c>
      <x:c r="E513" s="1" t="n">
        <x:v>17</x:v>
      </x:c>
      <x:c r="F513" s="32" t="n">
        <x:v>46798</x:v>
      </x:c>
      <x:c r="G513" s="36" t="n">
        <x:v>0</x:v>
      </x:c>
      <x:c r="H513" s="36" t="n">
        <x:v>0</x:v>
      </x:c>
      <x:c r="I513" s="36" t="n">
        <x:v>0</x:v>
      </x:c>
      <x:c r="J513" s="36" t="n">
        <x:v>0</x:v>
      </x:c>
      <x:c r="K513" s="36" t="n">
        <x:v>0</x:v>
      </x:c>
      <x:c r="L513" s="36" t="n">
        <x:v>0</x:v>
      </x:c>
      <x:c r="M513" s="38" t="n">
        <x:v>1.4182067077344285</x:v>
      </x:c>
      <x:c r="N513" s="36" t="n">
        <x:v>0</x:v>
      </x:c>
    </x:row>
    <x:row r="514" ht="20" customHeight="1">
      <x:c r="C514" s="1" t="n">
        <x:v>2</x:v>
      </x:c>
      <x:c r="D514" s="1" t="n">
        <x:v>1</x:v>
      </x:c>
      <x:c r="E514" s="1" t="n">
        <x:v>18</x:v>
      </x:c>
      <x:c r="F514" s="32" t="n">
        <x:v>46827</x:v>
      </x:c>
      <x:c r="G514" s="36" t="n">
        <x:v>0</x:v>
      </x:c>
      <x:c r="H514" s="36" t="n">
        <x:v>0</x:v>
      </x:c>
      <x:c r="I514" s="36" t="n">
        <x:v>0</x:v>
      </x:c>
      <x:c r="J514" s="36" t="n">
        <x:v>0</x:v>
      </x:c>
      <x:c r="K514" s="36" t="n">
        <x:v>0</x:v>
      </x:c>
      <x:c r="L514" s="36" t="n">
        <x:v>0</x:v>
      </x:c>
      <x:c r="M514" s="38" t="n">
        <x:v>1.4976043805612593</x:v>
      </x:c>
      <x:c r="N514" s="36" t="n">
        <x:v>0</x:v>
      </x:c>
    </x:row>
    <x:row r="515" ht="20" customHeight="1">
      <x:c r="C515" s="1" t="n">
        <x:v>2</x:v>
      </x:c>
      <x:c r="D515" s="1" t="n">
        <x:v>1</x:v>
      </x:c>
      <x:c r="E515" s="1" t="n">
        <x:v>19</x:v>
      </x:c>
      <x:c r="F515" s="32" t="n">
        <x:v>46860</x:v>
      </x:c>
      <x:c r="G515" s="36" t="n">
        <x:v>0</x:v>
      </x:c>
      <x:c r="H515" s="36" t="n">
        <x:v>0</x:v>
      </x:c>
      <x:c r="I515" s="36" t="n">
        <x:v>0</x:v>
      </x:c>
      <x:c r="J515" s="36" t="n">
        <x:v>0</x:v>
      </x:c>
      <x:c r="K515" s="36" t="n">
        <x:v>0</x:v>
      </x:c>
      <x:c r="L515" s="36" t="n">
        <x:v>0</x:v>
      </x:c>
      <x:c r="M515" s="38" t="n">
        <x:v>1.5879534565366187</x:v>
      </x:c>
      <x:c r="N515" s="36" t="n">
        <x:v>0</x:v>
      </x:c>
    </x:row>
    <x:row r="516" ht="20" customHeight="1">
      <x:c r="C516" s="1" t="n">
        <x:v>2</x:v>
      </x:c>
      <x:c r="D516" s="1" t="n">
        <x:v>1</x:v>
      </x:c>
      <x:c r="E516" s="1" t="n">
        <x:v>20</x:v>
      </x:c>
      <x:c r="F516" s="32" t="n">
        <x:v>46888</x:v>
      </x:c>
      <x:c r="G516" s="36" t="n">
        <x:v>0</x:v>
      </x:c>
      <x:c r="H516" s="36" t="n">
        <x:v>0</x:v>
      </x:c>
      <x:c r="I516" s="36" t="n">
        <x:v>0</x:v>
      </x:c>
      <x:c r="J516" s="36" t="n">
        <x:v>0</x:v>
      </x:c>
      <x:c r="K516" s="36" t="n">
        <x:v>0</x:v>
      </x:c>
      <x:c r="L516" s="36" t="n">
        <x:v>0</x:v>
      </x:c>
      <x:c r="M516" s="38" t="n">
        <x:v>1.6646132785763177</x:v>
      </x:c>
      <x:c r="N516" s="36" t="n">
        <x:v>0</x:v>
      </x:c>
    </x:row>
    <x:row r="517" ht="20" customHeight="1">
      <x:c r="C517" s="1" t="n">
        <x:v>2</x:v>
      </x:c>
      <x:c r="D517" s="1" t="n">
        <x:v>1</x:v>
      </x:c>
      <x:c r="E517" s="1" t="n">
        <x:v>21</x:v>
      </x:c>
      <x:c r="F517" s="32" t="n">
        <x:v>46919</x:v>
      </x:c>
      <x:c r="G517" s="36" t="n">
        <x:v>0</x:v>
      </x:c>
      <x:c r="H517" s="36" t="n">
        <x:v>0</x:v>
      </x:c>
      <x:c r="I517" s="36" t="n">
        <x:v>0</x:v>
      </x:c>
      <x:c r="J517" s="36" t="n">
        <x:v>0</x:v>
      </x:c>
      <x:c r="K517" s="36" t="n">
        <x:v>0</x:v>
      </x:c>
      <x:c r="L517" s="36" t="n">
        <x:v>0</x:v>
      </x:c>
      <x:c r="M517" s="38" t="n">
        <x:v>1.7494866529774127</x:v>
      </x:c>
      <x:c r="N517" s="36" t="n">
        <x:v>0</x:v>
      </x:c>
    </x:row>
    <x:row r="518" ht="20" customHeight="1">
      <x:c r="C518" s="1" t="n">
        <x:v>2</x:v>
      </x:c>
      <x:c r="D518" s="1" t="n">
        <x:v>1</x:v>
      </x:c>
      <x:c r="E518" s="1" t="n">
        <x:v>22</x:v>
      </x:c>
      <x:c r="F518" s="32" t="n">
        <x:v>46951</x:v>
      </x:c>
      <x:c r="G518" s="36" t="n">
        <x:v>0</x:v>
      </x:c>
      <x:c r="H518" s="36" t="n">
        <x:v>0</x:v>
      </x:c>
      <x:c r="I518" s="36" t="n">
        <x:v>0</x:v>
      </x:c>
      <x:c r="J518" s="36" t="n">
        <x:v>0</x:v>
      </x:c>
      <x:c r="K518" s="36" t="n">
        <x:v>0</x:v>
      </x:c>
      <x:c r="L518" s="36" t="n">
        <x:v>0</x:v>
      </x:c>
      <x:c r="M518" s="38" t="n">
        <x:v>1.83709787816564</x:v>
      </x:c>
      <x:c r="N518" s="36" t="n">
        <x:v>0</x:v>
      </x:c>
    </x:row>
    <x:row r="519" ht="20" customHeight="1">
      <x:c r="C519" s="1" t="n">
        <x:v>2</x:v>
      </x:c>
      <x:c r="D519" s="1" t="n">
        <x:v>1</x:v>
      </x:c>
      <x:c r="E519" s="1" t="n">
        <x:v>23</x:v>
      </x:c>
      <x:c r="F519" s="32" t="n">
        <x:v>46980</x:v>
      </x:c>
      <x:c r="G519" s="36" t="n">
        <x:v>0</x:v>
      </x:c>
      <x:c r="H519" s="36" t="n">
        <x:v>0</x:v>
      </x:c>
      <x:c r="I519" s="36" t="n">
        <x:v>0</x:v>
      </x:c>
      <x:c r="J519" s="36" t="n">
        <x:v>0</x:v>
      </x:c>
      <x:c r="K519" s="36" t="n">
        <x:v>0</x:v>
      </x:c>
      <x:c r="L519" s="36" t="n">
        <x:v>0</x:v>
      </x:c>
      <x:c r="M519" s="38" t="n">
        <x:v>1.9164955509924708</x:v>
      </x:c>
      <x:c r="N519" s="36" t="n">
        <x:v>0</x:v>
      </x:c>
    </x:row>
    <x:row r="520" ht="20" customHeight="1">
      <x:c r="C520" s="1" t="n">
        <x:v>2</x:v>
      </x:c>
      <x:c r="D520" s="1" t="n">
        <x:v>1</x:v>
      </x:c>
      <x:c r="E520" s="1" t="n">
        <x:v>24</x:v>
      </x:c>
      <x:c r="F520" s="32" t="n">
        <x:v>47011</x:v>
      </x:c>
      <x:c r="G520" s="36" t="n">
        <x:v>0</x:v>
      </x:c>
      <x:c r="H520" s="36" t="n">
        <x:v>0</x:v>
      </x:c>
      <x:c r="I520" s="36" t="n">
        <x:v>0</x:v>
      </x:c>
      <x:c r="J520" s="36" t="n">
        <x:v>0</x:v>
      </x:c>
      <x:c r="K520" s="36" t="n">
        <x:v>0</x:v>
      </x:c>
      <x:c r="L520" s="36" t="n">
        <x:v>0</x:v>
      </x:c>
      <x:c r="M520" s="38" t="n">
        <x:v>2.001368925393566</x:v>
      </x:c>
      <x:c r="N520" s="36" t="n">
        <x:v>0</x:v>
      </x:c>
    </x:row>
    <x:row r="521" ht="20" customHeight="1">
      <x:c r="C521" s="1" t="n">
        <x:v>2</x:v>
      </x:c>
      <x:c r="D521" s="1" t="n">
        <x:v>1</x:v>
      </x:c>
      <x:c r="E521" s="1" t="n">
        <x:v>25</x:v>
      </x:c>
      <x:c r="F521" s="32" t="n">
        <x:v>47042</x:v>
      </x:c>
      <x:c r="G521" s="36" t="n">
        <x:v>0</x:v>
      </x:c>
      <x:c r="H521" s="36" t="n">
        <x:v>0</x:v>
      </x:c>
      <x:c r="I521" s="36" t="n">
        <x:v>0</x:v>
      </x:c>
      <x:c r="J521" s="36" t="n">
        <x:v>0</x:v>
      </x:c>
      <x:c r="K521" s="36" t="n">
        <x:v>0</x:v>
      </x:c>
      <x:c r="L521" s="36" t="n">
        <x:v>0</x:v>
      </x:c>
      <x:c r="M521" s="38" t="n">
        <x:v>2.086242299794661</x:v>
      </x:c>
      <x:c r="N521" s="36" t="n">
        <x:v>0</x:v>
      </x:c>
    </x:row>
    <x:row r="522" ht="20" customHeight="1">
      <x:c r="C522" s="1" t="n">
        <x:v>2</x:v>
      </x:c>
      <x:c r="D522" s="1" t="n">
        <x:v>1</x:v>
      </x:c>
      <x:c r="E522" s="1" t="n">
        <x:v>26</x:v>
      </x:c>
      <x:c r="F522" s="32" t="n">
        <x:v>47072</x:v>
      </x:c>
      <x:c r="G522" s="36" t="n">
        <x:v>0</x:v>
      </x:c>
      <x:c r="H522" s="36" t="n">
        <x:v>0</x:v>
      </x:c>
      <x:c r="I522" s="36" t="n">
        <x:v>0</x:v>
      </x:c>
      <x:c r="J522" s="36" t="n">
        <x:v>0</x:v>
      </x:c>
      <x:c r="K522" s="36" t="n">
        <x:v>0</x:v>
      </x:c>
      <x:c r="L522" s="36" t="n">
        <x:v>0</x:v>
      </x:c>
      <x:c r="M522" s="38" t="n">
        <x:v>2.1683778234086244</x:v>
      </x:c>
      <x:c r="N522" s="36" t="n">
        <x:v>0</x:v>
      </x:c>
    </x:row>
    <x:row r="523" ht="20" customHeight="1">
      <x:c r="C523" s="1" t="n">
        <x:v>2</x:v>
      </x:c>
      <x:c r="D523" s="1" t="n">
        <x:v>1</x:v>
      </x:c>
      <x:c r="E523" s="1" t="n">
        <x:v>27</x:v>
      </x:c>
      <x:c r="F523" s="32" t="n">
        <x:v>47102</x:v>
      </x:c>
      <x:c r="G523" s="36" t="n">
        <x:v>0</x:v>
      </x:c>
      <x:c r="H523" s="36" t="n">
        <x:v>0</x:v>
      </x:c>
      <x:c r="I523" s="36" t="n">
        <x:v>0</x:v>
      </x:c>
      <x:c r="J523" s="36" t="n">
        <x:v>0</x:v>
      </x:c>
      <x:c r="K523" s="36" t="n">
        <x:v>0</x:v>
      </x:c>
      <x:c r="L523" s="36" t="n">
        <x:v>0</x:v>
      </x:c>
      <x:c r="M523" s="38" t="n">
        <x:v>2.2505133470225873</x:v>
      </x:c>
      <x:c r="N523" s="36" t="n">
        <x:v>0</x:v>
      </x:c>
    </x:row>
    <x:row r="524" ht="20" customHeight="1">
      <x:c r="C524" s="1" t="n">
        <x:v>2</x:v>
      </x:c>
      <x:c r="D524" s="1" t="n">
        <x:v>1</x:v>
      </x:c>
      <x:c r="E524" s="1" t="n">
        <x:v>28</x:v>
      </x:c>
      <x:c r="F524" s="32" t="n">
        <x:v>47134</x:v>
      </x:c>
      <x:c r="G524" s="36" t="n">
        <x:v>0</x:v>
      </x:c>
      <x:c r="H524" s="36" t="n">
        <x:v>0</x:v>
      </x:c>
      <x:c r="I524" s="36" t="n">
        <x:v>0</x:v>
      </x:c>
      <x:c r="J524" s="36" t="n">
        <x:v>0</x:v>
      </x:c>
      <x:c r="K524" s="36" t="n">
        <x:v>0</x:v>
      </x:c>
      <x:c r="L524" s="36" t="n">
        <x:v>0</x:v>
      </x:c>
      <x:c r="M524" s="38" t="n">
        <x:v>2.3381245722108144</x:v>
      </x:c>
      <x:c r="N524" s="36" t="n">
        <x:v>0</x:v>
      </x:c>
    </x:row>
    <x:row r="525" ht="20" customHeight="1">
      <x:c r="C525" s="1" t="n">
        <x:v>2</x:v>
      </x:c>
      <x:c r="D525" s="1" t="n">
        <x:v>1</x:v>
      </x:c>
      <x:c r="E525" s="1" t="n">
        <x:v>29</x:v>
      </x:c>
      <x:c r="F525" s="32" t="n">
        <x:v>47164</x:v>
      </x:c>
      <x:c r="G525" s="36" t="n">
        <x:v>0</x:v>
      </x:c>
      <x:c r="H525" s="36" t="n">
        <x:v>0</x:v>
      </x:c>
      <x:c r="I525" s="36" t="n">
        <x:v>0</x:v>
      </x:c>
      <x:c r="J525" s="36" t="n">
        <x:v>0</x:v>
      </x:c>
      <x:c r="K525" s="36" t="n">
        <x:v>0</x:v>
      </x:c>
      <x:c r="L525" s="36" t="n">
        <x:v>0</x:v>
      </x:c>
      <x:c r="M525" s="38" t="n">
        <x:v>2.4202600958247777</x:v>
      </x:c>
      <x:c r="N525" s="36" t="n">
        <x:v>0</x:v>
      </x:c>
    </x:row>
    <x:row r="526" ht="20" customHeight="1">
      <x:c r="C526" s="1" t="n">
        <x:v>2</x:v>
      </x:c>
      <x:c r="D526" s="1" t="n">
        <x:v>1</x:v>
      </x:c>
      <x:c r="E526" s="1" t="n">
        <x:v>30</x:v>
      </x:c>
      <x:c r="F526" s="32" t="n">
        <x:v>47192</x:v>
      </x:c>
      <x:c r="G526" s="36" t="n">
        <x:v>0</x:v>
      </x:c>
      <x:c r="H526" s="36" t="n">
        <x:v>0</x:v>
      </x:c>
      <x:c r="I526" s="36" t="n">
        <x:v>0</x:v>
      </x:c>
      <x:c r="J526" s="36" t="n">
        <x:v>0</x:v>
      </x:c>
      <x:c r="K526" s="36" t="n">
        <x:v>0</x:v>
      </x:c>
      <x:c r="L526" s="36" t="n">
        <x:v>0</x:v>
      </x:c>
      <x:c r="M526" s="38" t="n">
        <x:v>2.4969199178644765</x:v>
      </x:c>
      <x:c r="N526" s="36" t="n">
        <x:v>0</x:v>
      </x:c>
    </x:row>
    <x:row r="527" ht="20" customHeight="1">
      <x:c r="C527" s="1" t="n">
        <x:v>2</x:v>
      </x:c>
      <x:c r="D527" s="1" t="n">
        <x:v>1</x:v>
      </x:c>
      <x:c r="E527" s="1" t="n">
        <x:v>31</x:v>
      </x:c>
      <x:c r="F527" s="32" t="n">
        <x:v>47224</x:v>
      </x:c>
      <x:c r="G527" s="36" t="n">
        <x:v>0</x:v>
      </x:c>
      <x:c r="H527" s="36" t="n">
        <x:v>0</x:v>
      </x:c>
      <x:c r="I527" s="36" t="n">
        <x:v>0</x:v>
      </x:c>
      <x:c r="J527" s="36" t="n">
        <x:v>0</x:v>
      </x:c>
      <x:c r="K527" s="36" t="n">
        <x:v>0</x:v>
      </x:c>
      <x:c r="L527" s="36" t="n">
        <x:v>0</x:v>
      </x:c>
      <x:c r="M527" s="38" t="n">
        <x:v>2.5845311430527036</x:v>
      </x:c>
      <x:c r="N527" s="36" t="n">
        <x:v>0</x:v>
      </x:c>
    </x:row>
    <x:row r="528" ht="20" customHeight="1">
      <x:c r="C528" s="1" t="n">
        <x:v>2</x:v>
      </x:c>
      <x:c r="D528" s="1" t="n">
        <x:v>1</x:v>
      </x:c>
      <x:c r="E528" s="1" t="n">
        <x:v>32</x:v>
      </x:c>
      <x:c r="F528" s="32" t="n">
        <x:v>47253</x:v>
      </x:c>
      <x:c r="G528" s="36" t="n">
        <x:v>0</x:v>
      </x:c>
      <x:c r="H528" s="36" t="n">
        <x:v>0</x:v>
      </x:c>
      <x:c r="I528" s="36" t="n">
        <x:v>0</x:v>
      </x:c>
      <x:c r="J528" s="36" t="n">
        <x:v>0</x:v>
      </x:c>
      <x:c r="K528" s="36" t="n">
        <x:v>0</x:v>
      </x:c>
      <x:c r="L528" s="36" t="n">
        <x:v>0</x:v>
      </x:c>
      <x:c r="M528" s="38" t="n">
        <x:v>2.6639288158795345</x:v>
      </x:c>
      <x:c r="N528" s="36" t="n">
        <x:v>0</x:v>
      </x:c>
    </x:row>
    <x:row r="529" ht="20" customHeight="1">
      <x:c r="C529" s="1" t="n">
        <x:v>2</x:v>
      </x:c>
      <x:c r="D529" s="1" t="n">
        <x:v>1</x:v>
      </x:c>
      <x:c r="E529" s="1" t="n">
        <x:v>33</x:v>
      </x:c>
      <x:c r="F529" s="32" t="n">
        <x:v>47284</x:v>
      </x:c>
      <x:c r="G529" s="36" t="n">
        <x:v>0</x:v>
      </x:c>
      <x:c r="H529" s="36" t="n">
        <x:v>0</x:v>
      </x:c>
      <x:c r="I529" s="36" t="n">
        <x:v>0</x:v>
      </x:c>
      <x:c r="J529" s="36" t="n">
        <x:v>0</x:v>
      </x:c>
      <x:c r="K529" s="36" t="n">
        <x:v>0</x:v>
      </x:c>
      <x:c r="L529" s="36" t="n">
        <x:v>0</x:v>
      </x:c>
      <x:c r="M529" s="38" t="n">
        <x:v>2.74880219028063</x:v>
      </x:c>
      <x:c r="N529" s="36" t="n">
        <x:v>0</x:v>
      </x:c>
    </x:row>
    <x:row r="530" ht="20" customHeight="1">
      <x:c r="C530" s="1" t="n">
        <x:v>2</x:v>
      </x:c>
      <x:c r="D530" s="1" t="n">
        <x:v>1</x:v>
      </x:c>
      <x:c r="E530" s="1" t="n">
        <x:v>34</x:v>
      </x:c>
      <x:c r="F530" s="32" t="n">
        <x:v>47315</x:v>
      </x:c>
      <x:c r="G530" s="36" t="n">
        <x:v>0</x:v>
      </x:c>
      <x:c r="H530" s="36" t="n">
        <x:v>0</x:v>
      </x:c>
      <x:c r="I530" s="36" t="n">
        <x:v>0</x:v>
      </x:c>
      <x:c r="J530" s="36" t="n">
        <x:v>0</x:v>
      </x:c>
      <x:c r="K530" s="36" t="n">
        <x:v>0</x:v>
      </x:c>
      <x:c r="L530" s="36" t="n">
        <x:v>0</x:v>
      </x:c>
      <x:c r="M530" s="38" t="n">
        <x:v>2.833675564681725</x:v>
      </x:c>
      <x:c r="N530" s="36" t="n">
        <x:v>0</x:v>
      </x:c>
    </x:row>
    <x:row r="531" ht="20" customHeight="1">
      <x:c r="C531" s="1" t="n">
        <x:v>2</x:v>
      </x:c>
      <x:c r="D531" s="1" t="n">
        <x:v>1</x:v>
      </x:c>
      <x:c r="E531" s="1" t="n">
        <x:v>35</x:v>
      </x:c>
      <x:c r="F531" s="32" t="n">
        <x:v>47345</x:v>
      </x:c>
      <x:c r="G531" s="36" t="n">
        <x:v>0</x:v>
      </x:c>
      <x:c r="H531" s="36" t="n">
        <x:v>0</x:v>
      </x:c>
      <x:c r="I531" s="36" t="n">
        <x:v>0</x:v>
      </x:c>
      <x:c r="J531" s="36" t="n">
        <x:v>0</x:v>
      </x:c>
      <x:c r="K531" s="36" t="n">
        <x:v>0</x:v>
      </x:c>
      <x:c r="L531" s="36" t="n">
        <x:v>0</x:v>
      </x:c>
      <x:c r="M531" s="38" t="n">
        <x:v>2.915811088295688</x:v>
      </x:c>
      <x:c r="N531" s="36" t="n">
        <x:v>0</x:v>
      </x:c>
    </x:row>
    <x:row r="532" ht="20" customHeight="1">
      <x:c r="C532" s="1" t="n">
        <x:v>2</x:v>
      </x:c>
      <x:c r="D532" s="1" t="n">
        <x:v>1</x:v>
      </x:c>
      <x:c r="E532" s="1" t="n">
        <x:v>36</x:v>
      </x:c>
      <x:c r="F532" s="32" t="n">
        <x:v>47378</x:v>
      </x:c>
      <x:c r="G532" s="36" t="n">
        <x:v>0</x:v>
      </x:c>
      <x:c r="H532" s="36" t="n">
        <x:v>0</x:v>
      </x:c>
      <x:c r="I532" s="36" t="n">
        <x:v>0</x:v>
      </x:c>
      <x:c r="J532" s="36" t="n">
        <x:v>0</x:v>
      </x:c>
      <x:c r="K532" s="36" t="n">
        <x:v>0</x:v>
      </x:c>
      <x:c r="L532" s="36" t="n">
        <x:v>0</x:v>
      </x:c>
      <x:c r="M532" s="38" t="n">
        <x:v>3.0061601642710474</x:v>
      </x:c>
      <x:c r="N532" s="36" t="n">
        <x:v>0</x:v>
      </x:c>
    </x:row>
    <x:row r="533" ht="20" customHeight="1">
      <x:c r="C533" s="1" t="n">
        <x:v>2</x:v>
      </x:c>
      <x:c r="D533" s="1" t="n">
        <x:v>1</x:v>
      </x:c>
      <x:c r="E533" s="1" t="n">
        <x:v>37</x:v>
      </x:c>
      <x:c r="F533" s="32" t="n">
        <x:v>47406</x:v>
      </x:c>
      <x:c r="G533" s="36" t="n">
        <x:v>0</x:v>
      </x:c>
      <x:c r="H533" s="36" t="n">
        <x:v>0</x:v>
      </x:c>
      <x:c r="I533" s="36" t="n">
        <x:v>0</x:v>
      </x:c>
      <x:c r="J533" s="36" t="n">
        <x:v>0</x:v>
      </x:c>
      <x:c r="K533" s="36" t="n">
        <x:v>0</x:v>
      </x:c>
      <x:c r="L533" s="36" t="n">
        <x:v>0</x:v>
      </x:c>
      <x:c r="M533" s="38" t="n">
        <x:v>3.082819986310746</x:v>
      </x:c>
      <x:c r="N533" s="36" t="n">
        <x:v>0</x:v>
      </x:c>
    </x:row>
    <x:row r="534" ht="20" customHeight="1">
      <x:c r="C534" s="1" t="n">
        <x:v>2</x:v>
      </x:c>
      <x:c r="D534" s="1" t="n">
        <x:v>1</x:v>
      </x:c>
      <x:c r="E534" s="1" t="n">
        <x:v>38</x:v>
      </x:c>
      <x:c r="F534" s="32" t="n">
        <x:v>47437</x:v>
      </x:c>
      <x:c r="G534" s="36" t="n">
        <x:v>0</x:v>
      </x:c>
      <x:c r="H534" s="36" t="n">
        <x:v>0</x:v>
      </x:c>
      <x:c r="I534" s="36" t="n">
        <x:v>0</x:v>
      </x:c>
      <x:c r="J534" s="36" t="n">
        <x:v>0</x:v>
      </x:c>
      <x:c r="K534" s="36" t="n">
        <x:v>0</x:v>
      </x:c>
      <x:c r="L534" s="36" t="n">
        <x:v>0</x:v>
      </x:c>
      <x:c r="M534" s="38" t="n">
        <x:v>3.167693360711841</x:v>
      </x:c>
      <x:c r="N534" s="36" t="n">
        <x:v>0</x:v>
      </x:c>
    </x:row>
    <x:row r="535" ht="20" customHeight="1">
      <x:c r="C535" s="1" t="n">
        <x:v>2</x:v>
      </x:c>
      <x:c r="D535" s="1" t="n">
        <x:v>1</x:v>
      </x:c>
      <x:c r="E535" s="1" t="n">
        <x:v>39</x:v>
      </x:c>
      <x:c r="F535" s="32" t="n">
        <x:v>47469</x:v>
      </x:c>
      <x:c r="G535" s="36" t="n">
        <x:v>0</x:v>
      </x:c>
      <x:c r="H535" s="36" t="n">
        <x:v>0</x:v>
      </x:c>
      <x:c r="I535" s="36" t="n">
        <x:v>0</x:v>
      </x:c>
      <x:c r="J535" s="36" t="n">
        <x:v>0</x:v>
      </x:c>
      <x:c r="K535" s="36" t="n">
        <x:v>0</x:v>
      </x:c>
      <x:c r="L535" s="36" t="n">
        <x:v>0</x:v>
      </x:c>
      <x:c r="M535" s="38" t="n">
        <x:v>3.2553045859000687</x:v>
      </x:c>
      <x:c r="N535" s="36" t="n">
        <x:v>0</x:v>
      </x:c>
    </x:row>
    <x:row r="536" ht="20" customHeight="1">
      <x:c r="C536" s="1" t="n">
        <x:v>2</x:v>
      </x:c>
      <x:c r="D536" s="1" t="n">
        <x:v>1</x:v>
      </x:c>
      <x:c r="E536" s="1" t="n">
        <x:v>40</x:v>
      </x:c>
      <x:c r="F536" s="32" t="n">
        <x:v>47498</x:v>
      </x:c>
      <x:c r="G536" s="36" t="n">
        <x:v>0</x:v>
      </x:c>
      <x:c r="H536" s="36" t="n">
        <x:v>0</x:v>
      </x:c>
      <x:c r="I536" s="36" t="n">
        <x:v>0</x:v>
      </x:c>
      <x:c r="J536" s="36" t="n">
        <x:v>0</x:v>
      </x:c>
      <x:c r="K536" s="36" t="n">
        <x:v>0</x:v>
      </x:c>
      <x:c r="L536" s="36" t="n">
        <x:v>0</x:v>
      </x:c>
      <x:c r="M536" s="38" t="n">
        <x:v>3.3347022587268995</x:v>
      </x:c>
      <x:c r="N536" s="36" t="n">
        <x:v>0</x:v>
      </x:c>
    </x:row>
    <x:row r="537" ht="20" customHeight="1">
      <x:c r="C537" s="1" t="n">
        <x:v>2</x:v>
      </x:c>
      <x:c r="D537" s="1" t="n">
        <x:v>1</x:v>
      </x:c>
      <x:c r="E537" s="1" t="n">
        <x:v>41</x:v>
      </x:c>
      <x:c r="F537" s="32" t="n">
        <x:v>47529</x:v>
      </x:c>
      <x:c r="G537" s="36" t="n">
        <x:v>0</x:v>
      </x:c>
      <x:c r="H537" s="36" t="n">
        <x:v>0</x:v>
      </x:c>
      <x:c r="I537" s="36" t="n">
        <x:v>0</x:v>
      </x:c>
      <x:c r="J537" s="36" t="n">
        <x:v>0</x:v>
      </x:c>
      <x:c r="K537" s="36" t="n">
        <x:v>0</x:v>
      </x:c>
      <x:c r="L537" s="36" t="n">
        <x:v>0</x:v>
      </x:c>
      <x:c r="M537" s="38" t="n">
        <x:v>3.4195756331279945</x:v>
      </x:c>
      <x:c r="N537" s="36" t="n">
        <x:v>0</x:v>
      </x:c>
    </x:row>
    <x:row r="538" ht="20" customHeight="1">
      <x:c r="C538" s="1" t="n">
        <x:v>2</x:v>
      </x:c>
      <x:c r="D538" s="1" t="n">
        <x:v>1</x:v>
      </x:c>
      <x:c r="E538" s="1" t="n">
        <x:v>42</x:v>
      </x:c>
      <x:c r="F538" s="32" t="n">
        <x:v>47557</x:v>
      </x:c>
      <x:c r="G538" s="36" t="n">
        <x:v>0</x:v>
      </x:c>
      <x:c r="H538" s="36" t="n">
        <x:v>0</x:v>
      </x:c>
      <x:c r="I538" s="36" t="n">
        <x:v>0</x:v>
      </x:c>
      <x:c r="J538" s="36" t="n">
        <x:v>0</x:v>
      </x:c>
      <x:c r="K538" s="36" t="n">
        <x:v>0</x:v>
      </x:c>
      <x:c r="L538" s="36" t="n">
        <x:v>0</x:v>
      </x:c>
      <x:c r="M538" s="38" t="n">
        <x:v>3.4962354551676933</x:v>
      </x:c>
      <x:c r="N538" s="36" t="n">
        <x:v>0</x:v>
      </x:c>
    </x:row>
    <x:row r="539" ht="20" customHeight="1">
      <x:c r="C539" s="1" t="n">
        <x:v>2</x:v>
      </x:c>
      <x:c r="D539" s="1" t="n">
        <x:v>1</x:v>
      </x:c>
      <x:c r="E539" s="1" t="n">
        <x:v>43</x:v>
      </x:c>
      <x:c r="F539" s="32" t="n">
        <x:v>47588</x:v>
      </x:c>
      <x:c r="G539" s="36" t="n">
        <x:v>0</x:v>
      </x:c>
      <x:c r="H539" s="36" t="n">
        <x:v>0</x:v>
      </x:c>
      <x:c r="I539" s="36" t="n">
        <x:v>0</x:v>
      </x:c>
      <x:c r="J539" s="36" t="n">
        <x:v>0</x:v>
      </x:c>
      <x:c r="K539" s="36" t="n">
        <x:v>0</x:v>
      </x:c>
      <x:c r="L539" s="36" t="n">
        <x:v>0</x:v>
      </x:c>
      <x:c r="M539" s="38" t="n">
        <x:v>3.5811088295687883</x:v>
      </x:c>
      <x:c r="N539" s="36" t="n">
        <x:v>0</x:v>
      </x:c>
    </x:row>
    <x:row r="540" ht="20" customHeight="1">
      <x:c r="C540" s="1" t="n">
        <x:v>2</x:v>
      </x:c>
      <x:c r="D540" s="1" t="n">
        <x:v>1</x:v>
      </x:c>
      <x:c r="E540" s="1" t="n">
        <x:v>44</x:v>
      </x:c>
      <x:c r="F540" s="32" t="n">
        <x:v>47618</x:v>
      </x:c>
      <x:c r="G540" s="36" t="n">
        <x:v>0</x:v>
      </x:c>
      <x:c r="H540" s="36" t="n">
        <x:v>0</x:v>
      </x:c>
      <x:c r="I540" s="36" t="n">
        <x:v>0</x:v>
      </x:c>
      <x:c r="J540" s="36" t="n">
        <x:v>0</x:v>
      </x:c>
      <x:c r="K540" s="36" t="n">
        <x:v>0</x:v>
      </x:c>
      <x:c r="L540" s="36" t="n">
        <x:v>0</x:v>
      </x:c>
      <x:c r="M540" s="38" t="n">
        <x:v>3.6632443531827517</x:v>
      </x:c>
      <x:c r="N540" s="36" t="n">
        <x:v>0</x:v>
      </x:c>
    </x:row>
    <x:row r="541" ht="20" customHeight="1">
      <x:c r="C541" s="1" t="n">
        <x:v>2</x:v>
      </x:c>
      <x:c r="D541" s="1" t="n">
        <x:v>1</x:v>
      </x:c>
      <x:c r="E541" s="1" t="n">
        <x:v>45</x:v>
      </x:c>
      <x:c r="F541" s="32" t="n">
        <x:v>47651</x:v>
      </x:c>
      <x:c r="G541" s="36" t="n">
        <x:v>0</x:v>
      </x:c>
      <x:c r="H541" s="36" t="n">
        <x:v>0</x:v>
      </x:c>
      <x:c r="I541" s="36" t="n">
        <x:v>0</x:v>
      </x:c>
      <x:c r="J541" s="36" t="n">
        <x:v>0</x:v>
      </x:c>
      <x:c r="K541" s="36" t="n">
        <x:v>0</x:v>
      </x:c>
      <x:c r="L541" s="36" t="n">
        <x:v>0</x:v>
      </x:c>
      <x:c r="M541" s="38" t="n">
        <x:v>3.753593429158111</x:v>
      </x:c>
      <x:c r="N541" s="36" t="n">
        <x:v>0</x:v>
      </x:c>
    </x:row>
    <x:row r="542" ht="20" customHeight="1">
      <x:c r="C542" s="1" t="n">
        <x:v>2</x:v>
      </x:c>
      <x:c r="D542" s="1" t="n">
        <x:v>1</x:v>
      </x:c>
      <x:c r="E542" s="1" t="n">
        <x:v>46</x:v>
      </x:c>
      <x:c r="F542" s="32" t="n">
        <x:v>47679</x:v>
      </x:c>
      <x:c r="G542" s="36" t="n">
        <x:v>0</x:v>
      </x:c>
      <x:c r="H542" s="36" t="n">
        <x:v>0</x:v>
      </x:c>
      <x:c r="I542" s="36" t="n">
        <x:v>0</x:v>
      </x:c>
      <x:c r="J542" s="36" t="n">
        <x:v>0</x:v>
      </x:c>
      <x:c r="K542" s="36" t="n">
        <x:v>0</x:v>
      </x:c>
      <x:c r="L542" s="36" t="n">
        <x:v>0</x:v>
      </x:c>
      <x:c r="M542" s="38" t="n">
        <x:v>3.8302532511978096</x:v>
      </x:c>
      <x:c r="N542" s="36" t="n">
        <x:v>0</x:v>
      </x:c>
    </x:row>
    <x:row r="543" ht="20" customHeight="1">
      <x:c r="C543" s="1" t="n">
        <x:v>2</x:v>
      </x:c>
      <x:c r="D543" s="1" t="n">
        <x:v>1</x:v>
      </x:c>
      <x:c r="E543" s="1" t="n">
        <x:v>47</x:v>
      </x:c>
      <x:c r="F543" s="32" t="n">
        <x:v>47710</x:v>
      </x:c>
      <x:c r="G543" s="36" t="n">
        <x:v>0</x:v>
      </x:c>
      <x:c r="H543" s="36" t="n">
        <x:v>0</x:v>
      </x:c>
      <x:c r="I543" s="36" t="n">
        <x:v>0</x:v>
      </x:c>
      <x:c r="J543" s="36" t="n">
        <x:v>0</x:v>
      </x:c>
      <x:c r="K543" s="36" t="n">
        <x:v>0</x:v>
      </x:c>
      <x:c r="L543" s="36" t="n">
        <x:v>0</x:v>
      </x:c>
      <x:c r="M543" s="38" t="n">
        <x:v>3.915126625598905</x:v>
      </x:c>
      <x:c r="N543" s="36" t="n">
        <x:v>0</x:v>
      </x:c>
    </x:row>
    <x:row r="544" ht="20" customHeight="1">
      <x:c r="C544" s="1" t="n">
        <x:v>2</x:v>
      </x:c>
      <x:c r="D544" s="1" t="n">
        <x:v>1</x:v>
      </x:c>
      <x:c r="E544" s="1" t="n">
        <x:v>48</x:v>
      </x:c>
      <x:c r="F544" s="32" t="n">
        <x:v>47742</x:v>
      </x:c>
      <x:c r="G544" s="36" t="n">
        <x:v>0</x:v>
      </x:c>
      <x:c r="H544" s="36" t="n">
        <x:v>0</x:v>
      </x:c>
      <x:c r="I544" s="36" t="n">
        <x:v>0</x:v>
      </x:c>
      <x:c r="J544" s="36" t="n">
        <x:v>0</x:v>
      </x:c>
      <x:c r="K544" s="36" t="n">
        <x:v>0</x:v>
      </x:c>
      <x:c r="L544" s="36" t="n">
        <x:v>0</x:v>
      </x:c>
      <x:c r="M544" s="38" t="n">
        <x:v>4.002737850787132</x:v>
      </x:c>
      <x:c r="N544" s="36" t="n">
        <x:v>0</x:v>
      </x:c>
    </x:row>
    <x:row r="545" ht="20" customHeight="1">
      <x:c r="C545" s="1" t="n">
        <x:v>2</x:v>
      </x:c>
      <x:c r="D545" s="1" t="n">
        <x:v>1</x:v>
      </x:c>
      <x:c r="E545" s="1" t="n">
        <x:v>49</x:v>
      </x:c>
      <x:c r="F545" s="32" t="n">
        <x:v>47771</x:v>
      </x:c>
      <x:c r="G545" s="36" t="n">
        <x:v>0</x:v>
      </x:c>
      <x:c r="H545" s="36" t="n">
        <x:v>0</x:v>
      </x:c>
      <x:c r="I545" s="36" t="n">
        <x:v>0</x:v>
      </x:c>
      <x:c r="J545" s="36" t="n">
        <x:v>0</x:v>
      </x:c>
      <x:c r="K545" s="36" t="n">
        <x:v>0</x:v>
      </x:c>
      <x:c r="L545" s="36" t="n">
        <x:v>0</x:v>
      </x:c>
      <x:c r="M545" s="38" t="n">
        <x:v>4.082135523613963</x:v>
      </x:c>
      <x:c r="N545" s="36" t="n">
        <x:v>0</x:v>
      </x:c>
    </x:row>
    <x:row r="546" ht="20" customHeight="1">
      <x:c r="C546" s="1" t="n">
        <x:v>2</x:v>
      </x:c>
      <x:c r="D546" s="1" t="n">
        <x:v>1</x:v>
      </x:c>
      <x:c r="E546" s="1" t="n">
        <x:v>50</x:v>
      </x:c>
      <x:c r="F546" s="32" t="n">
        <x:v>47802</x:v>
      </x:c>
      <x:c r="G546" s="36" t="n">
        <x:v>0</x:v>
      </x:c>
      <x:c r="H546" s="36" t="n">
        <x:v>0</x:v>
      </x:c>
      <x:c r="I546" s="36" t="n">
        <x:v>0</x:v>
      </x:c>
      <x:c r="J546" s="36" t="n">
        <x:v>0</x:v>
      </x:c>
      <x:c r="K546" s="36" t="n">
        <x:v>0</x:v>
      </x:c>
      <x:c r="L546" s="36" t="n">
        <x:v>0</x:v>
      </x:c>
      <x:c r="M546" s="38" t="n">
        <x:v>4.167008898015058</x:v>
      </x:c>
      <x:c r="N546" s="36" t="n">
        <x:v>0</x:v>
      </x:c>
    </x:row>
    <x:row r="547" ht="20" customHeight="1">
      <x:c r="C547" s="1" t="n">
        <x:v>2</x:v>
      </x:c>
      <x:c r="D547" s="1" t="n">
        <x:v>1</x:v>
      </x:c>
      <x:c r="E547" s="1" t="n">
        <x:v>51</x:v>
      </x:c>
      <x:c r="F547" s="32" t="n">
        <x:v>47833</x:v>
      </x:c>
      <x:c r="G547" s="36" t="n">
        <x:v>0</x:v>
      </x:c>
      <x:c r="H547" s="36" t="n">
        <x:v>0</x:v>
      </x:c>
      <x:c r="I547" s="36" t="n">
        <x:v>0</x:v>
      </x:c>
      <x:c r="J547" s="36" t="n">
        <x:v>0</x:v>
      </x:c>
      <x:c r="K547" s="36" t="n">
        <x:v>0</x:v>
      </x:c>
      <x:c r="L547" s="36" t="n">
        <x:v>0</x:v>
      </x:c>
      <x:c r="M547" s="38" t="n">
        <x:v>4.251882272416153</x:v>
      </x:c>
      <x:c r="N547" s="36" t="n">
        <x:v>0</x:v>
      </x:c>
    </x:row>
    <x:row r="548" ht="20" customHeight="1">
      <x:c r="C548" s="1" t="n">
        <x:v>2</x:v>
      </x:c>
      <x:c r="D548" s="1" t="n">
        <x:v>1</x:v>
      </x:c>
      <x:c r="E548" s="1" t="n">
        <x:v>52</x:v>
      </x:c>
      <x:c r="F548" s="32" t="n">
        <x:v>47863</x:v>
      </x:c>
      <x:c r="G548" s="36" t="n">
        <x:v>0</x:v>
      </x:c>
      <x:c r="H548" s="36" t="n">
        <x:v>0</x:v>
      </x:c>
      <x:c r="I548" s="36" t="n">
        <x:v>0</x:v>
      </x:c>
      <x:c r="J548" s="36" t="n">
        <x:v>0</x:v>
      </x:c>
      <x:c r="K548" s="36" t="n">
        <x:v>0</x:v>
      </x:c>
      <x:c r="L548" s="36" t="n">
        <x:v>0</x:v>
      </x:c>
      <x:c r="M548" s="38" t="n">
        <x:v>4.334017796030117</x:v>
      </x:c>
      <x:c r="N548" s="36" t="n">
        <x:v>0</x:v>
      </x:c>
    </x:row>
    <x:row r="549" ht="20" customHeight="1">
      <x:c r="C549" s="1" t="n">
        <x:v>2</x:v>
      </x:c>
      <x:c r="D549" s="1" t="n">
        <x:v>1</x:v>
      </x:c>
      <x:c r="E549" s="1" t="n">
        <x:v>53</x:v>
      </x:c>
      <x:c r="F549" s="32" t="n">
        <x:v>47897</x:v>
      </x:c>
      <x:c r="G549" s="36" t="n">
        <x:v>0</x:v>
      </x:c>
      <x:c r="H549" s="36" t="n">
        <x:v>0</x:v>
      </x:c>
      <x:c r="I549" s="36" t="n">
        <x:v>0</x:v>
      </x:c>
      <x:c r="J549" s="36" t="n">
        <x:v>0</x:v>
      </x:c>
      <x:c r="K549" s="36" t="n">
        <x:v>0</x:v>
      </x:c>
      <x:c r="L549" s="36" t="n">
        <x:v>0</x:v>
      </x:c>
      <x:c r="M549" s="38" t="n">
        <x:v>4.427104722792608</x:v>
      </x:c>
      <x:c r="N549" s="36" t="n">
        <x:v>0</x:v>
      </x:c>
    </x:row>
    <x:row r="550" ht="20" customHeight="1">
      <x:c r="C550" s="1" t="n">
        <x:v>2</x:v>
      </x:c>
      <x:c r="D550" s="1" t="n">
        <x:v>1</x:v>
      </x:c>
      <x:c r="E550" s="1" t="n">
        <x:v>54</x:v>
      </x:c>
      <x:c r="F550" s="32" t="n">
        <x:v>47924</x:v>
      </x:c>
      <x:c r="G550" s="36" t="n">
        <x:v>0</x:v>
      </x:c>
      <x:c r="H550" s="36" t="n">
        <x:v>0</x:v>
      </x:c>
      <x:c r="I550" s="36" t="n">
        <x:v>0</x:v>
      </x:c>
      <x:c r="J550" s="36" t="n">
        <x:v>0</x:v>
      </x:c>
      <x:c r="K550" s="36" t="n">
        <x:v>0</x:v>
      </x:c>
      <x:c r="L550" s="36" t="n">
        <x:v>0</x:v>
      </x:c>
      <x:c r="M550" s="38" t="n">
        <x:v>4.501026694045175</x:v>
      </x:c>
      <x:c r="N550" s="36" t="n">
        <x:v>0</x:v>
      </x:c>
    </x:row>
    <x:row r="551" ht="20" customHeight="1">
      <x:c r="C551" s="1" t="n">
        <x:v>2</x:v>
      </x:c>
      <x:c r="D551" s="1" t="n">
        <x:v>1</x:v>
      </x:c>
      <x:c r="E551" s="1" t="n">
        <x:v>55</x:v>
      </x:c>
      <x:c r="F551" s="32" t="n">
        <x:v>47953</x:v>
      </x:c>
      <x:c r="G551" s="36" t="n">
        <x:v>0</x:v>
      </x:c>
      <x:c r="H551" s="36" t="n">
        <x:v>0</x:v>
      </x:c>
      <x:c r="I551" s="36" t="n">
        <x:v>0</x:v>
      </x:c>
      <x:c r="J551" s="36" t="n">
        <x:v>0</x:v>
      </x:c>
      <x:c r="K551" s="36" t="n">
        <x:v>0</x:v>
      </x:c>
      <x:c r="L551" s="36" t="n">
        <x:v>0</x:v>
      </x:c>
      <x:c r="M551" s="38" t="n">
        <x:v>4.5804243668720055</x:v>
      </x:c>
      <x:c r="N551" s="36" t="n">
        <x:v>0</x:v>
      </x:c>
    </x:row>
    <x:row r="552" ht="20" customHeight="1">
      <x:c r="C552" s="1" t="n">
        <x:v>2</x:v>
      </x:c>
      <x:c r="D552" s="1" t="n">
        <x:v>1</x:v>
      </x:c>
      <x:c r="E552" s="1" t="n">
        <x:v>56</x:v>
      </x:c>
      <x:c r="F552" s="32" t="n">
        <x:v>47983</x:v>
      </x:c>
      <x:c r="G552" s="36" t="n">
        <x:v>0</x:v>
      </x:c>
      <x:c r="H552" s="36" t="n">
        <x:v>0</x:v>
      </x:c>
      <x:c r="I552" s="36" t="n">
        <x:v>0</x:v>
      </x:c>
      <x:c r="J552" s="36" t="n">
        <x:v>0</x:v>
      </x:c>
      <x:c r="K552" s="36" t="n">
        <x:v>0</x:v>
      </x:c>
      <x:c r="L552" s="36" t="n">
        <x:v>0</x:v>
      </x:c>
      <x:c r="M552" s="38" t="n">
        <x:v>4.662559890485968</x:v>
      </x:c>
      <x:c r="N552" s="36" t="n">
        <x:v>0</x:v>
      </x:c>
    </x:row>
    <x:row r="553" ht="20" customHeight="1">
      <x:c r="C553" s="1" t="n">
        <x:v>2</x:v>
      </x:c>
      <x:c r="D553" s="1" t="n">
        <x:v>1</x:v>
      </x:c>
      <x:c r="E553" s="1" t="n">
        <x:v>57</x:v>
      </x:c>
      <x:c r="F553" s="32" t="n">
        <x:v>48015</x:v>
      </x:c>
      <x:c r="G553" s="36" t="n">
        <x:v>0</x:v>
      </x:c>
      <x:c r="H553" s="36" t="n">
        <x:v>0</x:v>
      </x:c>
      <x:c r="I553" s="36" t="n">
        <x:v>0</x:v>
      </x:c>
      <x:c r="J553" s="36" t="n">
        <x:v>0</x:v>
      </x:c>
      <x:c r="K553" s="36" t="n">
        <x:v>0</x:v>
      </x:c>
      <x:c r="L553" s="36" t="n">
        <x:v>0</x:v>
      </x:c>
      <x:c r="M553" s="38" t="n">
        <x:v>4.7501711156741955</x:v>
      </x:c>
      <x:c r="N553" s="36" t="n">
        <x:v>0</x:v>
      </x:c>
    </x:row>
    <x:row r="554" ht="20" customHeight="1">
      <x:c r="C554" s="1" t="n">
        <x:v>2</x:v>
      </x:c>
      <x:c r="D554" s="1" t="n">
        <x:v>1</x:v>
      </x:c>
      <x:c r="E554" s="1" t="n">
        <x:v>58</x:v>
      </x:c>
      <x:c r="F554" s="32" t="n">
        <x:v>48044</x:v>
      </x:c>
      <x:c r="G554" s="36" t="n">
        <x:v>0</x:v>
      </x:c>
      <x:c r="H554" s="36" t="n">
        <x:v>0</x:v>
      </x:c>
      <x:c r="I554" s="36" t="n">
        <x:v>0</x:v>
      </x:c>
      <x:c r="J554" s="36" t="n">
        <x:v>0</x:v>
      </x:c>
      <x:c r="K554" s="36" t="n">
        <x:v>0</x:v>
      </x:c>
      <x:c r="L554" s="36" t="n">
        <x:v>0</x:v>
      </x:c>
      <x:c r="M554" s="38" t="n">
        <x:v>4.829568788501026</x:v>
      </x:c>
      <x:c r="N554" s="36" t="n">
        <x:v>0</x:v>
      </x:c>
    </x:row>
    <x:row r="555" ht="20" customHeight="1">
      <x:c r="C555" s="1" t="n">
        <x:v>2</x:v>
      </x:c>
      <x:c r="D555" s="1" t="n">
        <x:v>1</x:v>
      </x:c>
      <x:c r="E555" s="1" t="n">
        <x:v>59</x:v>
      </x:c>
      <x:c r="F555" s="32" t="n">
        <x:v>48075</x:v>
      </x:c>
      <x:c r="G555" s="36" t="n">
        <x:v>0</x:v>
      </x:c>
      <x:c r="H555" s="36" t="n">
        <x:v>0</x:v>
      </x:c>
      <x:c r="I555" s="36" t="n">
        <x:v>0</x:v>
      </x:c>
      <x:c r="J555" s="36" t="n">
        <x:v>0</x:v>
      </x:c>
      <x:c r="K555" s="36" t="n">
        <x:v>0</x:v>
      </x:c>
      <x:c r="L555" s="36" t="n">
        <x:v>0</x:v>
      </x:c>
      <x:c r="M555" s="38" t="n">
        <x:v>4.914442162902122</x:v>
      </x:c>
      <x:c r="N555" s="36" t="n">
        <x:v>0</x:v>
      </x:c>
    </x:row>
    <x:row r="556" ht="20" customHeight="1">
      <x:c r="C556" s="1" t="n">
        <x:v>2</x:v>
      </x:c>
      <x:c r="D556" s="1" t="n">
        <x:v>1</x:v>
      </x:c>
      <x:c r="E556" s="1" t="n">
        <x:v>60</x:v>
      </x:c>
      <x:c r="F556" s="32" t="n">
        <x:v>48106</x:v>
      </x:c>
      <x:c r="G556" s="36" t="n">
        <x:v>0</x:v>
      </x:c>
      <x:c r="H556" s="36" t="n">
        <x:v>0</x:v>
      </x:c>
      <x:c r="I556" s="36" t="n">
        <x:v>0</x:v>
      </x:c>
      <x:c r="J556" s="36" t="n">
        <x:v>0</x:v>
      </x:c>
      <x:c r="K556" s="36" t="n">
        <x:v>0</x:v>
      </x:c>
      <x:c r="L556" s="36" t="n">
        <x:v>0</x:v>
      </x:c>
      <x:c r="M556" s="38" t="n">
        <x:v>4.999315537303217</x:v>
      </x:c>
      <x:c r="N556" s="36" t="n">
        <x:v>0</x:v>
      </x:c>
    </x:row>
    <x:row r="557" ht="20" customHeight="1">
      <x:c r="C557" s="1" t="n">
        <x:v>2</x:v>
      </x:c>
      <x:c r="D557" s="1" t="n">
        <x:v>1</x:v>
      </x:c>
      <x:c r="E557" s="1" t="n">
        <x:v>61</x:v>
      </x:c>
      <x:c r="F557" s="32" t="n">
        <x:v>48136</x:v>
      </x:c>
      <x:c r="G557" s="36" t="n">
        <x:v>0</x:v>
      </x:c>
      <x:c r="H557" s="36" t="n">
        <x:v>0</x:v>
      </x:c>
      <x:c r="I557" s="36" t="n">
        <x:v>0</x:v>
      </x:c>
      <x:c r="J557" s="36" t="n">
        <x:v>0</x:v>
      </x:c>
      <x:c r="K557" s="36" t="n">
        <x:v>0</x:v>
      </x:c>
      <x:c r="L557" s="36" t="n">
        <x:v>0</x:v>
      </x:c>
      <x:c r="M557" s="38" t="n">
        <x:v>5.08145106091718</x:v>
      </x:c>
      <x:c r="N557" s="36" t="n">
        <x:v>0</x:v>
      </x:c>
    </x:row>
    <x:row r="558" ht="20" customHeight="1">
      <x:c r="C558" s="1" t="n">
        <x:v>2</x:v>
      </x:c>
      <x:c r="D558" s="1" t="n">
        <x:v>1</x:v>
      </x:c>
      <x:c r="E558" s="1" t="n">
        <x:v>62</x:v>
      </x:c>
      <x:c r="F558" s="32" t="n">
        <x:v>48169</x:v>
      </x:c>
      <x:c r="G558" s="36" t="n">
        <x:v>0</x:v>
      </x:c>
      <x:c r="H558" s="36" t="n">
        <x:v>0</x:v>
      </x:c>
      <x:c r="I558" s="36" t="n">
        <x:v>0</x:v>
      </x:c>
      <x:c r="J558" s="36" t="n">
        <x:v>0</x:v>
      </x:c>
      <x:c r="K558" s="36" t="n">
        <x:v>0</x:v>
      </x:c>
      <x:c r="L558" s="36" t="n">
        <x:v>0</x:v>
      </x:c>
      <x:c r="M558" s="38" t="n">
        <x:v>5.171800136892539</x:v>
      </x:c>
      <x:c r="N558" s="36" t="n">
        <x:v>0</x:v>
      </x:c>
    </x:row>
    <x:row r="559" ht="20" customHeight="1">
      <x:c r="C559" s="1" t="n">
        <x:v>2</x:v>
      </x:c>
      <x:c r="D559" s="1" t="n">
        <x:v>1</x:v>
      </x:c>
      <x:c r="E559" s="1" t="n">
        <x:v>63</x:v>
      </x:c>
      <x:c r="F559" s="32" t="n">
        <x:v>48197</x:v>
      </x:c>
      <x:c r="G559" s="36" t="n">
        <x:v>0</x:v>
      </x:c>
      <x:c r="H559" s="36" t="n">
        <x:v>0</x:v>
      </x:c>
      <x:c r="I559" s="36" t="n">
        <x:v>0</x:v>
      </x:c>
      <x:c r="J559" s="36" t="n">
        <x:v>0</x:v>
      </x:c>
      <x:c r="K559" s="36" t="n">
        <x:v>0</x:v>
      </x:c>
      <x:c r="L559" s="36" t="n">
        <x:v>0</x:v>
      </x:c>
      <x:c r="M559" s="38" t="n">
        <x:v>5.248459958932238</x:v>
      </x:c>
      <x:c r="N559" s="36" t="n">
        <x:v>0</x:v>
      </x:c>
    </x:row>
    <x:row r="560" ht="20" customHeight="1">
      <x:c r="C560" s="1" t="n">
        <x:v>2</x:v>
      </x:c>
      <x:c r="D560" s="1" t="n">
        <x:v>1</x:v>
      </x:c>
      <x:c r="E560" s="1" t="n">
        <x:v>64</x:v>
      </x:c>
      <x:c r="F560" s="32" t="n">
        <x:v>48228</x:v>
      </x:c>
      <x:c r="G560" s="36" t="n">
        <x:v>0</x:v>
      </x:c>
      <x:c r="H560" s="36" t="n">
        <x:v>0</x:v>
      </x:c>
      <x:c r="I560" s="36" t="n">
        <x:v>0</x:v>
      </x:c>
      <x:c r="J560" s="36" t="n">
        <x:v>0</x:v>
      </x:c>
      <x:c r="K560" s="36" t="n">
        <x:v>0</x:v>
      </x:c>
      <x:c r="L560" s="36" t="n">
        <x:v>0</x:v>
      </x:c>
      <x:c r="M560" s="38" t="n">
        <x:v>5.333333333333333</x:v>
      </x:c>
      <x:c r="N560" s="36" t="n">
        <x:v>0</x:v>
      </x:c>
    </x:row>
    <x:row r="561" ht="20" customHeight="1">
      <x:c r="C561" s="1" t="n">
        <x:v>2</x:v>
      </x:c>
      <x:c r="D561" s="1" t="n">
        <x:v>2</x:v>
      </x:c>
      <x:c r="E561" s="1" t="n">
        <x:v>1</x:v>
      </x:c>
      <x:c r="F561" s="32" t="n">
        <x:v>46310</x:v>
      </x:c>
      <x:c r="G561" s="36" t="n">
        <x:v>88337412.47</x:v>
      </x:c>
      <x:c r="H561" s="36" t="n">
        <x:v>337890.6</x:v>
      </x:c>
      <x:c r="I561" s="36" t="n">
        <x:v>16806327.14</x:v>
      </x:c>
      <x:c r="J561" s="36" t="n">
        <x:v>0</x:v>
      </x:c>
      <x:c r="K561" s="36" t="n">
        <x:v>71531085.33</x:v>
      </x:c>
      <x:c r="L561" s="36" t="n">
        <x:v>0</x:v>
      </x:c>
      <x:c r="M561" s="38" t="n">
        <x:v>0.08213552361396304</x:v>
      </x:c>
      <x:c r="N561" s="36" t="n">
        <x:v>71531085.33</x:v>
      </x:c>
    </x:row>
    <x:row r="562" ht="20" customHeight="1">
      <x:c r="C562" s="1" t="n">
        <x:v>2</x:v>
      </x:c>
      <x:c r="D562" s="1" t="n">
        <x:v>2</x:v>
      </x:c>
      <x:c r="E562" s="1" t="n">
        <x:v>2</x:v>
      </x:c>
      <x:c r="F562" s="32" t="n">
        <x:v>46342</x:v>
      </x:c>
      <x:c r="G562" s="36" t="n">
        <x:v>71531085.33</x:v>
      </x:c>
      <x:c r="H562" s="36" t="n">
        <x:v>273606.4</x:v>
      </x:c>
      <x:c r="I562" s="36" t="n">
        <x:v>16241333.8</x:v>
      </x:c>
      <x:c r="J562" s="36" t="n">
        <x:v>0</x:v>
      </x:c>
      <x:c r="K562" s="36" t="n">
        <x:v>55289751.53</x:v>
      </x:c>
      <x:c r="L562" s="36" t="n">
        <x:v>0</x:v>
      </x:c>
      <x:c r="M562" s="38" t="n">
        <x:v>0.1697467488021903</x:v>
      </x:c>
      <x:c r="N562" s="36" t="n">
        <x:v>55289751.53</x:v>
      </x:c>
    </x:row>
    <x:row r="563" ht="20" customHeight="1">
      <x:c r="C563" s="1" t="n">
        <x:v>2</x:v>
      </x:c>
      <x:c r="D563" s="1" t="n">
        <x:v>2</x:v>
      </x:c>
      <x:c r="E563" s="1" t="n">
        <x:v>3</x:v>
      </x:c>
      <x:c r="F563" s="32" t="n">
        <x:v>46371</x:v>
      </x:c>
      <x:c r="G563" s="36" t="n">
        <x:v>55289751.53</x:v>
      </x:c>
      <x:c r="H563" s="36" t="n">
        <x:v>211483.3</x:v>
      </x:c>
      <x:c r="I563" s="36" t="n">
        <x:v>15727904.22</x:v>
      </x:c>
      <x:c r="J563" s="36" t="n">
        <x:v>0</x:v>
      </x:c>
      <x:c r="K563" s="36" t="n">
        <x:v>39561847.31</x:v>
      </x:c>
      <x:c r="L563" s="36" t="n">
        <x:v>0</x:v>
      </x:c>
      <x:c r="M563" s="38" t="n">
        <x:v>0.24914442162902123</x:v>
      </x:c>
      <x:c r="N563" s="36" t="n">
        <x:v>39561847.31</x:v>
      </x:c>
    </x:row>
    <x:row r="564" ht="20" customHeight="1">
      <x:c r="C564" s="1" t="n">
        <x:v>2</x:v>
      </x:c>
      <x:c r="D564" s="1" t="n">
        <x:v>2</x:v>
      </x:c>
      <x:c r="E564" s="1" t="n">
        <x:v>4</x:v>
      </x:c>
      <x:c r="F564" s="32" t="n">
        <x:v>46402</x:v>
      </x:c>
      <x:c r="G564" s="36" t="n">
        <x:v>39561847.31</x:v>
      </x:c>
      <x:c r="H564" s="36" t="n">
        <x:v>151324.07</x:v>
      </x:c>
      <x:c r="I564" s="36" t="n">
        <x:v>15188978.24</x:v>
      </x:c>
      <x:c r="J564" s="36" t="n">
        <x:v>0</x:v>
      </x:c>
      <x:c r="K564" s="36" t="n">
        <x:v>24372869.07</x:v>
      </x:c>
      <x:c r="L564" s="36" t="n">
        <x:v>0</x:v>
      </x:c>
      <x:c r="M564" s="38" t="n">
        <x:v>0.33401779603011633</x:v>
      </x:c>
      <x:c r="N564" s="36" t="n">
        <x:v>24372869.07</x:v>
      </x:c>
    </x:row>
    <x:row r="565" ht="20" customHeight="1">
      <x:c r="C565" s="1" t="n">
        <x:v>2</x:v>
      </x:c>
      <x:c r="D565" s="1" t="n">
        <x:v>2</x:v>
      </x:c>
      <x:c r="E565" s="1" t="n">
        <x:v>5</x:v>
      </x:c>
      <x:c r="F565" s="32" t="n">
        <x:v>46434</x:v>
      </x:c>
      <x:c r="G565" s="36" t="n">
        <x:v>24372869.07</x:v>
      </x:c>
      <x:c r="H565" s="36" t="n">
        <x:v>93226.22</x:v>
      </x:c>
      <x:c r="I565" s="36" t="n">
        <x:v>15517628.05</x:v>
      </x:c>
      <x:c r="J565" s="36" t="n">
        <x:v>0</x:v>
      </x:c>
      <x:c r="K565" s="36" t="n">
        <x:v>8855241.02</x:v>
      </x:c>
      <x:c r="L565" s="36" t="n">
        <x:v>0</x:v>
      </x:c>
      <x:c r="M565" s="38" t="n">
        <x:v>0.4216290212183436</x:v>
      </x:c>
      <x:c r="N565" s="36" t="n">
        <x:v>8855241.02</x:v>
      </x:c>
    </x:row>
    <x:row r="566" ht="20" customHeight="1">
      <x:c r="C566" s="1" t="n">
        <x:v>2</x:v>
      </x:c>
      <x:c r="D566" s="1" t="n">
        <x:v>2</x:v>
      </x:c>
      <x:c r="E566" s="1" t="n">
        <x:v>6</x:v>
      </x:c>
      <x:c r="F566" s="32" t="n">
        <x:v>46461</x:v>
      </x:c>
      <x:c r="G566" s="36" t="n">
        <x:v>8855241.02</x:v>
      </x:c>
      <x:c r="H566" s="36" t="n">
        <x:v>33871.3</x:v>
      </x:c>
      <x:c r="I566" s="36" t="n">
        <x:v>8855241.02</x:v>
      </x:c>
      <x:c r="J566" s="36" t="n">
        <x:v>0</x:v>
      </x:c>
      <x:c r="K566" s="36" t="n">
        <x:v>0</x:v>
      </x:c>
      <x:c r="L566" s="36" t="n">
        <x:v>0</x:v>
      </x:c>
      <x:c r="M566" s="38" t="n">
        <x:v>0.49555099247091033</x:v>
      </x:c>
      <x:c r="N566" s="36" t="n">
        <x:v>0</x:v>
      </x:c>
    </x:row>
    <x:row r="567" ht="20" customHeight="1">
      <x:c r="C567" s="1" t="n">
        <x:v>2</x:v>
      </x:c>
      <x:c r="D567" s="1" t="n">
        <x:v>2</x:v>
      </x:c>
      <x:c r="E567" s="1" t="n">
        <x:v>7</x:v>
      </x:c>
      <x:c r="F567" s="32" t="n">
        <x:v>46492</x:v>
      </x:c>
      <x:c r="G567" s="36" t="n">
        <x:v>0</x:v>
      </x:c>
      <x:c r="H567" s="36" t="n">
        <x:v>0</x:v>
      </x:c>
      <x:c r="I567" s="36" t="n">
        <x:v>0</x:v>
      </x:c>
      <x:c r="J567" s="36" t="n">
        <x:v>0</x:v>
      </x:c>
      <x:c r="K567" s="36" t="n">
        <x:v>0</x:v>
      </x:c>
      <x:c r="L567" s="36" t="n">
        <x:v>0</x:v>
      </x:c>
      <x:c r="M567" s="38" t="n">
        <x:v>0.5804243668720055</x:v>
      </x:c>
      <x:c r="N567" s="36" t="n">
        <x:v>0</x:v>
      </x:c>
    </x:row>
    <x:row r="568" ht="20" customHeight="1">
      <x:c r="C568" s="1" t="n">
        <x:v>2</x:v>
      </x:c>
      <x:c r="D568" s="1" t="n">
        <x:v>2</x:v>
      </x:c>
      <x:c r="E568" s="1" t="n">
        <x:v>8</x:v>
      </x:c>
      <x:c r="F568" s="32" t="n">
        <x:v>46524</x:v>
      </x:c>
      <x:c r="G568" s="36" t="n">
        <x:v>0</x:v>
      </x:c>
      <x:c r="H568" s="36" t="n">
        <x:v>0</x:v>
      </x:c>
      <x:c r="I568" s="36" t="n">
        <x:v>0</x:v>
      </x:c>
      <x:c r="J568" s="36" t="n">
        <x:v>0</x:v>
      </x:c>
      <x:c r="K568" s="36" t="n">
        <x:v>0</x:v>
      </x:c>
      <x:c r="L568" s="36" t="n">
        <x:v>0</x:v>
      </x:c>
      <x:c r="M568" s="38" t="n">
        <x:v>0.6680355920602327</x:v>
      </x:c>
      <x:c r="N568" s="36" t="n">
        <x:v>0</x:v>
      </x:c>
    </x:row>
    <x:row r="569" ht="20" customHeight="1">
      <x:c r="C569" s="1" t="n">
        <x:v>2</x:v>
      </x:c>
      <x:c r="D569" s="1" t="n">
        <x:v>2</x:v>
      </x:c>
      <x:c r="E569" s="1" t="n">
        <x:v>9</x:v>
      </x:c>
      <x:c r="F569" s="32" t="n">
        <x:v>46553</x:v>
      </x:c>
      <x:c r="G569" s="36" t="n">
        <x:v>0</x:v>
      </x:c>
      <x:c r="H569" s="36" t="n">
        <x:v>0</x:v>
      </x:c>
      <x:c r="I569" s="36" t="n">
        <x:v>0</x:v>
      </x:c>
      <x:c r="J569" s="36" t="n">
        <x:v>0</x:v>
      </x:c>
      <x:c r="K569" s="36" t="n">
        <x:v>0</x:v>
      </x:c>
      <x:c r="L569" s="36" t="n">
        <x:v>0</x:v>
      </x:c>
      <x:c r="M569" s="38" t="n">
        <x:v>0.7474332648870636</x:v>
      </x:c>
      <x:c r="N569" s="36" t="n">
        <x:v>0</x:v>
      </x:c>
    </x:row>
    <x:row r="570" ht="20" customHeight="1">
      <x:c r="C570" s="1" t="n">
        <x:v>2</x:v>
      </x:c>
      <x:c r="D570" s="1" t="n">
        <x:v>2</x:v>
      </x:c>
      <x:c r="E570" s="1" t="n">
        <x:v>10</x:v>
      </x:c>
      <x:c r="F570" s="32" t="n">
        <x:v>46583</x:v>
      </x:c>
      <x:c r="G570" s="36" t="n">
        <x:v>0</x:v>
      </x:c>
      <x:c r="H570" s="36" t="n">
        <x:v>0</x:v>
      </x:c>
      <x:c r="I570" s="36" t="n">
        <x:v>0</x:v>
      </x:c>
      <x:c r="J570" s="36" t="n">
        <x:v>0</x:v>
      </x:c>
      <x:c r="K570" s="36" t="n">
        <x:v>0</x:v>
      </x:c>
      <x:c r="L570" s="36" t="n">
        <x:v>0</x:v>
      </x:c>
      <x:c r="M570" s="38" t="n">
        <x:v>0.8295687885010267</x:v>
      </x:c>
      <x:c r="N570" s="36" t="n">
        <x:v>0</x:v>
      </x:c>
    </x:row>
    <x:row r="571" ht="20" customHeight="1">
      <x:c r="C571" s="1" t="n">
        <x:v>2</x:v>
      </x:c>
      <x:c r="D571" s="1" t="n">
        <x:v>2</x:v>
      </x:c>
      <x:c r="E571" s="1" t="n">
        <x:v>11</x:v>
      </x:c>
      <x:c r="F571" s="32" t="n">
        <x:v>46615</x:v>
      </x:c>
      <x:c r="G571" s="36" t="n">
        <x:v>0</x:v>
      </x:c>
      <x:c r="H571" s="36" t="n">
        <x:v>0</x:v>
      </x:c>
      <x:c r="I571" s="36" t="n">
        <x:v>0</x:v>
      </x:c>
      <x:c r="J571" s="36" t="n">
        <x:v>0</x:v>
      </x:c>
      <x:c r="K571" s="36" t="n">
        <x:v>0</x:v>
      </x:c>
      <x:c r="L571" s="36" t="n">
        <x:v>0</x:v>
      </x:c>
      <x:c r="M571" s="38" t="n">
        <x:v>0.917180013689254</x:v>
      </x:c>
      <x:c r="N571" s="36" t="n">
        <x:v>0</x:v>
      </x:c>
    </x:row>
    <x:row r="572" ht="20" customHeight="1">
      <x:c r="C572" s="1" t="n">
        <x:v>2</x:v>
      </x:c>
      <x:c r="D572" s="1" t="n">
        <x:v>2</x:v>
      </x:c>
      <x:c r="E572" s="1" t="n">
        <x:v>12</x:v>
      </x:c>
      <x:c r="F572" s="32" t="n">
        <x:v>46645</x:v>
      </x:c>
      <x:c r="G572" s="36" t="n">
        <x:v>0</x:v>
      </x:c>
      <x:c r="H572" s="36" t="n">
        <x:v>0</x:v>
      </x:c>
      <x:c r="I572" s="36" t="n">
        <x:v>0</x:v>
      </x:c>
      <x:c r="J572" s="36" t="n">
        <x:v>0</x:v>
      </x:c>
      <x:c r="K572" s="36" t="n">
        <x:v>0</x:v>
      </x:c>
      <x:c r="L572" s="36" t="n">
        <x:v>0</x:v>
      </x:c>
      <x:c r="M572" s="38" t="n">
        <x:v>0.999315537303217</x:v>
      </x:c>
      <x:c r="N572" s="36" t="n">
        <x:v>0</x:v>
      </x:c>
    </x:row>
    <x:row r="573" ht="20" customHeight="1">
      <x:c r="C573" s="1" t="n">
        <x:v>2</x:v>
      </x:c>
      <x:c r="D573" s="1" t="n">
        <x:v>2</x:v>
      </x:c>
      <x:c r="E573" s="1" t="n">
        <x:v>13</x:v>
      </x:c>
      <x:c r="F573" s="32" t="n">
        <x:v>46675</x:v>
      </x:c>
      <x:c r="G573" s="36" t="n">
        <x:v>0</x:v>
      </x:c>
      <x:c r="H573" s="36" t="n">
        <x:v>0</x:v>
      </x:c>
      <x:c r="I573" s="36" t="n">
        <x:v>0</x:v>
      </x:c>
      <x:c r="J573" s="36" t="n">
        <x:v>0</x:v>
      </x:c>
      <x:c r="K573" s="36" t="n">
        <x:v>0</x:v>
      </x:c>
      <x:c r="L573" s="36" t="n">
        <x:v>0</x:v>
      </x:c>
      <x:c r="M573" s="38" t="n">
        <x:v>1.08145106091718</x:v>
      </x:c>
      <x:c r="N573" s="36" t="n">
        <x:v>0</x:v>
      </x:c>
    </x:row>
    <x:row r="574" ht="20" customHeight="1">
      <x:c r="C574" s="1" t="n">
        <x:v>2</x:v>
      </x:c>
      <x:c r="D574" s="1" t="n">
        <x:v>2</x:v>
      </x:c>
      <x:c r="E574" s="1" t="n">
        <x:v>14</x:v>
      </x:c>
      <x:c r="F574" s="32" t="n">
        <x:v>46706</x:v>
      </x:c>
      <x:c r="G574" s="36" t="n">
        <x:v>0</x:v>
      </x:c>
      <x:c r="H574" s="36" t="n">
        <x:v>0</x:v>
      </x:c>
      <x:c r="I574" s="36" t="n">
        <x:v>0</x:v>
      </x:c>
      <x:c r="J574" s="36" t="n">
        <x:v>0</x:v>
      </x:c>
      <x:c r="K574" s="36" t="n">
        <x:v>0</x:v>
      </x:c>
      <x:c r="L574" s="36" t="n">
        <x:v>0</x:v>
      </x:c>
      <x:c r="M574" s="38" t="n">
        <x:v>1.1663244353182751</x:v>
      </x:c>
      <x:c r="N574" s="36" t="n">
        <x:v>0</x:v>
      </x:c>
    </x:row>
    <x:row r="575" ht="20" customHeight="1">
      <x:c r="C575" s="1" t="n">
        <x:v>2</x:v>
      </x:c>
      <x:c r="D575" s="1" t="n">
        <x:v>2</x:v>
      </x:c>
      <x:c r="E575" s="1" t="n">
        <x:v>15</x:v>
      </x:c>
      <x:c r="F575" s="32" t="n">
        <x:v>46736</x:v>
      </x:c>
      <x:c r="G575" s="36" t="n">
        <x:v>0</x:v>
      </x:c>
      <x:c r="H575" s="36" t="n">
        <x:v>0</x:v>
      </x:c>
      <x:c r="I575" s="36" t="n">
        <x:v>0</x:v>
      </x:c>
      <x:c r="J575" s="36" t="n">
        <x:v>0</x:v>
      </x:c>
      <x:c r="K575" s="36" t="n">
        <x:v>0</x:v>
      </x:c>
      <x:c r="L575" s="36" t="n">
        <x:v>0</x:v>
      </x:c>
      <x:c r="M575" s="38" t="n">
        <x:v>1.2484599589322383</x:v>
      </x:c>
      <x:c r="N575" s="36" t="n">
        <x:v>0</x:v>
      </x:c>
    </x:row>
    <x:row r="576" ht="20" customHeight="1">
      <x:c r="C576" s="1" t="n">
        <x:v>2</x:v>
      </x:c>
      <x:c r="D576" s="1" t="n">
        <x:v>2</x:v>
      </x:c>
      <x:c r="E576" s="1" t="n">
        <x:v>16</x:v>
      </x:c>
      <x:c r="F576" s="32" t="n">
        <x:v>46770</x:v>
      </x:c>
      <x:c r="G576" s="36" t="n">
        <x:v>0</x:v>
      </x:c>
      <x:c r="H576" s="36" t="n">
        <x:v>0</x:v>
      </x:c>
      <x:c r="I576" s="36" t="n">
        <x:v>0</x:v>
      </x:c>
      <x:c r="J576" s="36" t="n">
        <x:v>0</x:v>
      </x:c>
      <x:c r="K576" s="36" t="n">
        <x:v>0</x:v>
      </x:c>
      <x:c r="L576" s="36" t="n">
        <x:v>0</x:v>
      </x:c>
      <x:c r="M576" s="38" t="n">
        <x:v>1.3415468856947297</x:v>
      </x:c>
      <x:c r="N576" s="36" t="n">
        <x:v>0</x:v>
      </x:c>
    </x:row>
    <x:row r="577" ht="20" customHeight="1">
      <x:c r="C577" s="1" t="n">
        <x:v>2</x:v>
      </x:c>
      <x:c r="D577" s="1" t="n">
        <x:v>2</x:v>
      </x:c>
      <x:c r="E577" s="1" t="n">
        <x:v>17</x:v>
      </x:c>
      <x:c r="F577" s="32" t="n">
        <x:v>46798</x:v>
      </x:c>
      <x:c r="G577" s="36" t="n">
        <x:v>0</x:v>
      </x:c>
      <x:c r="H577" s="36" t="n">
        <x:v>0</x:v>
      </x:c>
      <x:c r="I577" s="36" t="n">
        <x:v>0</x:v>
      </x:c>
      <x:c r="J577" s="36" t="n">
        <x:v>0</x:v>
      </x:c>
      <x:c r="K577" s="36" t="n">
        <x:v>0</x:v>
      </x:c>
      <x:c r="L577" s="36" t="n">
        <x:v>0</x:v>
      </x:c>
      <x:c r="M577" s="38" t="n">
        <x:v>1.4182067077344285</x:v>
      </x:c>
      <x:c r="N577" s="36" t="n">
        <x:v>0</x:v>
      </x:c>
    </x:row>
    <x:row r="578" ht="20" customHeight="1">
      <x:c r="C578" s="1" t="n">
        <x:v>2</x:v>
      </x:c>
      <x:c r="D578" s="1" t="n">
        <x:v>2</x:v>
      </x:c>
      <x:c r="E578" s="1" t="n">
        <x:v>18</x:v>
      </x:c>
      <x:c r="F578" s="32" t="n">
        <x:v>46827</x:v>
      </x:c>
      <x:c r="G578" s="36" t="n">
        <x:v>0</x:v>
      </x:c>
      <x:c r="H578" s="36" t="n">
        <x:v>0</x:v>
      </x:c>
      <x:c r="I578" s="36" t="n">
        <x:v>0</x:v>
      </x:c>
      <x:c r="J578" s="36" t="n">
        <x:v>0</x:v>
      </x:c>
      <x:c r="K578" s="36" t="n">
        <x:v>0</x:v>
      </x:c>
      <x:c r="L578" s="36" t="n">
        <x:v>0</x:v>
      </x:c>
      <x:c r="M578" s="38" t="n">
        <x:v>1.4976043805612593</x:v>
      </x:c>
      <x:c r="N578" s="36" t="n">
        <x:v>0</x:v>
      </x:c>
    </x:row>
    <x:row r="579" ht="20" customHeight="1">
      <x:c r="C579" s="1" t="n">
        <x:v>2</x:v>
      </x:c>
      <x:c r="D579" s="1" t="n">
        <x:v>2</x:v>
      </x:c>
      <x:c r="E579" s="1" t="n">
        <x:v>19</x:v>
      </x:c>
      <x:c r="F579" s="32" t="n">
        <x:v>46860</x:v>
      </x:c>
      <x:c r="G579" s="36" t="n">
        <x:v>0</x:v>
      </x:c>
      <x:c r="H579" s="36" t="n">
        <x:v>0</x:v>
      </x:c>
      <x:c r="I579" s="36" t="n">
        <x:v>0</x:v>
      </x:c>
      <x:c r="J579" s="36" t="n">
        <x:v>0</x:v>
      </x:c>
      <x:c r="K579" s="36" t="n">
        <x:v>0</x:v>
      </x:c>
      <x:c r="L579" s="36" t="n">
        <x:v>0</x:v>
      </x:c>
      <x:c r="M579" s="38" t="n">
        <x:v>1.5879534565366187</x:v>
      </x:c>
      <x:c r="N579" s="36" t="n">
        <x:v>0</x:v>
      </x:c>
    </x:row>
    <x:row r="580" ht="20" customHeight="1">
      <x:c r="C580" s="1" t="n">
        <x:v>2</x:v>
      </x:c>
      <x:c r="D580" s="1" t="n">
        <x:v>2</x:v>
      </x:c>
      <x:c r="E580" s="1" t="n">
        <x:v>20</x:v>
      </x:c>
      <x:c r="F580" s="32" t="n">
        <x:v>46888</x:v>
      </x:c>
      <x:c r="G580" s="36" t="n">
        <x:v>0</x:v>
      </x:c>
      <x:c r="H580" s="36" t="n">
        <x:v>0</x:v>
      </x:c>
      <x:c r="I580" s="36" t="n">
        <x:v>0</x:v>
      </x:c>
      <x:c r="J580" s="36" t="n">
        <x:v>0</x:v>
      </x:c>
      <x:c r="K580" s="36" t="n">
        <x:v>0</x:v>
      </x:c>
      <x:c r="L580" s="36" t="n">
        <x:v>0</x:v>
      </x:c>
      <x:c r="M580" s="38" t="n">
        <x:v>1.6646132785763177</x:v>
      </x:c>
      <x:c r="N580" s="36" t="n">
        <x:v>0</x:v>
      </x:c>
    </x:row>
    <x:row r="581" ht="20" customHeight="1">
      <x:c r="C581" s="1" t="n">
        <x:v>2</x:v>
      </x:c>
      <x:c r="D581" s="1" t="n">
        <x:v>2</x:v>
      </x:c>
      <x:c r="E581" s="1" t="n">
        <x:v>21</x:v>
      </x:c>
      <x:c r="F581" s="32" t="n">
        <x:v>46919</x:v>
      </x:c>
      <x:c r="G581" s="36" t="n">
        <x:v>0</x:v>
      </x:c>
      <x:c r="H581" s="36" t="n">
        <x:v>0</x:v>
      </x:c>
      <x:c r="I581" s="36" t="n">
        <x:v>0</x:v>
      </x:c>
      <x:c r="J581" s="36" t="n">
        <x:v>0</x:v>
      </x:c>
      <x:c r="K581" s="36" t="n">
        <x:v>0</x:v>
      </x:c>
      <x:c r="L581" s="36" t="n">
        <x:v>0</x:v>
      </x:c>
      <x:c r="M581" s="38" t="n">
        <x:v>1.7494866529774127</x:v>
      </x:c>
      <x:c r="N581" s="36" t="n">
        <x:v>0</x:v>
      </x:c>
    </x:row>
    <x:row r="582" ht="20" customHeight="1">
      <x:c r="C582" s="1" t="n">
        <x:v>2</x:v>
      </x:c>
      <x:c r="D582" s="1" t="n">
        <x:v>2</x:v>
      </x:c>
      <x:c r="E582" s="1" t="n">
        <x:v>22</x:v>
      </x:c>
      <x:c r="F582" s="32" t="n">
        <x:v>46951</x:v>
      </x:c>
      <x:c r="G582" s="36" t="n">
        <x:v>0</x:v>
      </x:c>
      <x:c r="H582" s="36" t="n">
        <x:v>0</x:v>
      </x:c>
      <x:c r="I582" s="36" t="n">
        <x:v>0</x:v>
      </x:c>
      <x:c r="J582" s="36" t="n">
        <x:v>0</x:v>
      </x:c>
      <x:c r="K582" s="36" t="n">
        <x:v>0</x:v>
      </x:c>
      <x:c r="L582" s="36" t="n">
        <x:v>0</x:v>
      </x:c>
      <x:c r="M582" s="38" t="n">
        <x:v>1.83709787816564</x:v>
      </x:c>
      <x:c r="N582" s="36" t="n">
        <x:v>0</x:v>
      </x:c>
    </x:row>
    <x:row r="583" ht="20" customHeight="1">
      <x:c r="C583" s="1" t="n">
        <x:v>2</x:v>
      </x:c>
      <x:c r="D583" s="1" t="n">
        <x:v>2</x:v>
      </x:c>
      <x:c r="E583" s="1" t="n">
        <x:v>23</x:v>
      </x:c>
      <x:c r="F583" s="32" t="n">
        <x:v>46980</x:v>
      </x:c>
      <x:c r="G583" s="36" t="n">
        <x:v>0</x:v>
      </x:c>
      <x:c r="H583" s="36" t="n">
        <x:v>0</x:v>
      </x:c>
      <x:c r="I583" s="36" t="n">
        <x:v>0</x:v>
      </x:c>
      <x:c r="J583" s="36" t="n">
        <x:v>0</x:v>
      </x:c>
      <x:c r="K583" s="36" t="n">
        <x:v>0</x:v>
      </x:c>
      <x:c r="L583" s="36" t="n">
        <x:v>0</x:v>
      </x:c>
      <x:c r="M583" s="38" t="n">
        <x:v>1.9164955509924708</x:v>
      </x:c>
      <x:c r="N583" s="36" t="n">
        <x:v>0</x:v>
      </x:c>
    </x:row>
    <x:row r="584" ht="20" customHeight="1">
      <x:c r="C584" s="1" t="n">
        <x:v>2</x:v>
      </x:c>
      <x:c r="D584" s="1" t="n">
        <x:v>2</x:v>
      </x:c>
      <x:c r="E584" s="1" t="n">
        <x:v>24</x:v>
      </x:c>
      <x:c r="F584" s="32" t="n">
        <x:v>47011</x:v>
      </x:c>
      <x:c r="G584" s="36" t="n">
        <x:v>0</x:v>
      </x:c>
      <x:c r="H584" s="36" t="n">
        <x:v>0</x:v>
      </x:c>
      <x:c r="I584" s="36" t="n">
        <x:v>0</x:v>
      </x:c>
      <x:c r="J584" s="36" t="n">
        <x:v>0</x:v>
      </x:c>
      <x:c r="K584" s="36" t="n">
        <x:v>0</x:v>
      </x:c>
      <x:c r="L584" s="36" t="n">
        <x:v>0</x:v>
      </x:c>
      <x:c r="M584" s="38" t="n">
        <x:v>2.001368925393566</x:v>
      </x:c>
      <x:c r="N584" s="36" t="n">
        <x:v>0</x:v>
      </x:c>
    </x:row>
    <x:row r="585" ht="20" customHeight="1">
      <x:c r="C585" s="1" t="n">
        <x:v>2</x:v>
      </x:c>
      <x:c r="D585" s="1" t="n">
        <x:v>2</x:v>
      </x:c>
      <x:c r="E585" s="1" t="n">
        <x:v>25</x:v>
      </x:c>
      <x:c r="F585" s="32" t="n">
        <x:v>47042</x:v>
      </x:c>
      <x:c r="G585" s="36" t="n">
        <x:v>0</x:v>
      </x:c>
      <x:c r="H585" s="36" t="n">
        <x:v>0</x:v>
      </x:c>
      <x:c r="I585" s="36" t="n">
        <x:v>0</x:v>
      </x:c>
      <x:c r="J585" s="36" t="n">
        <x:v>0</x:v>
      </x:c>
      <x:c r="K585" s="36" t="n">
        <x:v>0</x:v>
      </x:c>
      <x:c r="L585" s="36" t="n">
        <x:v>0</x:v>
      </x:c>
      <x:c r="M585" s="38" t="n">
        <x:v>2.086242299794661</x:v>
      </x:c>
      <x:c r="N585" s="36" t="n">
        <x:v>0</x:v>
      </x:c>
    </x:row>
    <x:row r="586" ht="20" customHeight="1">
      <x:c r="C586" s="1" t="n">
        <x:v>2</x:v>
      </x:c>
      <x:c r="D586" s="1" t="n">
        <x:v>2</x:v>
      </x:c>
      <x:c r="E586" s="1" t="n">
        <x:v>26</x:v>
      </x:c>
      <x:c r="F586" s="32" t="n">
        <x:v>47072</x:v>
      </x:c>
      <x:c r="G586" s="36" t="n">
        <x:v>0</x:v>
      </x:c>
      <x:c r="H586" s="36" t="n">
        <x:v>0</x:v>
      </x:c>
      <x:c r="I586" s="36" t="n">
        <x:v>0</x:v>
      </x:c>
      <x:c r="J586" s="36" t="n">
        <x:v>0</x:v>
      </x:c>
      <x:c r="K586" s="36" t="n">
        <x:v>0</x:v>
      </x:c>
      <x:c r="L586" s="36" t="n">
        <x:v>0</x:v>
      </x:c>
      <x:c r="M586" s="38" t="n">
        <x:v>2.1683778234086244</x:v>
      </x:c>
      <x:c r="N586" s="36" t="n">
        <x:v>0</x:v>
      </x:c>
    </x:row>
    <x:row r="587" ht="20" customHeight="1">
      <x:c r="C587" s="1" t="n">
        <x:v>2</x:v>
      </x:c>
      <x:c r="D587" s="1" t="n">
        <x:v>2</x:v>
      </x:c>
      <x:c r="E587" s="1" t="n">
        <x:v>27</x:v>
      </x:c>
      <x:c r="F587" s="32" t="n">
        <x:v>47102</x:v>
      </x:c>
      <x:c r="G587" s="36" t="n">
        <x:v>0</x:v>
      </x:c>
      <x:c r="H587" s="36" t="n">
        <x:v>0</x:v>
      </x:c>
      <x:c r="I587" s="36" t="n">
        <x:v>0</x:v>
      </x:c>
      <x:c r="J587" s="36" t="n">
        <x:v>0</x:v>
      </x:c>
      <x:c r="K587" s="36" t="n">
        <x:v>0</x:v>
      </x:c>
      <x:c r="L587" s="36" t="n">
        <x:v>0</x:v>
      </x:c>
      <x:c r="M587" s="38" t="n">
        <x:v>2.2505133470225873</x:v>
      </x:c>
      <x:c r="N587" s="36" t="n">
        <x:v>0</x:v>
      </x:c>
    </x:row>
    <x:row r="588" ht="20" customHeight="1">
      <x:c r="C588" s="1" t="n">
        <x:v>2</x:v>
      </x:c>
      <x:c r="D588" s="1" t="n">
        <x:v>2</x:v>
      </x:c>
      <x:c r="E588" s="1" t="n">
        <x:v>28</x:v>
      </x:c>
      <x:c r="F588" s="32" t="n">
        <x:v>47134</x:v>
      </x:c>
      <x:c r="G588" s="36" t="n">
        <x:v>0</x:v>
      </x:c>
      <x:c r="H588" s="36" t="n">
        <x:v>0</x:v>
      </x:c>
      <x:c r="I588" s="36" t="n">
        <x:v>0</x:v>
      </x:c>
      <x:c r="J588" s="36" t="n">
        <x:v>0</x:v>
      </x:c>
      <x:c r="K588" s="36" t="n">
        <x:v>0</x:v>
      </x:c>
      <x:c r="L588" s="36" t="n">
        <x:v>0</x:v>
      </x:c>
      <x:c r="M588" s="38" t="n">
        <x:v>2.3381245722108144</x:v>
      </x:c>
      <x:c r="N588" s="36" t="n">
        <x:v>0</x:v>
      </x:c>
    </x:row>
    <x:row r="589" ht="20" customHeight="1">
      <x:c r="C589" s="1" t="n">
        <x:v>2</x:v>
      </x:c>
      <x:c r="D589" s="1" t="n">
        <x:v>2</x:v>
      </x:c>
      <x:c r="E589" s="1" t="n">
        <x:v>29</x:v>
      </x:c>
      <x:c r="F589" s="32" t="n">
        <x:v>47164</x:v>
      </x:c>
      <x:c r="G589" s="36" t="n">
        <x:v>0</x:v>
      </x:c>
      <x:c r="H589" s="36" t="n">
        <x:v>0</x:v>
      </x:c>
      <x:c r="I589" s="36" t="n">
        <x:v>0</x:v>
      </x:c>
      <x:c r="J589" s="36" t="n">
        <x:v>0</x:v>
      </x:c>
      <x:c r="K589" s="36" t="n">
        <x:v>0</x:v>
      </x:c>
      <x:c r="L589" s="36" t="n">
        <x:v>0</x:v>
      </x:c>
      <x:c r="M589" s="38" t="n">
        <x:v>2.4202600958247777</x:v>
      </x:c>
      <x:c r="N589" s="36" t="n">
        <x:v>0</x:v>
      </x:c>
    </x:row>
    <x:row r="590" ht="20" customHeight="1">
      <x:c r="C590" s="1" t="n">
        <x:v>2</x:v>
      </x:c>
      <x:c r="D590" s="1" t="n">
        <x:v>2</x:v>
      </x:c>
      <x:c r="E590" s="1" t="n">
        <x:v>30</x:v>
      </x:c>
      <x:c r="F590" s="32" t="n">
        <x:v>47192</x:v>
      </x:c>
      <x:c r="G590" s="36" t="n">
        <x:v>0</x:v>
      </x:c>
      <x:c r="H590" s="36" t="n">
        <x:v>0</x:v>
      </x:c>
      <x:c r="I590" s="36" t="n">
        <x:v>0</x:v>
      </x:c>
      <x:c r="J590" s="36" t="n">
        <x:v>0</x:v>
      </x:c>
      <x:c r="K590" s="36" t="n">
        <x:v>0</x:v>
      </x:c>
      <x:c r="L590" s="36" t="n">
        <x:v>0</x:v>
      </x:c>
      <x:c r="M590" s="38" t="n">
        <x:v>2.4969199178644765</x:v>
      </x:c>
      <x:c r="N590" s="36" t="n">
        <x:v>0</x:v>
      </x:c>
    </x:row>
    <x:row r="591" ht="20" customHeight="1">
      <x:c r="C591" s="1" t="n">
        <x:v>2</x:v>
      </x:c>
      <x:c r="D591" s="1" t="n">
        <x:v>2</x:v>
      </x:c>
      <x:c r="E591" s="1" t="n">
        <x:v>31</x:v>
      </x:c>
      <x:c r="F591" s="32" t="n">
        <x:v>47224</x:v>
      </x:c>
      <x:c r="G591" s="36" t="n">
        <x:v>0</x:v>
      </x:c>
      <x:c r="H591" s="36" t="n">
        <x:v>0</x:v>
      </x:c>
      <x:c r="I591" s="36" t="n">
        <x:v>0</x:v>
      </x:c>
      <x:c r="J591" s="36" t="n">
        <x:v>0</x:v>
      </x:c>
      <x:c r="K591" s="36" t="n">
        <x:v>0</x:v>
      </x:c>
      <x:c r="L591" s="36" t="n">
        <x:v>0</x:v>
      </x:c>
      <x:c r="M591" s="38" t="n">
        <x:v>2.5845311430527036</x:v>
      </x:c>
      <x:c r="N591" s="36" t="n">
        <x:v>0</x:v>
      </x:c>
    </x:row>
    <x:row r="592" ht="20" customHeight="1">
      <x:c r="C592" s="1" t="n">
        <x:v>2</x:v>
      </x:c>
      <x:c r="D592" s="1" t="n">
        <x:v>2</x:v>
      </x:c>
      <x:c r="E592" s="1" t="n">
        <x:v>32</x:v>
      </x:c>
      <x:c r="F592" s="32" t="n">
        <x:v>47253</x:v>
      </x:c>
      <x:c r="G592" s="36" t="n">
        <x:v>0</x:v>
      </x:c>
      <x:c r="H592" s="36" t="n">
        <x:v>0</x:v>
      </x:c>
      <x:c r="I592" s="36" t="n">
        <x:v>0</x:v>
      </x:c>
      <x:c r="J592" s="36" t="n">
        <x:v>0</x:v>
      </x:c>
      <x:c r="K592" s="36" t="n">
        <x:v>0</x:v>
      </x:c>
      <x:c r="L592" s="36" t="n">
        <x:v>0</x:v>
      </x:c>
      <x:c r="M592" s="38" t="n">
        <x:v>2.6639288158795345</x:v>
      </x:c>
      <x:c r="N592" s="36" t="n">
        <x:v>0</x:v>
      </x:c>
    </x:row>
    <x:row r="593" ht="20" customHeight="1">
      <x:c r="C593" s="1" t="n">
        <x:v>2</x:v>
      </x:c>
      <x:c r="D593" s="1" t="n">
        <x:v>2</x:v>
      </x:c>
      <x:c r="E593" s="1" t="n">
        <x:v>33</x:v>
      </x:c>
      <x:c r="F593" s="32" t="n">
        <x:v>47284</x:v>
      </x:c>
      <x:c r="G593" s="36" t="n">
        <x:v>0</x:v>
      </x:c>
      <x:c r="H593" s="36" t="n">
        <x:v>0</x:v>
      </x:c>
      <x:c r="I593" s="36" t="n">
        <x:v>0</x:v>
      </x:c>
      <x:c r="J593" s="36" t="n">
        <x:v>0</x:v>
      </x:c>
      <x:c r="K593" s="36" t="n">
        <x:v>0</x:v>
      </x:c>
      <x:c r="L593" s="36" t="n">
        <x:v>0</x:v>
      </x:c>
      <x:c r="M593" s="38" t="n">
        <x:v>2.74880219028063</x:v>
      </x:c>
      <x:c r="N593" s="36" t="n">
        <x:v>0</x:v>
      </x:c>
    </x:row>
    <x:row r="594" ht="20" customHeight="1">
      <x:c r="C594" s="1" t="n">
        <x:v>2</x:v>
      </x:c>
      <x:c r="D594" s="1" t="n">
        <x:v>2</x:v>
      </x:c>
      <x:c r="E594" s="1" t="n">
        <x:v>34</x:v>
      </x:c>
      <x:c r="F594" s="32" t="n">
        <x:v>47315</x:v>
      </x:c>
      <x:c r="G594" s="36" t="n">
        <x:v>0</x:v>
      </x:c>
      <x:c r="H594" s="36" t="n">
        <x:v>0</x:v>
      </x:c>
      <x:c r="I594" s="36" t="n">
        <x:v>0</x:v>
      </x:c>
      <x:c r="J594" s="36" t="n">
        <x:v>0</x:v>
      </x:c>
      <x:c r="K594" s="36" t="n">
        <x:v>0</x:v>
      </x:c>
      <x:c r="L594" s="36" t="n">
        <x:v>0</x:v>
      </x:c>
      <x:c r="M594" s="38" t="n">
        <x:v>2.833675564681725</x:v>
      </x:c>
      <x:c r="N594" s="36" t="n">
        <x:v>0</x:v>
      </x:c>
    </x:row>
    <x:row r="595" ht="20" customHeight="1">
      <x:c r="C595" s="1" t="n">
        <x:v>2</x:v>
      </x:c>
      <x:c r="D595" s="1" t="n">
        <x:v>2</x:v>
      </x:c>
      <x:c r="E595" s="1" t="n">
        <x:v>35</x:v>
      </x:c>
      <x:c r="F595" s="32" t="n">
        <x:v>47345</x:v>
      </x:c>
      <x:c r="G595" s="36" t="n">
        <x:v>0</x:v>
      </x:c>
      <x:c r="H595" s="36" t="n">
        <x:v>0</x:v>
      </x:c>
      <x:c r="I595" s="36" t="n">
        <x:v>0</x:v>
      </x:c>
      <x:c r="J595" s="36" t="n">
        <x:v>0</x:v>
      </x:c>
      <x:c r="K595" s="36" t="n">
        <x:v>0</x:v>
      </x:c>
      <x:c r="L595" s="36" t="n">
        <x:v>0</x:v>
      </x:c>
      <x:c r="M595" s="38" t="n">
        <x:v>2.915811088295688</x:v>
      </x:c>
      <x:c r="N595" s="36" t="n">
        <x:v>0</x:v>
      </x:c>
    </x:row>
    <x:row r="596" ht="20" customHeight="1">
      <x:c r="C596" s="1" t="n">
        <x:v>2</x:v>
      </x:c>
      <x:c r="D596" s="1" t="n">
        <x:v>2</x:v>
      </x:c>
      <x:c r="E596" s="1" t="n">
        <x:v>36</x:v>
      </x:c>
      <x:c r="F596" s="32" t="n">
        <x:v>47378</x:v>
      </x:c>
      <x:c r="G596" s="36" t="n">
        <x:v>0</x:v>
      </x:c>
      <x:c r="H596" s="36" t="n">
        <x:v>0</x:v>
      </x:c>
      <x:c r="I596" s="36" t="n">
        <x:v>0</x:v>
      </x:c>
      <x:c r="J596" s="36" t="n">
        <x:v>0</x:v>
      </x:c>
      <x:c r="K596" s="36" t="n">
        <x:v>0</x:v>
      </x:c>
      <x:c r="L596" s="36" t="n">
        <x:v>0</x:v>
      </x:c>
      <x:c r="M596" s="38" t="n">
        <x:v>3.0061601642710474</x:v>
      </x:c>
      <x:c r="N596" s="36" t="n">
        <x:v>0</x:v>
      </x:c>
    </x:row>
    <x:row r="597" ht="20" customHeight="1">
      <x:c r="C597" s="1" t="n">
        <x:v>2</x:v>
      </x:c>
      <x:c r="D597" s="1" t="n">
        <x:v>2</x:v>
      </x:c>
      <x:c r="E597" s="1" t="n">
        <x:v>37</x:v>
      </x:c>
      <x:c r="F597" s="32" t="n">
        <x:v>47406</x:v>
      </x:c>
      <x:c r="G597" s="36" t="n">
        <x:v>0</x:v>
      </x:c>
      <x:c r="H597" s="36" t="n">
        <x:v>0</x:v>
      </x:c>
      <x:c r="I597" s="36" t="n">
        <x:v>0</x:v>
      </x:c>
      <x:c r="J597" s="36" t="n">
        <x:v>0</x:v>
      </x:c>
      <x:c r="K597" s="36" t="n">
        <x:v>0</x:v>
      </x:c>
      <x:c r="L597" s="36" t="n">
        <x:v>0</x:v>
      </x:c>
      <x:c r="M597" s="38" t="n">
        <x:v>3.082819986310746</x:v>
      </x:c>
      <x:c r="N597" s="36" t="n">
        <x:v>0</x:v>
      </x:c>
    </x:row>
    <x:row r="598" ht="20" customHeight="1">
      <x:c r="C598" s="1" t="n">
        <x:v>2</x:v>
      </x:c>
      <x:c r="D598" s="1" t="n">
        <x:v>2</x:v>
      </x:c>
      <x:c r="E598" s="1" t="n">
        <x:v>38</x:v>
      </x:c>
      <x:c r="F598" s="32" t="n">
        <x:v>47437</x:v>
      </x:c>
      <x:c r="G598" s="36" t="n">
        <x:v>0</x:v>
      </x:c>
      <x:c r="H598" s="36" t="n">
        <x:v>0</x:v>
      </x:c>
      <x:c r="I598" s="36" t="n">
        <x:v>0</x:v>
      </x:c>
      <x:c r="J598" s="36" t="n">
        <x:v>0</x:v>
      </x:c>
      <x:c r="K598" s="36" t="n">
        <x:v>0</x:v>
      </x:c>
      <x:c r="L598" s="36" t="n">
        <x:v>0</x:v>
      </x:c>
      <x:c r="M598" s="38" t="n">
        <x:v>3.167693360711841</x:v>
      </x:c>
      <x:c r="N598" s="36" t="n">
        <x:v>0</x:v>
      </x:c>
    </x:row>
    <x:row r="599" ht="20" customHeight="1">
      <x:c r="C599" s="1" t="n">
        <x:v>2</x:v>
      </x:c>
      <x:c r="D599" s="1" t="n">
        <x:v>2</x:v>
      </x:c>
      <x:c r="E599" s="1" t="n">
        <x:v>39</x:v>
      </x:c>
      <x:c r="F599" s="32" t="n">
        <x:v>47469</x:v>
      </x:c>
      <x:c r="G599" s="36" t="n">
        <x:v>0</x:v>
      </x:c>
      <x:c r="H599" s="36" t="n">
        <x:v>0</x:v>
      </x:c>
      <x:c r="I599" s="36" t="n">
        <x:v>0</x:v>
      </x:c>
      <x:c r="J599" s="36" t="n">
        <x:v>0</x:v>
      </x:c>
      <x:c r="K599" s="36" t="n">
        <x:v>0</x:v>
      </x:c>
      <x:c r="L599" s="36" t="n">
        <x:v>0</x:v>
      </x:c>
      <x:c r="M599" s="38" t="n">
        <x:v>3.2553045859000687</x:v>
      </x:c>
      <x:c r="N599" s="36" t="n">
        <x:v>0</x:v>
      </x:c>
    </x:row>
    <x:row r="600" ht="20" customHeight="1">
      <x:c r="C600" s="1" t="n">
        <x:v>2</x:v>
      </x:c>
      <x:c r="D600" s="1" t="n">
        <x:v>2</x:v>
      </x:c>
      <x:c r="E600" s="1" t="n">
        <x:v>40</x:v>
      </x:c>
      <x:c r="F600" s="32" t="n">
        <x:v>47498</x:v>
      </x:c>
      <x:c r="G600" s="36" t="n">
        <x:v>0</x:v>
      </x:c>
      <x:c r="H600" s="36" t="n">
        <x:v>0</x:v>
      </x:c>
      <x:c r="I600" s="36" t="n">
        <x:v>0</x:v>
      </x:c>
      <x:c r="J600" s="36" t="n">
        <x:v>0</x:v>
      </x:c>
      <x:c r="K600" s="36" t="n">
        <x:v>0</x:v>
      </x:c>
      <x:c r="L600" s="36" t="n">
        <x:v>0</x:v>
      </x:c>
      <x:c r="M600" s="38" t="n">
        <x:v>3.3347022587268995</x:v>
      </x:c>
      <x:c r="N600" s="36" t="n">
        <x:v>0</x:v>
      </x:c>
    </x:row>
    <x:row r="601" ht="20" customHeight="1">
      <x:c r="C601" s="1" t="n">
        <x:v>2</x:v>
      </x:c>
      <x:c r="D601" s="1" t="n">
        <x:v>2</x:v>
      </x:c>
      <x:c r="E601" s="1" t="n">
        <x:v>41</x:v>
      </x:c>
      <x:c r="F601" s="32" t="n">
        <x:v>47529</x:v>
      </x:c>
      <x:c r="G601" s="36" t="n">
        <x:v>0</x:v>
      </x:c>
      <x:c r="H601" s="36" t="n">
        <x:v>0</x:v>
      </x:c>
      <x:c r="I601" s="36" t="n">
        <x:v>0</x:v>
      </x:c>
      <x:c r="J601" s="36" t="n">
        <x:v>0</x:v>
      </x:c>
      <x:c r="K601" s="36" t="n">
        <x:v>0</x:v>
      </x:c>
      <x:c r="L601" s="36" t="n">
        <x:v>0</x:v>
      </x:c>
      <x:c r="M601" s="38" t="n">
        <x:v>3.4195756331279945</x:v>
      </x:c>
      <x:c r="N601" s="36" t="n">
        <x:v>0</x:v>
      </x:c>
    </x:row>
    <x:row r="602" ht="20" customHeight="1">
      <x:c r="C602" s="1" t="n">
        <x:v>2</x:v>
      </x:c>
      <x:c r="D602" s="1" t="n">
        <x:v>2</x:v>
      </x:c>
      <x:c r="E602" s="1" t="n">
        <x:v>42</x:v>
      </x:c>
      <x:c r="F602" s="32" t="n">
        <x:v>47557</x:v>
      </x:c>
      <x:c r="G602" s="36" t="n">
        <x:v>0</x:v>
      </x:c>
      <x:c r="H602" s="36" t="n">
        <x:v>0</x:v>
      </x:c>
      <x:c r="I602" s="36" t="n">
        <x:v>0</x:v>
      </x:c>
      <x:c r="J602" s="36" t="n">
        <x:v>0</x:v>
      </x:c>
      <x:c r="K602" s="36" t="n">
        <x:v>0</x:v>
      </x:c>
      <x:c r="L602" s="36" t="n">
        <x:v>0</x:v>
      </x:c>
      <x:c r="M602" s="38" t="n">
        <x:v>3.4962354551676933</x:v>
      </x:c>
      <x:c r="N602" s="36" t="n">
        <x:v>0</x:v>
      </x:c>
    </x:row>
    <x:row r="603" ht="20" customHeight="1">
      <x:c r="C603" s="1" t="n">
        <x:v>2</x:v>
      </x:c>
      <x:c r="D603" s="1" t="n">
        <x:v>2</x:v>
      </x:c>
      <x:c r="E603" s="1" t="n">
        <x:v>43</x:v>
      </x:c>
      <x:c r="F603" s="32" t="n">
        <x:v>47588</x:v>
      </x:c>
      <x:c r="G603" s="36" t="n">
        <x:v>0</x:v>
      </x:c>
      <x:c r="H603" s="36" t="n">
        <x:v>0</x:v>
      </x:c>
      <x:c r="I603" s="36" t="n">
        <x:v>0</x:v>
      </x:c>
      <x:c r="J603" s="36" t="n">
        <x:v>0</x:v>
      </x:c>
      <x:c r="K603" s="36" t="n">
        <x:v>0</x:v>
      </x:c>
      <x:c r="L603" s="36" t="n">
        <x:v>0</x:v>
      </x:c>
      <x:c r="M603" s="38" t="n">
        <x:v>3.5811088295687883</x:v>
      </x:c>
      <x:c r="N603" s="36" t="n">
        <x:v>0</x:v>
      </x:c>
    </x:row>
    <x:row r="604" ht="20" customHeight="1">
      <x:c r="C604" s="1" t="n">
        <x:v>2</x:v>
      </x:c>
      <x:c r="D604" s="1" t="n">
        <x:v>2</x:v>
      </x:c>
      <x:c r="E604" s="1" t="n">
        <x:v>44</x:v>
      </x:c>
      <x:c r="F604" s="32" t="n">
        <x:v>47618</x:v>
      </x:c>
      <x:c r="G604" s="36" t="n">
        <x:v>0</x:v>
      </x:c>
      <x:c r="H604" s="36" t="n">
        <x:v>0</x:v>
      </x:c>
      <x:c r="I604" s="36" t="n">
        <x:v>0</x:v>
      </x:c>
      <x:c r="J604" s="36" t="n">
        <x:v>0</x:v>
      </x:c>
      <x:c r="K604" s="36" t="n">
        <x:v>0</x:v>
      </x:c>
      <x:c r="L604" s="36" t="n">
        <x:v>0</x:v>
      </x:c>
      <x:c r="M604" s="38" t="n">
        <x:v>3.6632443531827517</x:v>
      </x:c>
      <x:c r="N604" s="36" t="n">
        <x:v>0</x:v>
      </x:c>
    </x:row>
    <x:row r="605" ht="20" customHeight="1">
      <x:c r="C605" s="1" t="n">
        <x:v>2</x:v>
      </x:c>
      <x:c r="D605" s="1" t="n">
        <x:v>2</x:v>
      </x:c>
      <x:c r="E605" s="1" t="n">
        <x:v>45</x:v>
      </x:c>
      <x:c r="F605" s="32" t="n">
        <x:v>47651</x:v>
      </x:c>
      <x:c r="G605" s="36" t="n">
        <x:v>0</x:v>
      </x:c>
      <x:c r="H605" s="36" t="n">
        <x:v>0</x:v>
      </x:c>
      <x:c r="I605" s="36" t="n">
        <x:v>0</x:v>
      </x:c>
      <x:c r="J605" s="36" t="n">
        <x:v>0</x:v>
      </x:c>
      <x:c r="K605" s="36" t="n">
        <x:v>0</x:v>
      </x:c>
      <x:c r="L605" s="36" t="n">
        <x:v>0</x:v>
      </x:c>
      <x:c r="M605" s="38" t="n">
        <x:v>3.753593429158111</x:v>
      </x:c>
      <x:c r="N605" s="36" t="n">
        <x:v>0</x:v>
      </x:c>
    </x:row>
    <x:row r="606" ht="20" customHeight="1">
      <x:c r="C606" s="1" t="n">
        <x:v>2</x:v>
      </x:c>
      <x:c r="D606" s="1" t="n">
        <x:v>2</x:v>
      </x:c>
      <x:c r="E606" s="1" t="n">
        <x:v>46</x:v>
      </x:c>
      <x:c r="F606" s="32" t="n">
        <x:v>47679</x:v>
      </x:c>
      <x:c r="G606" s="36" t="n">
        <x:v>0</x:v>
      </x:c>
      <x:c r="H606" s="36" t="n">
        <x:v>0</x:v>
      </x:c>
      <x:c r="I606" s="36" t="n">
        <x:v>0</x:v>
      </x:c>
      <x:c r="J606" s="36" t="n">
        <x:v>0</x:v>
      </x:c>
      <x:c r="K606" s="36" t="n">
        <x:v>0</x:v>
      </x:c>
      <x:c r="L606" s="36" t="n">
        <x:v>0</x:v>
      </x:c>
      <x:c r="M606" s="38" t="n">
        <x:v>3.8302532511978096</x:v>
      </x:c>
      <x:c r="N606" s="36" t="n">
        <x:v>0</x:v>
      </x:c>
    </x:row>
    <x:row r="607" ht="20" customHeight="1">
      <x:c r="C607" s="1" t="n">
        <x:v>2</x:v>
      </x:c>
      <x:c r="D607" s="1" t="n">
        <x:v>2</x:v>
      </x:c>
      <x:c r="E607" s="1" t="n">
        <x:v>47</x:v>
      </x:c>
      <x:c r="F607" s="32" t="n">
        <x:v>47710</x:v>
      </x:c>
      <x:c r="G607" s="36" t="n">
        <x:v>0</x:v>
      </x:c>
      <x:c r="H607" s="36" t="n">
        <x:v>0</x:v>
      </x:c>
      <x:c r="I607" s="36" t="n">
        <x:v>0</x:v>
      </x:c>
      <x:c r="J607" s="36" t="n">
        <x:v>0</x:v>
      </x:c>
      <x:c r="K607" s="36" t="n">
        <x:v>0</x:v>
      </x:c>
      <x:c r="L607" s="36" t="n">
        <x:v>0</x:v>
      </x:c>
      <x:c r="M607" s="38" t="n">
        <x:v>3.915126625598905</x:v>
      </x:c>
      <x:c r="N607" s="36" t="n">
        <x:v>0</x:v>
      </x:c>
    </x:row>
    <x:row r="608" ht="20" customHeight="1">
      <x:c r="C608" s="1" t="n">
        <x:v>2</x:v>
      </x:c>
      <x:c r="D608" s="1" t="n">
        <x:v>2</x:v>
      </x:c>
      <x:c r="E608" s="1" t="n">
        <x:v>48</x:v>
      </x:c>
      <x:c r="F608" s="32" t="n">
        <x:v>47742</x:v>
      </x:c>
      <x:c r="G608" s="36" t="n">
        <x:v>0</x:v>
      </x:c>
      <x:c r="H608" s="36" t="n">
        <x:v>0</x:v>
      </x:c>
      <x:c r="I608" s="36" t="n">
        <x:v>0</x:v>
      </x:c>
      <x:c r="J608" s="36" t="n">
        <x:v>0</x:v>
      </x:c>
      <x:c r="K608" s="36" t="n">
        <x:v>0</x:v>
      </x:c>
      <x:c r="L608" s="36" t="n">
        <x:v>0</x:v>
      </x:c>
      <x:c r="M608" s="38" t="n">
        <x:v>4.002737850787132</x:v>
      </x:c>
      <x:c r="N608" s="36" t="n">
        <x:v>0</x:v>
      </x:c>
    </x:row>
    <x:row r="609" ht="20" customHeight="1">
      <x:c r="C609" s="1" t="n">
        <x:v>2</x:v>
      </x:c>
      <x:c r="D609" s="1" t="n">
        <x:v>2</x:v>
      </x:c>
      <x:c r="E609" s="1" t="n">
        <x:v>49</x:v>
      </x:c>
      <x:c r="F609" s="32" t="n">
        <x:v>47771</x:v>
      </x:c>
      <x:c r="G609" s="36" t="n">
        <x:v>0</x:v>
      </x:c>
      <x:c r="H609" s="36" t="n">
        <x:v>0</x:v>
      </x:c>
      <x:c r="I609" s="36" t="n">
        <x:v>0</x:v>
      </x:c>
      <x:c r="J609" s="36" t="n">
        <x:v>0</x:v>
      </x:c>
      <x:c r="K609" s="36" t="n">
        <x:v>0</x:v>
      </x:c>
      <x:c r="L609" s="36" t="n">
        <x:v>0</x:v>
      </x:c>
      <x:c r="M609" s="38" t="n">
        <x:v>4.082135523613963</x:v>
      </x:c>
      <x:c r="N609" s="36" t="n">
        <x:v>0</x:v>
      </x:c>
    </x:row>
    <x:row r="610" ht="20" customHeight="1">
      <x:c r="C610" s="1" t="n">
        <x:v>2</x:v>
      </x:c>
      <x:c r="D610" s="1" t="n">
        <x:v>2</x:v>
      </x:c>
      <x:c r="E610" s="1" t="n">
        <x:v>50</x:v>
      </x:c>
      <x:c r="F610" s="32" t="n">
        <x:v>47802</x:v>
      </x:c>
      <x:c r="G610" s="36" t="n">
        <x:v>0</x:v>
      </x:c>
      <x:c r="H610" s="36" t="n">
        <x:v>0</x:v>
      </x:c>
      <x:c r="I610" s="36" t="n">
        <x:v>0</x:v>
      </x:c>
      <x:c r="J610" s="36" t="n">
        <x:v>0</x:v>
      </x:c>
      <x:c r="K610" s="36" t="n">
        <x:v>0</x:v>
      </x:c>
      <x:c r="L610" s="36" t="n">
        <x:v>0</x:v>
      </x:c>
      <x:c r="M610" s="38" t="n">
        <x:v>4.167008898015058</x:v>
      </x:c>
      <x:c r="N610" s="36" t="n">
        <x:v>0</x:v>
      </x:c>
    </x:row>
    <x:row r="611" ht="20" customHeight="1">
      <x:c r="C611" s="1" t="n">
        <x:v>2</x:v>
      </x:c>
      <x:c r="D611" s="1" t="n">
        <x:v>2</x:v>
      </x:c>
      <x:c r="E611" s="1" t="n">
        <x:v>51</x:v>
      </x:c>
      <x:c r="F611" s="32" t="n">
        <x:v>47833</x:v>
      </x:c>
      <x:c r="G611" s="36" t="n">
        <x:v>0</x:v>
      </x:c>
      <x:c r="H611" s="36" t="n">
        <x:v>0</x:v>
      </x:c>
      <x:c r="I611" s="36" t="n">
        <x:v>0</x:v>
      </x:c>
      <x:c r="J611" s="36" t="n">
        <x:v>0</x:v>
      </x:c>
      <x:c r="K611" s="36" t="n">
        <x:v>0</x:v>
      </x:c>
      <x:c r="L611" s="36" t="n">
        <x:v>0</x:v>
      </x:c>
      <x:c r="M611" s="38" t="n">
        <x:v>4.251882272416153</x:v>
      </x:c>
      <x:c r="N611" s="36" t="n">
        <x:v>0</x:v>
      </x:c>
    </x:row>
    <x:row r="612" ht="20" customHeight="1">
      <x:c r="C612" s="1" t="n">
        <x:v>2</x:v>
      </x:c>
      <x:c r="D612" s="1" t="n">
        <x:v>2</x:v>
      </x:c>
      <x:c r="E612" s="1" t="n">
        <x:v>52</x:v>
      </x:c>
      <x:c r="F612" s="32" t="n">
        <x:v>47863</x:v>
      </x:c>
      <x:c r="G612" s="36" t="n">
        <x:v>0</x:v>
      </x:c>
      <x:c r="H612" s="36" t="n">
        <x:v>0</x:v>
      </x:c>
      <x:c r="I612" s="36" t="n">
        <x:v>0</x:v>
      </x:c>
      <x:c r="J612" s="36" t="n">
        <x:v>0</x:v>
      </x:c>
      <x:c r="K612" s="36" t="n">
        <x:v>0</x:v>
      </x:c>
      <x:c r="L612" s="36" t="n">
        <x:v>0</x:v>
      </x:c>
      <x:c r="M612" s="38" t="n">
        <x:v>4.334017796030117</x:v>
      </x:c>
      <x:c r="N612" s="36" t="n">
        <x:v>0</x:v>
      </x:c>
    </x:row>
    <x:row r="613" ht="20" customHeight="1">
      <x:c r="C613" s="1" t="n">
        <x:v>2</x:v>
      </x:c>
      <x:c r="D613" s="1" t="n">
        <x:v>2</x:v>
      </x:c>
      <x:c r="E613" s="1" t="n">
        <x:v>53</x:v>
      </x:c>
      <x:c r="F613" s="32" t="n">
        <x:v>47897</x:v>
      </x:c>
      <x:c r="G613" s="36" t="n">
        <x:v>0</x:v>
      </x:c>
      <x:c r="H613" s="36" t="n">
        <x:v>0</x:v>
      </x:c>
      <x:c r="I613" s="36" t="n">
        <x:v>0</x:v>
      </x:c>
      <x:c r="J613" s="36" t="n">
        <x:v>0</x:v>
      </x:c>
      <x:c r="K613" s="36" t="n">
        <x:v>0</x:v>
      </x:c>
      <x:c r="L613" s="36" t="n">
        <x:v>0</x:v>
      </x:c>
      <x:c r="M613" s="38" t="n">
        <x:v>4.427104722792608</x:v>
      </x:c>
      <x:c r="N613" s="36" t="n">
        <x:v>0</x:v>
      </x:c>
    </x:row>
    <x:row r="614" ht="20" customHeight="1">
      <x:c r="C614" s="1" t="n">
        <x:v>2</x:v>
      </x:c>
      <x:c r="D614" s="1" t="n">
        <x:v>2</x:v>
      </x:c>
      <x:c r="E614" s="1" t="n">
        <x:v>54</x:v>
      </x:c>
      <x:c r="F614" s="32" t="n">
        <x:v>47924</x:v>
      </x:c>
      <x:c r="G614" s="36" t="n">
        <x:v>0</x:v>
      </x:c>
      <x:c r="H614" s="36" t="n">
        <x:v>0</x:v>
      </x:c>
      <x:c r="I614" s="36" t="n">
        <x:v>0</x:v>
      </x:c>
      <x:c r="J614" s="36" t="n">
        <x:v>0</x:v>
      </x:c>
      <x:c r="K614" s="36" t="n">
        <x:v>0</x:v>
      </x:c>
      <x:c r="L614" s="36" t="n">
        <x:v>0</x:v>
      </x:c>
      <x:c r="M614" s="38" t="n">
        <x:v>4.501026694045175</x:v>
      </x:c>
      <x:c r="N614" s="36" t="n">
        <x:v>0</x:v>
      </x:c>
    </x:row>
    <x:row r="615" ht="20" customHeight="1">
      <x:c r="C615" s="1" t="n">
        <x:v>2</x:v>
      </x:c>
      <x:c r="D615" s="1" t="n">
        <x:v>2</x:v>
      </x:c>
      <x:c r="E615" s="1" t="n">
        <x:v>55</x:v>
      </x:c>
      <x:c r="F615" s="32" t="n">
        <x:v>47953</x:v>
      </x:c>
      <x:c r="G615" s="36" t="n">
        <x:v>0</x:v>
      </x:c>
      <x:c r="H615" s="36" t="n">
        <x:v>0</x:v>
      </x:c>
      <x:c r="I615" s="36" t="n">
        <x:v>0</x:v>
      </x:c>
      <x:c r="J615" s="36" t="n">
        <x:v>0</x:v>
      </x:c>
      <x:c r="K615" s="36" t="n">
        <x:v>0</x:v>
      </x:c>
      <x:c r="L615" s="36" t="n">
        <x:v>0</x:v>
      </x:c>
      <x:c r="M615" s="38" t="n">
        <x:v>4.5804243668720055</x:v>
      </x:c>
      <x:c r="N615" s="36" t="n">
        <x:v>0</x:v>
      </x:c>
    </x:row>
    <x:row r="616" ht="20" customHeight="1">
      <x:c r="C616" s="1" t="n">
        <x:v>2</x:v>
      </x:c>
      <x:c r="D616" s="1" t="n">
        <x:v>2</x:v>
      </x:c>
      <x:c r="E616" s="1" t="n">
        <x:v>56</x:v>
      </x:c>
      <x:c r="F616" s="32" t="n">
        <x:v>47983</x:v>
      </x:c>
      <x:c r="G616" s="36" t="n">
        <x:v>0</x:v>
      </x:c>
      <x:c r="H616" s="36" t="n">
        <x:v>0</x:v>
      </x:c>
      <x:c r="I616" s="36" t="n">
        <x:v>0</x:v>
      </x:c>
      <x:c r="J616" s="36" t="n">
        <x:v>0</x:v>
      </x:c>
      <x:c r="K616" s="36" t="n">
        <x:v>0</x:v>
      </x:c>
      <x:c r="L616" s="36" t="n">
        <x:v>0</x:v>
      </x:c>
      <x:c r="M616" s="38" t="n">
        <x:v>4.662559890485968</x:v>
      </x:c>
      <x:c r="N616" s="36" t="n">
        <x:v>0</x:v>
      </x:c>
    </x:row>
    <x:row r="617" ht="20" customHeight="1">
      <x:c r="C617" s="1" t="n">
        <x:v>2</x:v>
      </x:c>
      <x:c r="D617" s="1" t="n">
        <x:v>2</x:v>
      </x:c>
      <x:c r="E617" s="1" t="n">
        <x:v>57</x:v>
      </x:c>
      <x:c r="F617" s="32" t="n">
        <x:v>48015</x:v>
      </x:c>
      <x:c r="G617" s="36" t="n">
        <x:v>0</x:v>
      </x:c>
      <x:c r="H617" s="36" t="n">
        <x:v>0</x:v>
      </x:c>
      <x:c r="I617" s="36" t="n">
        <x:v>0</x:v>
      </x:c>
      <x:c r="J617" s="36" t="n">
        <x:v>0</x:v>
      </x:c>
      <x:c r="K617" s="36" t="n">
        <x:v>0</x:v>
      </x:c>
      <x:c r="L617" s="36" t="n">
        <x:v>0</x:v>
      </x:c>
      <x:c r="M617" s="38" t="n">
        <x:v>4.7501711156741955</x:v>
      </x:c>
      <x:c r="N617" s="36" t="n">
        <x:v>0</x:v>
      </x:c>
    </x:row>
    <x:row r="618" ht="20" customHeight="1">
      <x:c r="C618" s="1" t="n">
        <x:v>2</x:v>
      </x:c>
      <x:c r="D618" s="1" t="n">
        <x:v>2</x:v>
      </x:c>
      <x:c r="E618" s="1" t="n">
        <x:v>58</x:v>
      </x:c>
      <x:c r="F618" s="32" t="n">
        <x:v>48044</x:v>
      </x:c>
      <x:c r="G618" s="36" t="n">
        <x:v>0</x:v>
      </x:c>
      <x:c r="H618" s="36" t="n">
        <x:v>0</x:v>
      </x:c>
      <x:c r="I618" s="36" t="n">
        <x:v>0</x:v>
      </x:c>
      <x:c r="J618" s="36" t="n">
        <x:v>0</x:v>
      </x:c>
      <x:c r="K618" s="36" t="n">
        <x:v>0</x:v>
      </x:c>
      <x:c r="L618" s="36" t="n">
        <x:v>0</x:v>
      </x:c>
      <x:c r="M618" s="38" t="n">
        <x:v>4.829568788501026</x:v>
      </x:c>
      <x:c r="N618" s="36" t="n">
        <x:v>0</x:v>
      </x:c>
    </x:row>
    <x:row r="619" ht="20" customHeight="1">
      <x:c r="C619" s="1" t="n">
        <x:v>2</x:v>
      </x:c>
      <x:c r="D619" s="1" t="n">
        <x:v>2</x:v>
      </x:c>
      <x:c r="E619" s="1" t="n">
        <x:v>59</x:v>
      </x:c>
      <x:c r="F619" s="32" t="n">
        <x:v>48075</x:v>
      </x:c>
      <x:c r="G619" s="36" t="n">
        <x:v>0</x:v>
      </x:c>
      <x:c r="H619" s="36" t="n">
        <x:v>0</x:v>
      </x:c>
      <x:c r="I619" s="36" t="n">
        <x:v>0</x:v>
      </x:c>
      <x:c r="J619" s="36" t="n">
        <x:v>0</x:v>
      </x:c>
      <x:c r="K619" s="36" t="n">
        <x:v>0</x:v>
      </x:c>
      <x:c r="L619" s="36" t="n">
        <x:v>0</x:v>
      </x:c>
      <x:c r="M619" s="38" t="n">
        <x:v>4.914442162902122</x:v>
      </x:c>
      <x:c r="N619" s="36" t="n">
        <x:v>0</x:v>
      </x:c>
    </x:row>
    <x:row r="620" ht="20" customHeight="1">
      <x:c r="C620" s="1" t="n">
        <x:v>2</x:v>
      </x:c>
      <x:c r="D620" s="1" t="n">
        <x:v>2</x:v>
      </x:c>
      <x:c r="E620" s="1" t="n">
        <x:v>60</x:v>
      </x:c>
      <x:c r="F620" s="32" t="n">
        <x:v>48106</x:v>
      </x:c>
      <x:c r="G620" s="36" t="n">
        <x:v>0</x:v>
      </x:c>
      <x:c r="H620" s="36" t="n">
        <x:v>0</x:v>
      </x:c>
      <x:c r="I620" s="36" t="n">
        <x:v>0</x:v>
      </x:c>
      <x:c r="J620" s="36" t="n">
        <x:v>0</x:v>
      </x:c>
      <x:c r="K620" s="36" t="n">
        <x:v>0</x:v>
      </x:c>
      <x:c r="L620" s="36" t="n">
        <x:v>0</x:v>
      </x:c>
      <x:c r="M620" s="38" t="n">
        <x:v>4.999315537303217</x:v>
      </x:c>
      <x:c r="N620" s="36" t="n">
        <x:v>0</x:v>
      </x:c>
    </x:row>
    <x:row r="621" ht="20" customHeight="1">
      <x:c r="C621" s="1" t="n">
        <x:v>2</x:v>
      </x:c>
      <x:c r="D621" s="1" t="n">
        <x:v>2</x:v>
      </x:c>
      <x:c r="E621" s="1" t="n">
        <x:v>61</x:v>
      </x:c>
      <x:c r="F621" s="32" t="n">
        <x:v>48136</x:v>
      </x:c>
      <x:c r="G621" s="36" t="n">
        <x:v>0</x:v>
      </x:c>
      <x:c r="H621" s="36" t="n">
        <x:v>0</x:v>
      </x:c>
      <x:c r="I621" s="36" t="n">
        <x:v>0</x:v>
      </x:c>
      <x:c r="J621" s="36" t="n">
        <x:v>0</x:v>
      </x:c>
      <x:c r="K621" s="36" t="n">
        <x:v>0</x:v>
      </x:c>
      <x:c r="L621" s="36" t="n">
        <x:v>0</x:v>
      </x:c>
      <x:c r="M621" s="38" t="n">
        <x:v>5.08145106091718</x:v>
      </x:c>
      <x:c r="N621" s="36" t="n">
        <x:v>0</x:v>
      </x:c>
    </x:row>
    <x:row r="622" ht="20" customHeight="1">
      <x:c r="C622" s="1" t="n">
        <x:v>2</x:v>
      </x:c>
      <x:c r="D622" s="1" t="n">
        <x:v>2</x:v>
      </x:c>
      <x:c r="E622" s="1" t="n">
        <x:v>62</x:v>
      </x:c>
      <x:c r="F622" s="32" t="n">
        <x:v>48169</x:v>
      </x:c>
      <x:c r="G622" s="36" t="n">
        <x:v>0</x:v>
      </x:c>
      <x:c r="H622" s="36" t="n">
        <x:v>0</x:v>
      </x:c>
      <x:c r="I622" s="36" t="n">
        <x:v>0</x:v>
      </x:c>
      <x:c r="J622" s="36" t="n">
        <x:v>0</x:v>
      </x:c>
      <x:c r="K622" s="36" t="n">
        <x:v>0</x:v>
      </x:c>
      <x:c r="L622" s="36" t="n">
        <x:v>0</x:v>
      </x:c>
      <x:c r="M622" s="38" t="n">
        <x:v>5.171800136892539</x:v>
      </x:c>
      <x:c r="N622" s="36" t="n">
        <x:v>0</x:v>
      </x:c>
    </x:row>
    <x:row r="623" ht="20" customHeight="1">
      <x:c r="C623" s="1" t="n">
        <x:v>2</x:v>
      </x:c>
      <x:c r="D623" s="1" t="n">
        <x:v>2</x:v>
      </x:c>
      <x:c r="E623" s="1" t="n">
        <x:v>63</x:v>
      </x:c>
      <x:c r="F623" s="32" t="n">
        <x:v>48197</x:v>
      </x:c>
      <x:c r="G623" s="36" t="n">
        <x:v>0</x:v>
      </x:c>
      <x:c r="H623" s="36" t="n">
        <x:v>0</x:v>
      </x:c>
      <x:c r="I623" s="36" t="n">
        <x:v>0</x:v>
      </x:c>
      <x:c r="J623" s="36" t="n">
        <x:v>0</x:v>
      </x:c>
      <x:c r="K623" s="36" t="n">
        <x:v>0</x:v>
      </x:c>
      <x:c r="L623" s="36" t="n">
        <x:v>0</x:v>
      </x:c>
      <x:c r="M623" s="38" t="n">
        <x:v>5.248459958932238</x:v>
      </x:c>
      <x:c r="N623" s="36" t="n">
        <x:v>0</x:v>
      </x:c>
    </x:row>
    <x:row r="624" ht="20" customHeight="1">
      <x:c r="C624" s="1" t="n">
        <x:v>2</x:v>
      </x:c>
      <x:c r="D624" s="1" t="n">
        <x:v>2</x:v>
      </x:c>
      <x:c r="E624" s="1" t="n">
        <x:v>64</x:v>
      </x:c>
      <x:c r="F624" s="32" t="n">
        <x:v>48228</x:v>
      </x:c>
      <x:c r="G624" s="36" t="n">
        <x:v>0</x:v>
      </x:c>
      <x:c r="H624" s="36" t="n">
        <x:v>0</x:v>
      </x:c>
      <x:c r="I624" s="36" t="n">
        <x:v>0</x:v>
      </x:c>
      <x:c r="J624" s="36" t="n">
        <x:v>0</x:v>
      </x:c>
      <x:c r="K624" s="36" t="n">
        <x:v>0</x:v>
      </x:c>
      <x:c r="L624" s="36" t="n">
        <x:v>0</x:v>
      </x:c>
      <x:c r="M624" s="38" t="n">
        <x:v>5.333333333333333</x:v>
      </x:c>
      <x:c r="N624" s="36" t="n">
        <x:v>0</x:v>
      </x:c>
    </x:row>
    <x:row r="625" ht="20" customHeight="1">
      <x:c r="C625" s="1" t="n">
        <x:v>2</x:v>
      </x:c>
      <x:c r="D625" s="1" t="n">
        <x:v>3</x:v>
      </x:c>
      <x:c r="E625" s="1" t="n">
        <x:v>1</x:v>
      </x:c>
      <x:c r="F625" s="32" t="n">
        <x:v>46310</x:v>
      </x:c>
      <x:c r="G625" s="36" t="n">
        <x:v>40763929.95</x:v>
      </x:c>
      <x:c r="H625" s="36" t="n">
        <x:v>146970.95</x:v>
      </x:c>
      <x:c r="I625" s="36" t="n">
        <x:v>7755399.7</x:v>
      </x:c>
      <x:c r="J625" s="36" t="n">
        <x:v>0</x:v>
      </x:c>
      <x:c r="K625" s="36" t="n">
        <x:v>33008530.25</x:v>
      </x:c>
      <x:c r="L625" s="36" t="n">
        <x:v>0</x:v>
      </x:c>
      <x:c r="M625" s="38" t="n">
        <x:v>0.08213552361396304</x:v>
      </x:c>
      <x:c r="N625" s="36" t="n">
        <x:v>33008530.25</x:v>
      </x:c>
    </x:row>
    <x:row r="626" ht="20" customHeight="1">
      <x:c r="C626" s="1" t="n">
        <x:v>2</x:v>
      </x:c>
      <x:c r="D626" s="1" t="n">
        <x:v>3</x:v>
      </x:c>
      <x:c r="E626" s="1" t="n">
        <x:v>2</x:v>
      </x:c>
      <x:c r="F626" s="32" t="n">
        <x:v>46342</x:v>
      </x:c>
      <x:c r="G626" s="36" t="n">
        <x:v>33008530.25</x:v>
      </x:c>
      <x:c r="H626" s="36" t="n">
        <x:v>126943.47</x:v>
      </x:c>
      <x:c r="I626" s="36" t="n">
        <x:v>7494679.48</x:v>
      </x:c>
      <x:c r="J626" s="36" t="n">
        <x:v>0</x:v>
      </x:c>
      <x:c r="K626" s="36" t="n">
        <x:v>25513850.77</x:v>
      </x:c>
      <x:c r="L626" s="36" t="n">
        <x:v>0</x:v>
      </x:c>
      <x:c r="M626" s="38" t="n">
        <x:v>0.1697467488021903</x:v>
      </x:c>
      <x:c r="N626" s="36" t="n">
        <x:v>25513850.77</x:v>
      </x:c>
    </x:row>
    <x:row r="627" ht="20" customHeight="1">
      <x:c r="C627" s="1" t="n">
        <x:v>2</x:v>
      </x:c>
      <x:c r="D627" s="1" t="n">
        <x:v>3</x:v>
      </x:c>
      <x:c r="E627" s="1" t="n">
        <x:v>3</x:v>
      </x:c>
      <x:c r="F627" s="32" t="n">
        <x:v>46371</x:v>
      </x:c>
      <x:c r="G627" s="36" t="n">
        <x:v>25513850.77</x:v>
      </x:c>
      <x:c r="H627" s="36" t="n">
        <x:v>88921.79</x:v>
      </x:c>
      <x:c r="I627" s="36" t="n">
        <x:v>7257753.74</x:v>
      </x:c>
      <x:c r="J627" s="36" t="n">
        <x:v>0</x:v>
      </x:c>
      <x:c r="K627" s="36" t="n">
        <x:v>18256097.03</x:v>
      </x:c>
      <x:c r="L627" s="36" t="n">
        <x:v>0</x:v>
      </x:c>
      <x:c r="M627" s="38" t="n">
        <x:v>0.24914442162902123</x:v>
      </x:c>
      <x:c r="N627" s="36" t="n">
        <x:v>18256097.03</x:v>
      </x:c>
    </x:row>
    <x:row r="628" ht="20" customHeight="1">
      <x:c r="C628" s="1" t="n">
        <x:v>2</x:v>
      </x:c>
      <x:c r="D628" s="1" t="n">
        <x:v>3</x:v>
      </x:c>
      <x:c r="E628" s="1" t="n">
        <x:v>4</x:v>
      </x:c>
      <x:c r="F628" s="32" t="n">
        <x:v>46402</x:v>
      </x:c>
      <x:c r="G628" s="36" t="n">
        <x:v>18256097.03</x:v>
      </x:c>
      <x:c r="H628" s="36" t="n">
        <x:v>68014.86</x:v>
      </x:c>
      <x:c r="I628" s="36" t="n">
        <x:v>7009062.49</x:v>
      </x:c>
      <x:c r="J628" s="36" t="n">
        <x:v>0</x:v>
      </x:c>
      <x:c r="K628" s="36" t="n">
        <x:v>11247034.54</x:v>
      </x:c>
      <x:c r="L628" s="36" t="n">
        <x:v>0</x:v>
      </x:c>
      <x:c r="M628" s="38" t="n">
        <x:v>0.33401779603011633</x:v>
      </x:c>
      <x:c r="N628" s="36" t="n">
        <x:v>11247034.54</x:v>
      </x:c>
    </x:row>
    <x:row r="629" ht="20" customHeight="1">
      <x:c r="C629" s="1" t="n">
        <x:v>2</x:v>
      </x:c>
      <x:c r="D629" s="1" t="n">
        <x:v>3</x:v>
      </x:c>
      <x:c r="E629" s="1" t="n">
        <x:v>5</x:v>
      </x:c>
      <x:c r="F629" s="32" t="n">
        <x:v>46434</x:v>
      </x:c>
      <x:c r="G629" s="36" t="n">
        <x:v>11247034.54</x:v>
      </x:c>
      <x:c r="H629" s="36" t="n">
        <x:v>43253.6</x:v>
      </x:c>
      <x:c r="I629" s="36" t="n">
        <x:v>7160720.31</x:v>
      </x:c>
      <x:c r="J629" s="36" t="n">
        <x:v>0</x:v>
      </x:c>
      <x:c r="K629" s="36" t="n">
        <x:v>4086314.23</x:v>
      </x:c>
      <x:c r="L629" s="36" t="n">
        <x:v>0</x:v>
      </x:c>
      <x:c r="M629" s="38" t="n">
        <x:v>0.4216290212183436</x:v>
      </x:c>
      <x:c r="N629" s="36" t="n">
        <x:v>4086314.23</x:v>
      </x:c>
    </x:row>
    <x:row r="630" ht="20" customHeight="1">
      <x:c r="C630" s="1" t="n">
        <x:v>2</x:v>
      </x:c>
      <x:c r="D630" s="1" t="n">
        <x:v>3</x:v>
      </x:c>
      <x:c r="E630" s="1" t="n">
        <x:v>6</x:v>
      </x:c>
      <x:c r="F630" s="32" t="n">
        <x:v>46461</x:v>
      </x:c>
      <x:c r="G630" s="36" t="n">
        <x:v>4086314.23</x:v>
      </x:c>
      <x:c r="H630" s="36" t="n">
        <x:v>13259.58</x:v>
      </x:c>
      <x:c r="I630" s="36" t="n">
        <x:v>4086314.23</x:v>
      </x:c>
      <x:c r="J630" s="36" t="n">
        <x:v>0</x:v>
      </x:c>
      <x:c r="K630" s="36" t="n">
        <x:v>0</x:v>
      </x:c>
      <x:c r="L630" s="36" t="n">
        <x:v>0</x:v>
      </x:c>
      <x:c r="M630" s="38" t="n">
        <x:v>0.49555099247091033</x:v>
      </x:c>
      <x:c r="N630" s="36" t="n">
        <x:v>0</x:v>
      </x:c>
    </x:row>
    <x:row r="631" ht="20" customHeight="1">
      <x:c r="C631" s="1" t="n">
        <x:v>2</x:v>
      </x:c>
      <x:c r="D631" s="1" t="n">
        <x:v>3</x:v>
      </x:c>
      <x:c r="E631" s="1" t="n">
        <x:v>7</x:v>
      </x:c>
      <x:c r="F631" s="32" t="n">
        <x:v>46492</x:v>
      </x:c>
      <x:c r="G631" s="36" t="n">
        <x:v>0</x:v>
      </x:c>
      <x:c r="H631" s="36" t="n">
        <x:v>0</x:v>
      </x:c>
      <x:c r="I631" s="36" t="n">
        <x:v>0</x:v>
      </x:c>
      <x:c r="J631" s="36" t="n">
        <x:v>0</x:v>
      </x:c>
      <x:c r="K631" s="36" t="n">
        <x:v>0</x:v>
      </x:c>
      <x:c r="L631" s="36" t="n">
        <x:v>0</x:v>
      </x:c>
      <x:c r="M631" s="38" t="n">
        <x:v>0.5804243668720055</x:v>
      </x:c>
      <x:c r="N631" s="36" t="n">
        <x:v>0</x:v>
      </x:c>
    </x:row>
    <x:row r="632" ht="20" customHeight="1">
      <x:c r="C632" s="1" t="n">
        <x:v>2</x:v>
      </x:c>
      <x:c r="D632" s="1" t="n">
        <x:v>3</x:v>
      </x:c>
      <x:c r="E632" s="1" t="n">
        <x:v>8</x:v>
      </x:c>
      <x:c r="F632" s="32" t="n">
        <x:v>46524</x:v>
      </x:c>
      <x:c r="G632" s="36" t="n">
        <x:v>0</x:v>
      </x:c>
      <x:c r="H632" s="36" t="n">
        <x:v>0</x:v>
      </x:c>
      <x:c r="I632" s="36" t="n">
        <x:v>0</x:v>
      </x:c>
      <x:c r="J632" s="36" t="n">
        <x:v>0</x:v>
      </x:c>
      <x:c r="K632" s="36" t="n">
        <x:v>0</x:v>
      </x:c>
      <x:c r="L632" s="36" t="n">
        <x:v>0</x:v>
      </x:c>
      <x:c r="M632" s="38" t="n">
        <x:v>0.6680355920602327</x:v>
      </x:c>
      <x:c r="N632" s="36" t="n">
        <x:v>0</x:v>
      </x:c>
    </x:row>
    <x:row r="633" ht="20" customHeight="1">
      <x:c r="C633" s="1" t="n">
        <x:v>2</x:v>
      </x:c>
      <x:c r="D633" s="1" t="n">
        <x:v>3</x:v>
      </x:c>
      <x:c r="E633" s="1" t="n">
        <x:v>9</x:v>
      </x:c>
      <x:c r="F633" s="32" t="n">
        <x:v>46553</x:v>
      </x:c>
      <x:c r="G633" s="36" t="n">
        <x:v>0</x:v>
      </x:c>
      <x:c r="H633" s="36" t="n">
        <x:v>0</x:v>
      </x:c>
      <x:c r="I633" s="36" t="n">
        <x:v>0</x:v>
      </x:c>
      <x:c r="J633" s="36" t="n">
        <x:v>0</x:v>
      </x:c>
      <x:c r="K633" s="36" t="n">
        <x:v>0</x:v>
      </x:c>
      <x:c r="L633" s="36" t="n">
        <x:v>0</x:v>
      </x:c>
      <x:c r="M633" s="38" t="n">
        <x:v>0.7474332648870636</x:v>
      </x:c>
      <x:c r="N633" s="36" t="n">
        <x:v>0</x:v>
      </x:c>
    </x:row>
    <x:row r="634" ht="20" customHeight="1">
      <x:c r="C634" s="1" t="n">
        <x:v>2</x:v>
      </x:c>
      <x:c r="D634" s="1" t="n">
        <x:v>3</x:v>
      </x:c>
      <x:c r="E634" s="1" t="n">
        <x:v>10</x:v>
      </x:c>
      <x:c r="F634" s="32" t="n">
        <x:v>46583</x:v>
      </x:c>
      <x:c r="G634" s="36" t="n">
        <x:v>0</x:v>
      </x:c>
      <x:c r="H634" s="36" t="n">
        <x:v>0</x:v>
      </x:c>
      <x:c r="I634" s="36" t="n">
        <x:v>0</x:v>
      </x:c>
      <x:c r="J634" s="36" t="n">
        <x:v>0</x:v>
      </x:c>
      <x:c r="K634" s="36" t="n">
        <x:v>0</x:v>
      </x:c>
      <x:c r="L634" s="36" t="n">
        <x:v>0</x:v>
      </x:c>
      <x:c r="M634" s="38" t="n">
        <x:v>0.8295687885010267</x:v>
      </x:c>
      <x:c r="N634" s="36" t="n">
        <x:v>0</x:v>
      </x:c>
    </x:row>
    <x:row r="635" ht="20" customHeight="1">
      <x:c r="C635" s="1" t="n">
        <x:v>2</x:v>
      </x:c>
      <x:c r="D635" s="1" t="n">
        <x:v>3</x:v>
      </x:c>
      <x:c r="E635" s="1" t="n">
        <x:v>11</x:v>
      </x:c>
      <x:c r="F635" s="32" t="n">
        <x:v>46615</x:v>
      </x:c>
      <x:c r="G635" s="36" t="n">
        <x:v>0</x:v>
      </x:c>
      <x:c r="H635" s="36" t="n">
        <x:v>0</x:v>
      </x:c>
      <x:c r="I635" s="36" t="n">
        <x:v>0</x:v>
      </x:c>
      <x:c r="J635" s="36" t="n">
        <x:v>0</x:v>
      </x:c>
      <x:c r="K635" s="36" t="n">
        <x:v>0</x:v>
      </x:c>
      <x:c r="L635" s="36" t="n">
        <x:v>0</x:v>
      </x:c>
      <x:c r="M635" s="38" t="n">
        <x:v>0.917180013689254</x:v>
      </x:c>
      <x:c r="N635" s="36" t="n">
        <x:v>0</x:v>
      </x:c>
    </x:row>
    <x:row r="636" ht="20" customHeight="1">
      <x:c r="C636" s="1" t="n">
        <x:v>2</x:v>
      </x:c>
      <x:c r="D636" s="1" t="n">
        <x:v>3</x:v>
      </x:c>
      <x:c r="E636" s="1" t="n">
        <x:v>12</x:v>
      </x:c>
      <x:c r="F636" s="32" t="n">
        <x:v>46645</x:v>
      </x:c>
      <x:c r="G636" s="36" t="n">
        <x:v>0</x:v>
      </x:c>
      <x:c r="H636" s="36" t="n">
        <x:v>0</x:v>
      </x:c>
      <x:c r="I636" s="36" t="n">
        <x:v>0</x:v>
      </x:c>
      <x:c r="J636" s="36" t="n">
        <x:v>0</x:v>
      </x:c>
      <x:c r="K636" s="36" t="n">
        <x:v>0</x:v>
      </x:c>
      <x:c r="L636" s="36" t="n">
        <x:v>0</x:v>
      </x:c>
      <x:c r="M636" s="38" t="n">
        <x:v>0.999315537303217</x:v>
      </x:c>
      <x:c r="N636" s="36" t="n">
        <x:v>0</x:v>
      </x:c>
    </x:row>
    <x:row r="637" ht="20" customHeight="1">
      <x:c r="C637" s="1" t="n">
        <x:v>2</x:v>
      </x:c>
      <x:c r="D637" s="1" t="n">
        <x:v>3</x:v>
      </x:c>
      <x:c r="E637" s="1" t="n">
        <x:v>13</x:v>
      </x:c>
      <x:c r="F637" s="32" t="n">
        <x:v>46675</x:v>
      </x:c>
      <x:c r="G637" s="36" t="n">
        <x:v>0</x:v>
      </x:c>
      <x:c r="H637" s="36" t="n">
        <x:v>0</x:v>
      </x:c>
      <x:c r="I637" s="36" t="n">
        <x:v>0</x:v>
      </x:c>
      <x:c r="J637" s="36" t="n">
        <x:v>0</x:v>
      </x:c>
      <x:c r="K637" s="36" t="n">
        <x:v>0</x:v>
      </x:c>
      <x:c r="L637" s="36" t="n">
        <x:v>0</x:v>
      </x:c>
      <x:c r="M637" s="38" t="n">
        <x:v>1.08145106091718</x:v>
      </x:c>
      <x:c r="N637" s="36" t="n">
        <x:v>0</x:v>
      </x:c>
    </x:row>
    <x:row r="638" ht="20" customHeight="1">
      <x:c r="C638" s="1" t="n">
        <x:v>2</x:v>
      </x:c>
      <x:c r="D638" s="1" t="n">
        <x:v>3</x:v>
      </x:c>
      <x:c r="E638" s="1" t="n">
        <x:v>14</x:v>
      </x:c>
      <x:c r="F638" s="32" t="n">
        <x:v>46706</x:v>
      </x:c>
      <x:c r="G638" s="36" t="n">
        <x:v>0</x:v>
      </x:c>
      <x:c r="H638" s="36" t="n">
        <x:v>0</x:v>
      </x:c>
      <x:c r="I638" s="36" t="n">
        <x:v>0</x:v>
      </x:c>
      <x:c r="J638" s="36" t="n">
        <x:v>0</x:v>
      </x:c>
      <x:c r="K638" s="36" t="n">
        <x:v>0</x:v>
      </x:c>
      <x:c r="L638" s="36" t="n">
        <x:v>0</x:v>
      </x:c>
      <x:c r="M638" s="38" t="n">
        <x:v>1.1663244353182751</x:v>
      </x:c>
      <x:c r="N638" s="36" t="n">
        <x:v>0</x:v>
      </x:c>
    </x:row>
    <x:row r="639" ht="20" customHeight="1">
      <x:c r="C639" s="1" t="n">
        <x:v>2</x:v>
      </x:c>
      <x:c r="D639" s="1" t="n">
        <x:v>3</x:v>
      </x:c>
      <x:c r="E639" s="1" t="n">
        <x:v>15</x:v>
      </x:c>
      <x:c r="F639" s="32" t="n">
        <x:v>46736</x:v>
      </x:c>
      <x:c r="G639" s="36" t="n">
        <x:v>0</x:v>
      </x:c>
      <x:c r="H639" s="36" t="n">
        <x:v>0</x:v>
      </x:c>
      <x:c r="I639" s="36" t="n">
        <x:v>0</x:v>
      </x:c>
      <x:c r="J639" s="36" t="n">
        <x:v>0</x:v>
      </x:c>
      <x:c r="K639" s="36" t="n">
        <x:v>0</x:v>
      </x:c>
      <x:c r="L639" s="36" t="n">
        <x:v>0</x:v>
      </x:c>
      <x:c r="M639" s="38" t="n">
        <x:v>1.2484599589322383</x:v>
      </x:c>
      <x:c r="N639" s="36" t="n">
        <x:v>0</x:v>
      </x:c>
    </x:row>
    <x:row r="640" ht="20" customHeight="1">
      <x:c r="C640" s="1" t="n">
        <x:v>2</x:v>
      </x:c>
      <x:c r="D640" s="1" t="n">
        <x:v>3</x:v>
      </x:c>
      <x:c r="E640" s="1" t="n">
        <x:v>16</x:v>
      </x:c>
      <x:c r="F640" s="32" t="n">
        <x:v>46770</x:v>
      </x:c>
      <x:c r="G640" s="36" t="n">
        <x:v>0</x:v>
      </x:c>
      <x:c r="H640" s="36" t="n">
        <x:v>0</x:v>
      </x:c>
      <x:c r="I640" s="36" t="n">
        <x:v>0</x:v>
      </x:c>
      <x:c r="J640" s="36" t="n">
        <x:v>0</x:v>
      </x:c>
      <x:c r="K640" s="36" t="n">
        <x:v>0</x:v>
      </x:c>
      <x:c r="L640" s="36" t="n">
        <x:v>0</x:v>
      </x:c>
      <x:c r="M640" s="38" t="n">
        <x:v>1.3415468856947297</x:v>
      </x:c>
      <x:c r="N640" s="36" t="n">
        <x:v>0</x:v>
      </x:c>
    </x:row>
    <x:row r="641" ht="20" customHeight="1">
      <x:c r="C641" s="1" t="n">
        <x:v>2</x:v>
      </x:c>
      <x:c r="D641" s="1" t="n">
        <x:v>3</x:v>
      </x:c>
      <x:c r="E641" s="1" t="n">
        <x:v>17</x:v>
      </x:c>
      <x:c r="F641" s="32" t="n">
        <x:v>46798</x:v>
      </x:c>
      <x:c r="G641" s="36" t="n">
        <x:v>0</x:v>
      </x:c>
      <x:c r="H641" s="36" t="n">
        <x:v>0</x:v>
      </x:c>
      <x:c r="I641" s="36" t="n">
        <x:v>0</x:v>
      </x:c>
      <x:c r="J641" s="36" t="n">
        <x:v>0</x:v>
      </x:c>
      <x:c r="K641" s="36" t="n">
        <x:v>0</x:v>
      </x:c>
      <x:c r="L641" s="36" t="n">
        <x:v>0</x:v>
      </x:c>
      <x:c r="M641" s="38" t="n">
        <x:v>1.4182067077344285</x:v>
      </x:c>
      <x:c r="N641" s="36" t="n">
        <x:v>0</x:v>
      </x:c>
    </x:row>
    <x:row r="642" ht="20" customHeight="1">
      <x:c r="C642" s="1" t="n">
        <x:v>2</x:v>
      </x:c>
      <x:c r="D642" s="1" t="n">
        <x:v>3</x:v>
      </x:c>
      <x:c r="E642" s="1" t="n">
        <x:v>18</x:v>
      </x:c>
      <x:c r="F642" s="32" t="n">
        <x:v>46827</x:v>
      </x:c>
      <x:c r="G642" s="36" t="n">
        <x:v>0</x:v>
      </x:c>
      <x:c r="H642" s="36" t="n">
        <x:v>0</x:v>
      </x:c>
      <x:c r="I642" s="36" t="n">
        <x:v>0</x:v>
      </x:c>
      <x:c r="J642" s="36" t="n">
        <x:v>0</x:v>
      </x:c>
      <x:c r="K642" s="36" t="n">
        <x:v>0</x:v>
      </x:c>
      <x:c r="L642" s="36" t="n">
        <x:v>0</x:v>
      </x:c>
      <x:c r="M642" s="38" t="n">
        <x:v>1.4976043805612593</x:v>
      </x:c>
      <x:c r="N642" s="36" t="n">
        <x:v>0</x:v>
      </x:c>
    </x:row>
    <x:row r="643" ht="20" customHeight="1">
      <x:c r="C643" s="1" t="n">
        <x:v>2</x:v>
      </x:c>
      <x:c r="D643" s="1" t="n">
        <x:v>3</x:v>
      </x:c>
      <x:c r="E643" s="1" t="n">
        <x:v>19</x:v>
      </x:c>
      <x:c r="F643" s="32" t="n">
        <x:v>46860</x:v>
      </x:c>
      <x:c r="G643" s="36" t="n">
        <x:v>0</x:v>
      </x:c>
      <x:c r="H643" s="36" t="n">
        <x:v>0</x:v>
      </x:c>
      <x:c r="I643" s="36" t="n">
        <x:v>0</x:v>
      </x:c>
      <x:c r="J643" s="36" t="n">
        <x:v>0</x:v>
      </x:c>
      <x:c r="K643" s="36" t="n">
        <x:v>0</x:v>
      </x:c>
      <x:c r="L643" s="36" t="n">
        <x:v>0</x:v>
      </x:c>
      <x:c r="M643" s="38" t="n">
        <x:v>1.5879534565366187</x:v>
      </x:c>
      <x:c r="N643" s="36" t="n">
        <x:v>0</x:v>
      </x:c>
    </x:row>
    <x:row r="644" ht="20" customHeight="1">
      <x:c r="C644" s="1" t="n">
        <x:v>2</x:v>
      </x:c>
      <x:c r="D644" s="1" t="n">
        <x:v>3</x:v>
      </x:c>
      <x:c r="E644" s="1" t="n">
        <x:v>20</x:v>
      </x:c>
      <x:c r="F644" s="32" t="n">
        <x:v>46888</x:v>
      </x:c>
      <x:c r="G644" s="36" t="n">
        <x:v>0</x:v>
      </x:c>
      <x:c r="H644" s="36" t="n">
        <x:v>0</x:v>
      </x:c>
      <x:c r="I644" s="36" t="n">
        <x:v>0</x:v>
      </x:c>
      <x:c r="J644" s="36" t="n">
        <x:v>0</x:v>
      </x:c>
      <x:c r="K644" s="36" t="n">
        <x:v>0</x:v>
      </x:c>
      <x:c r="L644" s="36" t="n">
        <x:v>0</x:v>
      </x:c>
      <x:c r="M644" s="38" t="n">
        <x:v>1.6646132785763177</x:v>
      </x:c>
      <x:c r="N644" s="36" t="n">
        <x:v>0</x:v>
      </x:c>
    </x:row>
    <x:row r="645" ht="20" customHeight="1">
      <x:c r="C645" s="1" t="n">
        <x:v>2</x:v>
      </x:c>
      <x:c r="D645" s="1" t="n">
        <x:v>3</x:v>
      </x:c>
      <x:c r="E645" s="1" t="n">
        <x:v>21</x:v>
      </x:c>
      <x:c r="F645" s="32" t="n">
        <x:v>46919</x:v>
      </x:c>
      <x:c r="G645" s="36" t="n">
        <x:v>0</x:v>
      </x:c>
      <x:c r="H645" s="36" t="n">
        <x:v>0</x:v>
      </x:c>
      <x:c r="I645" s="36" t="n">
        <x:v>0</x:v>
      </x:c>
      <x:c r="J645" s="36" t="n">
        <x:v>0</x:v>
      </x:c>
      <x:c r="K645" s="36" t="n">
        <x:v>0</x:v>
      </x:c>
      <x:c r="L645" s="36" t="n">
        <x:v>0</x:v>
      </x:c>
      <x:c r="M645" s="38" t="n">
        <x:v>1.7494866529774127</x:v>
      </x:c>
      <x:c r="N645" s="36" t="n">
        <x:v>0</x:v>
      </x:c>
    </x:row>
    <x:row r="646" ht="20" customHeight="1">
      <x:c r="C646" s="1" t="n">
        <x:v>2</x:v>
      </x:c>
      <x:c r="D646" s="1" t="n">
        <x:v>3</x:v>
      </x:c>
      <x:c r="E646" s="1" t="n">
        <x:v>22</x:v>
      </x:c>
      <x:c r="F646" s="32" t="n">
        <x:v>46951</x:v>
      </x:c>
      <x:c r="G646" s="36" t="n">
        <x:v>0</x:v>
      </x:c>
      <x:c r="H646" s="36" t="n">
        <x:v>0</x:v>
      </x:c>
      <x:c r="I646" s="36" t="n">
        <x:v>0</x:v>
      </x:c>
      <x:c r="J646" s="36" t="n">
        <x:v>0</x:v>
      </x:c>
      <x:c r="K646" s="36" t="n">
        <x:v>0</x:v>
      </x:c>
      <x:c r="L646" s="36" t="n">
        <x:v>0</x:v>
      </x:c>
      <x:c r="M646" s="38" t="n">
        <x:v>1.83709787816564</x:v>
      </x:c>
      <x:c r="N646" s="36" t="n">
        <x:v>0</x:v>
      </x:c>
    </x:row>
    <x:row r="647" ht="20" customHeight="1">
      <x:c r="C647" s="1" t="n">
        <x:v>2</x:v>
      </x:c>
      <x:c r="D647" s="1" t="n">
        <x:v>3</x:v>
      </x:c>
      <x:c r="E647" s="1" t="n">
        <x:v>23</x:v>
      </x:c>
      <x:c r="F647" s="32" t="n">
        <x:v>46980</x:v>
      </x:c>
      <x:c r="G647" s="36" t="n">
        <x:v>0</x:v>
      </x:c>
      <x:c r="H647" s="36" t="n">
        <x:v>0</x:v>
      </x:c>
      <x:c r="I647" s="36" t="n">
        <x:v>0</x:v>
      </x:c>
      <x:c r="J647" s="36" t="n">
        <x:v>0</x:v>
      </x:c>
      <x:c r="K647" s="36" t="n">
        <x:v>0</x:v>
      </x:c>
      <x:c r="L647" s="36" t="n">
        <x:v>0</x:v>
      </x:c>
      <x:c r="M647" s="38" t="n">
        <x:v>1.9164955509924708</x:v>
      </x:c>
      <x:c r="N647" s="36" t="n">
        <x:v>0</x:v>
      </x:c>
    </x:row>
    <x:row r="648" ht="20" customHeight="1">
      <x:c r="C648" s="1" t="n">
        <x:v>2</x:v>
      </x:c>
      <x:c r="D648" s="1" t="n">
        <x:v>3</x:v>
      </x:c>
      <x:c r="E648" s="1" t="n">
        <x:v>24</x:v>
      </x:c>
      <x:c r="F648" s="32" t="n">
        <x:v>47011</x:v>
      </x:c>
      <x:c r="G648" s="36" t="n">
        <x:v>0</x:v>
      </x:c>
      <x:c r="H648" s="36" t="n">
        <x:v>0</x:v>
      </x:c>
      <x:c r="I648" s="36" t="n">
        <x:v>0</x:v>
      </x:c>
      <x:c r="J648" s="36" t="n">
        <x:v>0</x:v>
      </x:c>
      <x:c r="K648" s="36" t="n">
        <x:v>0</x:v>
      </x:c>
      <x:c r="L648" s="36" t="n">
        <x:v>0</x:v>
      </x:c>
      <x:c r="M648" s="38" t="n">
        <x:v>2.001368925393566</x:v>
      </x:c>
      <x:c r="N648" s="36" t="n">
        <x:v>0</x:v>
      </x:c>
    </x:row>
    <x:row r="649" ht="20" customHeight="1">
      <x:c r="C649" s="1" t="n">
        <x:v>2</x:v>
      </x:c>
      <x:c r="D649" s="1" t="n">
        <x:v>3</x:v>
      </x:c>
      <x:c r="E649" s="1" t="n">
        <x:v>25</x:v>
      </x:c>
      <x:c r="F649" s="32" t="n">
        <x:v>47042</x:v>
      </x:c>
      <x:c r="G649" s="36" t="n">
        <x:v>0</x:v>
      </x:c>
      <x:c r="H649" s="36" t="n">
        <x:v>0</x:v>
      </x:c>
      <x:c r="I649" s="36" t="n">
        <x:v>0</x:v>
      </x:c>
      <x:c r="J649" s="36" t="n">
        <x:v>0</x:v>
      </x:c>
      <x:c r="K649" s="36" t="n">
        <x:v>0</x:v>
      </x:c>
      <x:c r="L649" s="36" t="n">
        <x:v>0</x:v>
      </x:c>
      <x:c r="M649" s="38" t="n">
        <x:v>2.086242299794661</x:v>
      </x:c>
      <x:c r="N649" s="36" t="n">
        <x:v>0</x:v>
      </x:c>
    </x:row>
    <x:row r="650" ht="20" customHeight="1">
      <x:c r="C650" s="1" t="n">
        <x:v>2</x:v>
      </x:c>
      <x:c r="D650" s="1" t="n">
        <x:v>3</x:v>
      </x:c>
      <x:c r="E650" s="1" t="n">
        <x:v>26</x:v>
      </x:c>
      <x:c r="F650" s="32" t="n">
        <x:v>47072</x:v>
      </x:c>
      <x:c r="G650" s="36" t="n">
        <x:v>0</x:v>
      </x:c>
      <x:c r="H650" s="36" t="n">
        <x:v>0</x:v>
      </x:c>
      <x:c r="I650" s="36" t="n">
        <x:v>0</x:v>
      </x:c>
      <x:c r="J650" s="36" t="n">
        <x:v>0</x:v>
      </x:c>
      <x:c r="K650" s="36" t="n">
        <x:v>0</x:v>
      </x:c>
      <x:c r="L650" s="36" t="n">
        <x:v>0</x:v>
      </x:c>
      <x:c r="M650" s="38" t="n">
        <x:v>2.1683778234086244</x:v>
      </x:c>
      <x:c r="N650" s="36" t="n">
        <x:v>0</x:v>
      </x:c>
    </x:row>
    <x:row r="651" ht="20" customHeight="1">
      <x:c r="C651" s="1" t="n">
        <x:v>2</x:v>
      </x:c>
      <x:c r="D651" s="1" t="n">
        <x:v>3</x:v>
      </x:c>
      <x:c r="E651" s="1" t="n">
        <x:v>27</x:v>
      </x:c>
      <x:c r="F651" s="32" t="n">
        <x:v>47102</x:v>
      </x:c>
      <x:c r="G651" s="36" t="n">
        <x:v>0</x:v>
      </x:c>
      <x:c r="H651" s="36" t="n">
        <x:v>0</x:v>
      </x:c>
      <x:c r="I651" s="36" t="n">
        <x:v>0</x:v>
      </x:c>
      <x:c r="J651" s="36" t="n">
        <x:v>0</x:v>
      </x:c>
      <x:c r="K651" s="36" t="n">
        <x:v>0</x:v>
      </x:c>
      <x:c r="L651" s="36" t="n">
        <x:v>0</x:v>
      </x:c>
      <x:c r="M651" s="38" t="n">
        <x:v>2.2505133470225873</x:v>
      </x:c>
      <x:c r="N651" s="36" t="n">
        <x:v>0</x:v>
      </x:c>
    </x:row>
    <x:row r="652" ht="20" customHeight="1">
      <x:c r="C652" s="1" t="n">
        <x:v>2</x:v>
      </x:c>
      <x:c r="D652" s="1" t="n">
        <x:v>3</x:v>
      </x:c>
      <x:c r="E652" s="1" t="n">
        <x:v>28</x:v>
      </x:c>
      <x:c r="F652" s="32" t="n">
        <x:v>47134</x:v>
      </x:c>
      <x:c r="G652" s="36" t="n">
        <x:v>0</x:v>
      </x:c>
      <x:c r="H652" s="36" t="n">
        <x:v>0</x:v>
      </x:c>
      <x:c r="I652" s="36" t="n">
        <x:v>0</x:v>
      </x:c>
      <x:c r="J652" s="36" t="n">
        <x:v>0</x:v>
      </x:c>
      <x:c r="K652" s="36" t="n">
        <x:v>0</x:v>
      </x:c>
      <x:c r="L652" s="36" t="n">
        <x:v>0</x:v>
      </x:c>
      <x:c r="M652" s="38" t="n">
        <x:v>2.3381245722108144</x:v>
      </x:c>
      <x:c r="N652" s="36" t="n">
        <x:v>0</x:v>
      </x:c>
    </x:row>
    <x:row r="653" ht="20" customHeight="1">
      <x:c r="C653" s="1" t="n">
        <x:v>2</x:v>
      </x:c>
      <x:c r="D653" s="1" t="n">
        <x:v>3</x:v>
      </x:c>
      <x:c r="E653" s="1" t="n">
        <x:v>29</x:v>
      </x:c>
      <x:c r="F653" s="32" t="n">
        <x:v>47164</x:v>
      </x:c>
      <x:c r="G653" s="36" t="n">
        <x:v>0</x:v>
      </x:c>
      <x:c r="H653" s="36" t="n">
        <x:v>0</x:v>
      </x:c>
      <x:c r="I653" s="36" t="n">
        <x:v>0</x:v>
      </x:c>
      <x:c r="J653" s="36" t="n">
        <x:v>0</x:v>
      </x:c>
      <x:c r="K653" s="36" t="n">
        <x:v>0</x:v>
      </x:c>
      <x:c r="L653" s="36" t="n">
        <x:v>0</x:v>
      </x:c>
      <x:c r="M653" s="38" t="n">
        <x:v>2.4202600958247777</x:v>
      </x:c>
      <x:c r="N653" s="36" t="n">
        <x:v>0</x:v>
      </x:c>
    </x:row>
    <x:row r="654" ht="20" customHeight="1">
      <x:c r="C654" s="1" t="n">
        <x:v>2</x:v>
      </x:c>
      <x:c r="D654" s="1" t="n">
        <x:v>3</x:v>
      </x:c>
      <x:c r="E654" s="1" t="n">
        <x:v>30</x:v>
      </x:c>
      <x:c r="F654" s="32" t="n">
        <x:v>47192</x:v>
      </x:c>
      <x:c r="G654" s="36" t="n">
        <x:v>0</x:v>
      </x:c>
      <x:c r="H654" s="36" t="n">
        <x:v>0</x:v>
      </x:c>
      <x:c r="I654" s="36" t="n">
        <x:v>0</x:v>
      </x:c>
      <x:c r="J654" s="36" t="n">
        <x:v>0</x:v>
      </x:c>
      <x:c r="K654" s="36" t="n">
        <x:v>0</x:v>
      </x:c>
      <x:c r="L654" s="36" t="n">
        <x:v>0</x:v>
      </x:c>
      <x:c r="M654" s="38" t="n">
        <x:v>2.4969199178644765</x:v>
      </x:c>
      <x:c r="N654" s="36" t="n">
        <x:v>0</x:v>
      </x:c>
    </x:row>
    <x:row r="655" ht="20" customHeight="1">
      <x:c r="C655" s="1" t="n">
        <x:v>2</x:v>
      </x:c>
      <x:c r="D655" s="1" t="n">
        <x:v>3</x:v>
      </x:c>
      <x:c r="E655" s="1" t="n">
        <x:v>31</x:v>
      </x:c>
      <x:c r="F655" s="32" t="n">
        <x:v>47224</x:v>
      </x:c>
      <x:c r="G655" s="36" t="n">
        <x:v>0</x:v>
      </x:c>
      <x:c r="H655" s="36" t="n">
        <x:v>0</x:v>
      </x:c>
      <x:c r="I655" s="36" t="n">
        <x:v>0</x:v>
      </x:c>
      <x:c r="J655" s="36" t="n">
        <x:v>0</x:v>
      </x:c>
      <x:c r="K655" s="36" t="n">
        <x:v>0</x:v>
      </x:c>
      <x:c r="L655" s="36" t="n">
        <x:v>0</x:v>
      </x:c>
      <x:c r="M655" s="38" t="n">
        <x:v>2.5845311430527036</x:v>
      </x:c>
      <x:c r="N655" s="36" t="n">
        <x:v>0</x:v>
      </x:c>
    </x:row>
    <x:row r="656" ht="20" customHeight="1">
      <x:c r="C656" s="1" t="n">
        <x:v>2</x:v>
      </x:c>
      <x:c r="D656" s="1" t="n">
        <x:v>3</x:v>
      </x:c>
      <x:c r="E656" s="1" t="n">
        <x:v>32</x:v>
      </x:c>
      <x:c r="F656" s="32" t="n">
        <x:v>47253</x:v>
      </x:c>
      <x:c r="G656" s="36" t="n">
        <x:v>0</x:v>
      </x:c>
      <x:c r="H656" s="36" t="n">
        <x:v>0</x:v>
      </x:c>
      <x:c r="I656" s="36" t="n">
        <x:v>0</x:v>
      </x:c>
      <x:c r="J656" s="36" t="n">
        <x:v>0</x:v>
      </x:c>
      <x:c r="K656" s="36" t="n">
        <x:v>0</x:v>
      </x:c>
      <x:c r="L656" s="36" t="n">
        <x:v>0</x:v>
      </x:c>
      <x:c r="M656" s="38" t="n">
        <x:v>2.6639288158795345</x:v>
      </x:c>
      <x:c r="N656" s="36" t="n">
        <x:v>0</x:v>
      </x:c>
    </x:row>
    <x:row r="657" ht="20" customHeight="1">
      <x:c r="C657" s="1" t="n">
        <x:v>2</x:v>
      </x:c>
      <x:c r="D657" s="1" t="n">
        <x:v>3</x:v>
      </x:c>
      <x:c r="E657" s="1" t="n">
        <x:v>33</x:v>
      </x:c>
      <x:c r="F657" s="32" t="n">
        <x:v>47284</x:v>
      </x:c>
      <x:c r="G657" s="36" t="n">
        <x:v>0</x:v>
      </x:c>
      <x:c r="H657" s="36" t="n">
        <x:v>0</x:v>
      </x:c>
      <x:c r="I657" s="36" t="n">
        <x:v>0</x:v>
      </x:c>
      <x:c r="J657" s="36" t="n">
        <x:v>0</x:v>
      </x:c>
      <x:c r="K657" s="36" t="n">
        <x:v>0</x:v>
      </x:c>
      <x:c r="L657" s="36" t="n">
        <x:v>0</x:v>
      </x:c>
      <x:c r="M657" s="38" t="n">
        <x:v>2.74880219028063</x:v>
      </x:c>
      <x:c r="N657" s="36" t="n">
        <x:v>0</x:v>
      </x:c>
    </x:row>
    <x:row r="658" ht="20" customHeight="1">
      <x:c r="C658" s="1" t="n">
        <x:v>2</x:v>
      </x:c>
      <x:c r="D658" s="1" t="n">
        <x:v>3</x:v>
      </x:c>
      <x:c r="E658" s="1" t="n">
        <x:v>34</x:v>
      </x:c>
      <x:c r="F658" s="32" t="n">
        <x:v>47315</x:v>
      </x:c>
      <x:c r="G658" s="36" t="n">
        <x:v>0</x:v>
      </x:c>
      <x:c r="H658" s="36" t="n">
        <x:v>0</x:v>
      </x:c>
      <x:c r="I658" s="36" t="n">
        <x:v>0</x:v>
      </x:c>
      <x:c r="J658" s="36" t="n">
        <x:v>0</x:v>
      </x:c>
      <x:c r="K658" s="36" t="n">
        <x:v>0</x:v>
      </x:c>
      <x:c r="L658" s="36" t="n">
        <x:v>0</x:v>
      </x:c>
      <x:c r="M658" s="38" t="n">
        <x:v>2.833675564681725</x:v>
      </x:c>
      <x:c r="N658" s="36" t="n">
        <x:v>0</x:v>
      </x:c>
    </x:row>
    <x:row r="659" ht="20" customHeight="1">
      <x:c r="C659" s="1" t="n">
        <x:v>2</x:v>
      </x:c>
      <x:c r="D659" s="1" t="n">
        <x:v>3</x:v>
      </x:c>
      <x:c r="E659" s="1" t="n">
        <x:v>35</x:v>
      </x:c>
      <x:c r="F659" s="32" t="n">
        <x:v>47345</x:v>
      </x:c>
      <x:c r="G659" s="36" t="n">
        <x:v>0</x:v>
      </x:c>
      <x:c r="H659" s="36" t="n">
        <x:v>0</x:v>
      </x:c>
      <x:c r="I659" s="36" t="n">
        <x:v>0</x:v>
      </x:c>
      <x:c r="J659" s="36" t="n">
        <x:v>0</x:v>
      </x:c>
      <x:c r="K659" s="36" t="n">
        <x:v>0</x:v>
      </x:c>
      <x:c r="L659" s="36" t="n">
        <x:v>0</x:v>
      </x:c>
      <x:c r="M659" s="38" t="n">
        <x:v>2.915811088295688</x:v>
      </x:c>
      <x:c r="N659" s="36" t="n">
        <x:v>0</x:v>
      </x:c>
    </x:row>
    <x:row r="660" ht="20" customHeight="1">
      <x:c r="C660" s="1" t="n">
        <x:v>2</x:v>
      </x:c>
      <x:c r="D660" s="1" t="n">
        <x:v>3</x:v>
      </x:c>
      <x:c r="E660" s="1" t="n">
        <x:v>36</x:v>
      </x:c>
      <x:c r="F660" s="32" t="n">
        <x:v>47378</x:v>
      </x:c>
      <x:c r="G660" s="36" t="n">
        <x:v>0</x:v>
      </x:c>
      <x:c r="H660" s="36" t="n">
        <x:v>0</x:v>
      </x:c>
      <x:c r="I660" s="36" t="n">
        <x:v>0</x:v>
      </x:c>
      <x:c r="J660" s="36" t="n">
        <x:v>0</x:v>
      </x:c>
      <x:c r="K660" s="36" t="n">
        <x:v>0</x:v>
      </x:c>
      <x:c r="L660" s="36" t="n">
        <x:v>0</x:v>
      </x:c>
      <x:c r="M660" s="38" t="n">
        <x:v>3.0061601642710474</x:v>
      </x:c>
      <x:c r="N660" s="36" t="n">
        <x:v>0</x:v>
      </x:c>
    </x:row>
    <x:row r="661" ht="20" customHeight="1">
      <x:c r="C661" s="1" t="n">
        <x:v>2</x:v>
      </x:c>
      <x:c r="D661" s="1" t="n">
        <x:v>3</x:v>
      </x:c>
      <x:c r="E661" s="1" t="n">
        <x:v>37</x:v>
      </x:c>
      <x:c r="F661" s="32" t="n">
        <x:v>47406</x:v>
      </x:c>
      <x:c r="G661" s="36" t="n">
        <x:v>0</x:v>
      </x:c>
      <x:c r="H661" s="36" t="n">
        <x:v>0</x:v>
      </x:c>
      <x:c r="I661" s="36" t="n">
        <x:v>0</x:v>
      </x:c>
      <x:c r="J661" s="36" t="n">
        <x:v>0</x:v>
      </x:c>
      <x:c r="K661" s="36" t="n">
        <x:v>0</x:v>
      </x:c>
      <x:c r="L661" s="36" t="n">
        <x:v>0</x:v>
      </x:c>
      <x:c r="M661" s="38" t="n">
        <x:v>3.082819986310746</x:v>
      </x:c>
      <x:c r="N661" s="36" t="n">
        <x:v>0</x:v>
      </x:c>
    </x:row>
    <x:row r="662" ht="20" customHeight="1">
      <x:c r="C662" s="1" t="n">
        <x:v>2</x:v>
      </x:c>
      <x:c r="D662" s="1" t="n">
        <x:v>3</x:v>
      </x:c>
      <x:c r="E662" s="1" t="n">
        <x:v>38</x:v>
      </x:c>
      <x:c r="F662" s="32" t="n">
        <x:v>47437</x:v>
      </x:c>
      <x:c r="G662" s="36" t="n">
        <x:v>0</x:v>
      </x:c>
      <x:c r="H662" s="36" t="n">
        <x:v>0</x:v>
      </x:c>
      <x:c r="I662" s="36" t="n">
        <x:v>0</x:v>
      </x:c>
      <x:c r="J662" s="36" t="n">
        <x:v>0</x:v>
      </x:c>
      <x:c r="K662" s="36" t="n">
        <x:v>0</x:v>
      </x:c>
      <x:c r="L662" s="36" t="n">
        <x:v>0</x:v>
      </x:c>
      <x:c r="M662" s="38" t="n">
        <x:v>3.167693360711841</x:v>
      </x:c>
      <x:c r="N662" s="36" t="n">
        <x:v>0</x:v>
      </x:c>
    </x:row>
    <x:row r="663" ht="20" customHeight="1">
      <x:c r="C663" s="1" t="n">
        <x:v>2</x:v>
      </x:c>
      <x:c r="D663" s="1" t="n">
        <x:v>3</x:v>
      </x:c>
      <x:c r="E663" s="1" t="n">
        <x:v>39</x:v>
      </x:c>
      <x:c r="F663" s="32" t="n">
        <x:v>47469</x:v>
      </x:c>
      <x:c r="G663" s="36" t="n">
        <x:v>0</x:v>
      </x:c>
      <x:c r="H663" s="36" t="n">
        <x:v>0</x:v>
      </x:c>
      <x:c r="I663" s="36" t="n">
        <x:v>0</x:v>
      </x:c>
      <x:c r="J663" s="36" t="n">
        <x:v>0</x:v>
      </x:c>
      <x:c r="K663" s="36" t="n">
        <x:v>0</x:v>
      </x:c>
      <x:c r="L663" s="36" t="n">
        <x:v>0</x:v>
      </x:c>
      <x:c r="M663" s="38" t="n">
        <x:v>3.2553045859000687</x:v>
      </x:c>
      <x:c r="N663" s="36" t="n">
        <x:v>0</x:v>
      </x:c>
    </x:row>
    <x:row r="664" ht="20" customHeight="1">
      <x:c r="C664" s="1" t="n">
        <x:v>2</x:v>
      </x:c>
      <x:c r="D664" s="1" t="n">
        <x:v>3</x:v>
      </x:c>
      <x:c r="E664" s="1" t="n">
        <x:v>40</x:v>
      </x:c>
      <x:c r="F664" s="32" t="n">
        <x:v>47498</x:v>
      </x:c>
      <x:c r="G664" s="36" t="n">
        <x:v>0</x:v>
      </x:c>
      <x:c r="H664" s="36" t="n">
        <x:v>0</x:v>
      </x:c>
      <x:c r="I664" s="36" t="n">
        <x:v>0</x:v>
      </x:c>
      <x:c r="J664" s="36" t="n">
        <x:v>0</x:v>
      </x:c>
      <x:c r="K664" s="36" t="n">
        <x:v>0</x:v>
      </x:c>
      <x:c r="L664" s="36" t="n">
        <x:v>0</x:v>
      </x:c>
      <x:c r="M664" s="38" t="n">
        <x:v>3.3347022587268995</x:v>
      </x:c>
      <x:c r="N664" s="36" t="n">
        <x:v>0</x:v>
      </x:c>
    </x:row>
    <x:row r="665" ht="20" customHeight="1">
      <x:c r="C665" s="1" t="n">
        <x:v>2</x:v>
      </x:c>
      <x:c r="D665" s="1" t="n">
        <x:v>3</x:v>
      </x:c>
      <x:c r="E665" s="1" t="n">
        <x:v>41</x:v>
      </x:c>
      <x:c r="F665" s="32" t="n">
        <x:v>47529</x:v>
      </x:c>
      <x:c r="G665" s="36" t="n">
        <x:v>0</x:v>
      </x:c>
      <x:c r="H665" s="36" t="n">
        <x:v>0</x:v>
      </x:c>
      <x:c r="I665" s="36" t="n">
        <x:v>0</x:v>
      </x:c>
      <x:c r="J665" s="36" t="n">
        <x:v>0</x:v>
      </x:c>
      <x:c r="K665" s="36" t="n">
        <x:v>0</x:v>
      </x:c>
      <x:c r="L665" s="36" t="n">
        <x:v>0</x:v>
      </x:c>
      <x:c r="M665" s="38" t="n">
        <x:v>3.4195756331279945</x:v>
      </x:c>
      <x:c r="N665" s="36" t="n">
        <x:v>0</x:v>
      </x:c>
    </x:row>
    <x:row r="666" ht="20" customHeight="1">
      <x:c r="C666" s="1" t="n">
        <x:v>2</x:v>
      </x:c>
      <x:c r="D666" s="1" t="n">
        <x:v>3</x:v>
      </x:c>
      <x:c r="E666" s="1" t="n">
        <x:v>42</x:v>
      </x:c>
      <x:c r="F666" s="32" t="n">
        <x:v>47557</x:v>
      </x:c>
      <x:c r="G666" s="36" t="n">
        <x:v>0</x:v>
      </x:c>
      <x:c r="H666" s="36" t="n">
        <x:v>0</x:v>
      </x:c>
      <x:c r="I666" s="36" t="n">
        <x:v>0</x:v>
      </x:c>
      <x:c r="J666" s="36" t="n">
        <x:v>0</x:v>
      </x:c>
      <x:c r="K666" s="36" t="n">
        <x:v>0</x:v>
      </x:c>
      <x:c r="L666" s="36" t="n">
        <x:v>0</x:v>
      </x:c>
      <x:c r="M666" s="38" t="n">
        <x:v>3.4962354551676933</x:v>
      </x:c>
      <x:c r="N666" s="36" t="n">
        <x:v>0</x:v>
      </x:c>
    </x:row>
    <x:row r="667" ht="20" customHeight="1">
      <x:c r="C667" s="1" t="n">
        <x:v>2</x:v>
      </x:c>
      <x:c r="D667" s="1" t="n">
        <x:v>3</x:v>
      </x:c>
      <x:c r="E667" s="1" t="n">
        <x:v>43</x:v>
      </x:c>
      <x:c r="F667" s="32" t="n">
        <x:v>47588</x:v>
      </x:c>
      <x:c r="G667" s="36" t="n">
        <x:v>0</x:v>
      </x:c>
      <x:c r="H667" s="36" t="n">
        <x:v>0</x:v>
      </x:c>
      <x:c r="I667" s="36" t="n">
        <x:v>0</x:v>
      </x:c>
      <x:c r="J667" s="36" t="n">
        <x:v>0</x:v>
      </x:c>
      <x:c r="K667" s="36" t="n">
        <x:v>0</x:v>
      </x:c>
      <x:c r="L667" s="36" t="n">
        <x:v>0</x:v>
      </x:c>
      <x:c r="M667" s="38" t="n">
        <x:v>3.5811088295687883</x:v>
      </x:c>
      <x:c r="N667" s="36" t="n">
        <x:v>0</x:v>
      </x:c>
    </x:row>
    <x:row r="668" ht="20" customHeight="1">
      <x:c r="C668" s="1" t="n">
        <x:v>2</x:v>
      </x:c>
      <x:c r="D668" s="1" t="n">
        <x:v>3</x:v>
      </x:c>
      <x:c r="E668" s="1" t="n">
        <x:v>44</x:v>
      </x:c>
      <x:c r="F668" s="32" t="n">
        <x:v>47618</x:v>
      </x:c>
      <x:c r="G668" s="36" t="n">
        <x:v>0</x:v>
      </x:c>
      <x:c r="H668" s="36" t="n">
        <x:v>0</x:v>
      </x:c>
      <x:c r="I668" s="36" t="n">
        <x:v>0</x:v>
      </x:c>
      <x:c r="J668" s="36" t="n">
        <x:v>0</x:v>
      </x:c>
      <x:c r="K668" s="36" t="n">
        <x:v>0</x:v>
      </x:c>
      <x:c r="L668" s="36" t="n">
        <x:v>0</x:v>
      </x:c>
      <x:c r="M668" s="38" t="n">
        <x:v>3.6632443531827517</x:v>
      </x:c>
      <x:c r="N668" s="36" t="n">
        <x:v>0</x:v>
      </x:c>
    </x:row>
    <x:row r="669" ht="20" customHeight="1">
      <x:c r="C669" s="1" t="n">
        <x:v>2</x:v>
      </x:c>
      <x:c r="D669" s="1" t="n">
        <x:v>3</x:v>
      </x:c>
      <x:c r="E669" s="1" t="n">
        <x:v>45</x:v>
      </x:c>
      <x:c r="F669" s="32" t="n">
        <x:v>47651</x:v>
      </x:c>
      <x:c r="G669" s="36" t="n">
        <x:v>0</x:v>
      </x:c>
      <x:c r="H669" s="36" t="n">
        <x:v>0</x:v>
      </x:c>
      <x:c r="I669" s="36" t="n">
        <x:v>0</x:v>
      </x:c>
      <x:c r="J669" s="36" t="n">
        <x:v>0</x:v>
      </x:c>
      <x:c r="K669" s="36" t="n">
        <x:v>0</x:v>
      </x:c>
      <x:c r="L669" s="36" t="n">
        <x:v>0</x:v>
      </x:c>
      <x:c r="M669" s="38" t="n">
        <x:v>3.753593429158111</x:v>
      </x:c>
      <x:c r="N669" s="36" t="n">
        <x:v>0</x:v>
      </x:c>
    </x:row>
    <x:row r="670" ht="20" customHeight="1">
      <x:c r="C670" s="1" t="n">
        <x:v>2</x:v>
      </x:c>
      <x:c r="D670" s="1" t="n">
        <x:v>3</x:v>
      </x:c>
      <x:c r="E670" s="1" t="n">
        <x:v>46</x:v>
      </x:c>
      <x:c r="F670" s="32" t="n">
        <x:v>47679</x:v>
      </x:c>
      <x:c r="G670" s="36" t="n">
        <x:v>0</x:v>
      </x:c>
      <x:c r="H670" s="36" t="n">
        <x:v>0</x:v>
      </x:c>
      <x:c r="I670" s="36" t="n">
        <x:v>0</x:v>
      </x:c>
      <x:c r="J670" s="36" t="n">
        <x:v>0</x:v>
      </x:c>
      <x:c r="K670" s="36" t="n">
        <x:v>0</x:v>
      </x:c>
      <x:c r="L670" s="36" t="n">
        <x:v>0</x:v>
      </x:c>
      <x:c r="M670" s="38" t="n">
        <x:v>3.8302532511978096</x:v>
      </x:c>
      <x:c r="N670" s="36" t="n">
        <x:v>0</x:v>
      </x:c>
    </x:row>
    <x:row r="671" ht="20" customHeight="1">
      <x:c r="C671" s="1" t="n">
        <x:v>2</x:v>
      </x:c>
      <x:c r="D671" s="1" t="n">
        <x:v>3</x:v>
      </x:c>
      <x:c r="E671" s="1" t="n">
        <x:v>47</x:v>
      </x:c>
      <x:c r="F671" s="32" t="n">
        <x:v>47710</x:v>
      </x:c>
      <x:c r="G671" s="36" t="n">
        <x:v>0</x:v>
      </x:c>
      <x:c r="H671" s="36" t="n">
        <x:v>0</x:v>
      </x:c>
      <x:c r="I671" s="36" t="n">
        <x:v>0</x:v>
      </x:c>
      <x:c r="J671" s="36" t="n">
        <x:v>0</x:v>
      </x:c>
      <x:c r="K671" s="36" t="n">
        <x:v>0</x:v>
      </x:c>
      <x:c r="L671" s="36" t="n">
        <x:v>0</x:v>
      </x:c>
      <x:c r="M671" s="38" t="n">
        <x:v>3.915126625598905</x:v>
      </x:c>
      <x:c r="N671" s="36" t="n">
        <x:v>0</x:v>
      </x:c>
    </x:row>
    <x:row r="672" ht="20" customHeight="1">
      <x:c r="C672" s="1" t="n">
        <x:v>2</x:v>
      </x:c>
      <x:c r="D672" s="1" t="n">
        <x:v>3</x:v>
      </x:c>
      <x:c r="E672" s="1" t="n">
        <x:v>48</x:v>
      </x:c>
      <x:c r="F672" s="32" t="n">
        <x:v>47742</x:v>
      </x:c>
      <x:c r="G672" s="36" t="n">
        <x:v>0</x:v>
      </x:c>
      <x:c r="H672" s="36" t="n">
        <x:v>0</x:v>
      </x:c>
      <x:c r="I672" s="36" t="n">
        <x:v>0</x:v>
      </x:c>
      <x:c r="J672" s="36" t="n">
        <x:v>0</x:v>
      </x:c>
      <x:c r="K672" s="36" t="n">
        <x:v>0</x:v>
      </x:c>
      <x:c r="L672" s="36" t="n">
        <x:v>0</x:v>
      </x:c>
      <x:c r="M672" s="38" t="n">
        <x:v>4.002737850787132</x:v>
      </x:c>
      <x:c r="N672" s="36" t="n">
        <x:v>0</x:v>
      </x:c>
    </x:row>
    <x:row r="673" ht="20" customHeight="1">
      <x:c r="C673" s="1" t="n">
        <x:v>2</x:v>
      </x:c>
      <x:c r="D673" s="1" t="n">
        <x:v>3</x:v>
      </x:c>
      <x:c r="E673" s="1" t="n">
        <x:v>49</x:v>
      </x:c>
      <x:c r="F673" s="32" t="n">
        <x:v>47771</x:v>
      </x:c>
      <x:c r="G673" s="36" t="n">
        <x:v>0</x:v>
      </x:c>
      <x:c r="H673" s="36" t="n">
        <x:v>0</x:v>
      </x:c>
      <x:c r="I673" s="36" t="n">
        <x:v>0</x:v>
      </x:c>
      <x:c r="J673" s="36" t="n">
        <x:v>0</x:v>
      </x:c>
      <x:c r="K673" s="36" t="n">
        <x:v>0</x:v>
      </x:c>
      <x:c r="L673" s="36" t="n">
        <x:v>0</x:v>
      </x:c>
      <x:c r="M673" s="38" t="n">
        <x:v>4.082135523613963</x:v>
      </x:c>
      <x:c r="N673" s="36" t="n">
        <x:v>0</x:v>
      </x:c>
    </x:row>
    <x:row r="674" ht="20" customHeight="1">
      <x:c r="C674" s="1" t="n">
        <x:v>2</x:v>
      </x:c>
      <x:c r="D674" s="1" t="n">
        <x:v>3</x:v>
      </x:c>
      <x:c r="E674" s="1" t="n">
        <x:v>50</x:v>
      </x:c>
      <x:c r="F674" s="32" t="n">
        <x:v>47802</x:v>
      </x:c>
      <x:c r="G674" s="36" t="n">
        <x:v>0</x:v>
      </x:c>
      <x:c r="H674" s="36" t="n">
        <x:v>0</x:v>
      </x:c>
      <x:c r="I674" s="36" t="n">
        <x:v>0</x:v>
      </x:c>
      <x:c r="J674" s="36" t="n">
        <x:v>0</x:v>
      </x:c>
      <x:c r="K674" s="36" t="n">
        <x:v>0</x:v>
      </x:c>
      <x:c r="L674" s="36" t="n">
        <x:v>0</x:v>
      </x:c>
      <x:c r="M674" s="38" t="n">
        <x:v>4.167008898015058</x:v>
      </x:c>
      <x:c r="N674" s="36" t="n">
        <x:v>0</x:v>
      </x:c>
    </x:row>
    <x:row r="675" ht="20" customHeight="1">
      <x:c r="C675" s="1" t="n">
        <x:v>2</x:v>
      </x:c>
      <x:c r="D675" s="1" t="n">
        <x:v>3</x:v>
      </x:c>
      <x:c r="E675" s="1" t="n">
        <x:v>51</x:v>
      </x:c>
      <x:c r="F675" s="32" t="n">
        <x:v>47833</x:v>
      </x:c>
      <x:c r="G675" s="36" t="n">
        <x:v>0</x:v>
      </x:c>
      <x:c r="H675" s="36" t="n">
        <x:v>0</x:v>
      </x:c>
      <x:c r="I675" s="36" t="n">
        <x:v>0</x:v>
      </x:c>
      <x:c r="J675" s="36" t="n">
        <x:v>0</x:v>
      </x:c>
      <x:c r="K675" s="36" t="n">
        <x:v>0</x:v>
      </x:c>
      <x:c r="L675" s="36" t="n">
        <x:v>0</x:v>
      </x:c>
      <x:c r="M675" s="38" t="n">
        <x:v>4.251882272416153</x:v>
      </x:c>
      <x:c r="N675" s="36" t="n">
        <x:v>0</x:v>
      </x:c>
    </x:row>
    <x:row r="676" ht="20" customHeight="1">
      <x:c r="C676" s="1" t="n">
        <x:v>2</x:v>
      </x:c>
      <x:c r="D676" s="1" t="n">
        <x:v>3</x:v>
      </x:c>
      <x:c r="E676" s="1" t="n">
        <x:v>52</x:v>
      </x:c>
      <x:c r="F676" s="32" t="n">
        <x:v>47863</x:v>
      </x:c>
      <x:c r="G676" s="36" t="n">
        <x:v>0</x:v>
      </x:c>
      <x:c r="H676" s="36" t="n">
        <x:v>0</x:v>
      </x:c>
      <x:c r="I676" s="36" t="n">
        <x:v>0</x:v>
      </x:c>
      <x:c r="J676" s="36" t="n">
        <x:v>0</x:v>
      </x:c>
      <x:c r="K676" s="36" t="n">
        <x:v>0</x:v>
      </x:c>
      <x:c r="L676" s="36" t="n">
        <x:v>0</x:v>
      </x:c>
      <x:c r="M676" s="38" t="n">
        <x:v>4.334017796030117</x:v>
      </x:c>
      <x:c r="N676" s="36" t="n">
        <x:v>0</x:v>
      </x:c>
    </x:row>
    <x:row r="677" ht="20" customHeight="1">
      <x:c r="C677" s="1" t="n">
        <x:v>2</x:v>
      </x:c>
      <x:c r="D677" s="1" t="n">
        <x:v>3</x:v>
      </x:c>
      <x:c r="E677" s="1" t="n">
        <x:v>53</x:v>
      </x:c>
      <x:c r="F677" s="32" t="n">
        <x:v>47897</x:v>
      </x:c>
      <x:c r="G677" s="36" t="n">
        <x:v>0</x:v>
      </x:c>
      <x:c r="H677" s="36" t="n">
        <x:v>0</x:v>
      </x:c>
      <x:c r="I677" s="36" t="n">
        <x:v>0</x:v>
      </x:c>
      <x:c r="J677" s="36" t="n">
        <x:v>0</x:v>
      </x:c>
      <x:c r="K677" s="36" t="n">
        <x:v>0</x:v>
      </x:c>
      <x:c r="L677" s="36" t="n">
        <x:v>0</x:v>
      </x:c>
      <x:c r="M677" s="38" t="n">
        <x:v>4.427104722792608</x:v>
      </x:c>
      <x:c r="N677" s="36" t="n">
        <x:v>0</x:v>
      </x:c>
    </x:row>
    <x:row r="678" ht="20" customHeight="1">
      <x:c r="C678" s="1" t="n">
        <x:v>2</x:v>
      </x:c>
      <x:c r="D678" s="1" t="n">
        <x:v>3</x:v>
      </x:c>
      <x:c r="E678" s="1" t="n">
        <x:v>54</x:v>
      </x:c>
      <x:c r="F678" s="32" t="n">
        <x:v>47924</x:v>
      </x:c>
      <x:c r="G678" s="36" t="n">
        <x:v>0</x:v>
      </x:c>
      <x:c r="H678" s="36" t="n">
        <x:v>0</x:v>
      </x:c>
      <x:c r="I678" s="36" t="n">
        <x:v>0</x:v>
      </x:c>
      <x:c r="J678" s="36" t="n">
        <x:v>0</x:v>
      </x:c>
      <x:c r="K678" s="36" t="n">
        <x:v>0</x:v>
      </x:c>
      <x:c r="L678" s="36" t="n">
        <x:v>0</x:v>
      </x:c>
      <x:c r="M678" s="38" t="n">
        <x:v>4.501026694045175</x:v>
      </x:c>
      <x:c r="N678" s="36" t="n">
        <x:v>0</x:v>
      </x:c>
    </x:row>
    <x:row r="679" ht="20" customHeight="1">
      <x:c r="C679" s="1" t="n">
        <x:v>2</x:v>
      </x:c>
      <x:c r="D679" s="1" t="n">
        <x:v>3</x:v>
      </x:c>
      <x:c r="E679" s="1" t="n">
        <x:v>55</x:v>
      </x:c>
      <x:c r="F679" s="32" t="n">
        <x:v>47953</x:v>
      </x:c>
      <x:c r="G679" s="36" t="n">
        <x:v>0</x:v>
      </x:c>
      <x:c r="H679" s="36" t="n">
        <x:v>0</x:v>
      </x:c>
      <x:c r="I679" s="36" t="n">
        <x:v>0</x:v>
      </x:c>
      <x:c r="J679" s="36" t="n">
        <x:v>0</x:v>
      </x:c>
      <x:c r="K679" s="36" t="n">
        <x:v>0</x:v>
      </x:c>
      <x:c r="L679" s="36" t="n">
        <x:v>0</x:v>
      </x:c>
      <x:c r="M679" s="38" t="n">
        <x:v>4.5804243668720055</x:v>
      </x:c>
      <x:c r="N679" s="36" t="n">
        <x:v>0</x:v>
      </x:c>
    </x:row>
    <x:row r="680" ht="20" customHeight="1">
      <x:c r="C680" s="1" t="n">
        <x:v>2</x:v>
      </x:c>
      <x:c r="D680" s="1" t="n">
        <x:v>3</x:v>
      </x:c>
      <x:c r="E680" s="1" t="n">
        <x:v>56</x:v>
      </x:c>
      <x:c r="F680" s="32" t="n">
        <x:v>47983</x:v>
      </x:c>
      <x:c r="G680" s="36" t="n">
        <x:v>0</x:v>
      </x:c>
      <x:c r="H680" s="36" t="n">
        <x:v>0</x:v>
      </x:c>
      <x:c r="I680" s="36" t="n">
        <x:v>0</x:v>
      </x:c>
      <x:c r="J680" s="36" t="n">
        <x:v>0</x:v>
      </x:c>
      <x:c r="K680" s="36" t="n">
        <x:v>0</x:v>
      </x:c>
      <x:c r="L680" s="36" t="n">
        <x:v>0</x:v>
      </x:c>
      <x:c r="M680" s="38" t="n">
        <x:v>4.662559890485968</x:v>
      </x:c>
      <x:c r="N680" s="36" t="n">
        <x:v>0</x:v>
      </x:c>
    </x:row>
    <x:row r="681" ht="20" customHeight="1">
      <x:c r="C681" s="1" t="n">
        <x:v>2</x:v>
      </x:c>
      <x:c r="D681" s="1" t="n">
        <x:v>3</x:v>
      </x:c>
      <x:c r="E681" s="1" t="n">
        <x:v>57</x:v>
      </x:c>
      <x:c r="F681" s="32" t="n">
        <x:v>48015</x:v>
      </x:c>
      <x:c r="G681" s="36" t="n">
        <x:v>0</x:v>
      </x:c>
      <x:c r="H681" s="36" t="n">
        <x:v>0</x:v>
      </x:c>
      <x:c r="I681" s="36" t="n">
        <x:v>0</x:v>
      </x:c>
      <x:c r="J681" s="36" t="n">
        <x:v>0</x:v>
      </x:c>
      <x:c r="K681" s="36" t="n">
        <x:v>0</x:v>
      </x:c>
      <x:c r="L681" s="36" t="n">
        <x:v>0</x:v>
      </x:c>
      <x:c r="M681" s="38" t="n">
        <x:v>4.7501711156741955</x:v>
      </x:c>
      <x:c r="N681" s="36" t="n">
        <x:v>0</x:v>
      </x:c>
    </x:row>
    <x:row r="682" ht="20" customHeight="1">
      <x:c r="C682" s="1" t="n">
        <x:v>2</x:v>
      </x:c>
      <x:c r="D682" s="1" t="n">
        <x:v>3</x:v>
      </x:c>
      <x:c r="E682" s="1" t="n">
        <x:v>58</x:v>
      </x:c>
      <x:c r="F682" s="32" t="n">
        <x:v>48044</x:v>
      </x:c>
      <x:c r="G682" s="36" t="n">
        <x:v>0</x:v>
      </x:c>
      <x:c r="H682" s="36" t="n">
        <x:v>0</x:v>
      </x:c>
      <x:c r="I682" s="36" t="n">
        <x:v>0</x:v>
      </x:c>
      <x:c r="J682" s="36" t="n">
        <x:v>0</x:v>
      </x:c>
      <x:c r="K682" s="36" t="n">
        <x:v>0</x:v>
      </x:c>
      <x:c r="L682" s="36" t="n">
        <x:v>0</x:v>
      </x:c>
      <x:c r="M682" s="38" t="n">
        <x:v>4.829568788501026</x:v>
      </x:c>
      <x:c r="N682" s="36" t="n">
        <x:v>0</x:v>
      </x:c>
    </x:row>
    <x:row r="683" ht="20" customHeight="1">
      <x:c r="C683" s="1" t="n">
        <x:v>2</x:v>
      </x:c>
      <x:c r="D683" s="1" t="n">
        <x:v>3</x:v>
      </x:c>
      <x:c r="E683" s="1" t="n">
        <x:v>59</x:v>
      </x:c>
      <x:c r="F683" s="32" t="n">
        <x:v>48075</x:v>
      </x:c>
      <x:c r="G683" s="36" t="n">
        <x:v>0</x:v>
      </x:c>
      <x:c r="H683" s="36" t="n">
        <x:v>0</x:v>
      </x:c>
      <x:c r="I683" s="36" t="n">
        <x:v>0</x:v>
      </x:c>
      <x:c r="J683" s="36" t="n">
        <x:v>0</x:v>
      </x:c>
      <x:c r="K683" s="36" t="n">
        <x:v>0</x:v>
      </x:c>
      <x:c r="L683" s="36" t="n">
        <x:v>0</x:v>
      </x:c>
      <x:c r="M683" s="38" t="n">
        <x:v>4.914442162902122</x:v>
      </x:c>
      <x:c r="N683" s="36" t="n">
        <x:v>0</x:v>
      </x:c>
    </x:row>
    <x:row r="684" ht="20" customHeight="1">
      <x:c r="C684" s="1" t="n">
        <x:v>2</x:v>
      </x:c>
      <x:c r="D684" s="1" t="n">
        <x:v>3</x:v>
      </x:c>
      <x:c r="E684" s="1" t="n">
        <x:v>60</x:v>
      </x:c>
      <x:c r="F684" s="32" t="n">
        <x:v>48106</x:v>
      </x:c>
      <x:c r="G684" s="36" t="n">
        <x:v>0</x:v>
      </x:c>
      <x:c r="H684" s="36" t="n">
        <x:v>0</x:v>
      </x:c>
      <x:c r="I684" s="36" t="n">
        <x:v>0</x:v>
      </x:c>
      <x:c r="J684" s="36" t="n">
        <x:v>0</x:v>
      </x:c>
      <x:c r="K684" s="36" t="n">
        <x:v>0</x:v>
      </x:c>
      <x:c r="L684" s="36" t="n">
        <x:v>0</x:v>
      </x:c>
      <x:c r="M684" s="38" t="n">
        <x:v>4.999315537303217</x:v>
      </x:c>
      <x:c r="N684" s="36" t="n">
        <x:v>0</x:v>
      </x:c>
    </x:row>
    <x:row r="685" ht="20" customHeight="1">
      <x:c r="C685" s="1" t="n">
        <x:v>2</x:v>
      </x:c>
      <x:c r="D685" s="1" t="n">
        <x:v>3</x:v>
      </x:c>
      <x:c r="E685" s="1" t="n">
        <x:v>61</x:v>
      </x:c>
      <x:c r="F685" s="32" t="n">
        <x:v>48136</x:v>
      </x:c>
      <x:c r="G685" s="36" t="n">
        <x:v>0</x:v>
      </x:c>
      <x:c r="H685" s="36" t="n">
        <x:v>0</x:v>
      </x:c>
      <x:c r="I685" s="36" t="n">
        <x:v>0</x:v>
      </x:c>
      <x:c r="J685" s="36" t="n">
        <x:v>0</x:v>
      </x:c>
      <x:c r="K685" s="36" t="n">
        <x:v>0</x:v>
      </x:c>
      <x:c r="L685" s="36" t="n">
        <x:v>0</x:v>
      </x:c>
      <x:c r="M685" s="38" t="n">
        <x:v>5.08145106091718</x:v>
      </x:c>
      <x:c r="N685" s="36" t="n">
        <x:v>0</x:v>
      </x:c>
    </x:row>
    <x:row r="686" ht="20" customHeight="1">
      <x:c r="C686" s="1" t="n">
        <x:v>2</x:v>
      </x:c>
      <x:c r="D686" s="1" t="n">
        <x:v>3</x:v>
      </x:c>
      <x:c r="E686" s="1" t="n">
        <x:v>62</x:v>
      </x:c>
      <x:c r="F686" s="32" t="n">
        <x:v>48169</x:v>
      </x:c>
      <x:c r="G686" s="36" t="n">
        <x:v>0</x:v>
      </x:c>
      <x:c r="H686" s="36" t="n">
        <x:v>0</x:v>
      </x:c>
      <x:c r="I686" s="36" t="n">
        <x:v>0</x:v>
      </x:c>
      <x:c r="J686" s="36" t="n">
        <x:v>0</x:v>
      </x:c>
      <x:c r="K686" s="36" t="n">
        <x:v>0</x:v>
      </x:c>
      <x:c r="L686" s="36" t="n">
        <x:v>0</x:v>
      </x:c>
      <x:c r="M686" s="38" t="n">
        <x:v>5.171800136892539</x:v>
      </x:c>
      <x:c r="N686" s="36" t="n">
        <x:v>0</x:v>
      </x:c>
    </x:row>
    <x:row r="687" ht="20" customHeight="1">
      <x:c r="C687" s="1" t="n">
        <x:v>2</x:v>
      </x:c>
      <x:c r="D687" s="1" t="n">
        <x:v>3</x:v>
      </x:c>
      <x:c r="E687" s="1" t="n">
        <x:v>63</x:v>
      </x:c>
      <x:c r="F687" s="32" t="n">
        <x:v>48197</x:v>
      </x:c>
      <x:c r="G687" s="36" t="n">
        <x:v>0</x:v>
      </x:c>
      <x:c r="H687" s="36" t="n">
        <x:v>0</x:v>
      </x:c>
      <x:c r="I687" s="36" t="n">
        <x:v>0</x:v>
      </x:c>
      <x:c r="J687" s="36" t="n">
        <x:v>0</x:v>
      </x:c>
      <x:c r="K687" s="36" t="n">
        <x:v>0</x:v>
      </x:c>
      <x:c r="L687" s="36" t="n">
        <x:v>0</x:v>
      </x:c>
      <x:c r="M687" s="38" t="n">
        <x:v>5.248459958932238</x:v>
      </x:c>
      <x:c r="N687" s="36" t="n">
        <x:v>0</x:v>
      </x:c>
    </x:row>
    <x:row r="688" ht="20" customHeight="1">
      <x:c r="C688" s="1" t="n">
        <x:v>2</x:v>
      </x:c>
      <x:c r="D688" s="1" t="n">
        <x:v>3</x:v>
      </x:c>
      <x:c r="E688" s="1" t="n">
        <x:v>64</x:v>
      </x:c>
      <x:c r="F688" s="32" t="n">
        <x:v>48228</x:v>
      </x:c>
      <x:c r="G688" s="36" t="n">
        <x:v>0</x:v>
      </x:c>
      <x:c r="H688" s="36" t="n">
        <x:v>0</x:v>
      </x:c>
      <x:c r="I688" s="36" t="n">
        <x:v>0</x:v>
      </x:c>
      <x:c r="J688" s="36" t="n">
        <x:v>0</x:v>
      </x:c>
      <x:c r="K688" s="36" t="n">
        <x:v>0</x:v>
      </x:c>
      <x:c r="L688" s="36" t="n">
        <x:v>0</x:v>
      </x:c>
      <x:c r="M688" s="38" t="n">
        <x:v>5.333333333333333</x:v>
      </x:c>
      <x:c r="N688" s="36" t="n">
        <x:v>0</x:v>
      </x:c>
    </x:row>
    <x:row r="689" ht="20" customHeight="1">
      <x:c r="C689" s="1" t="n">
        <x:v>2</x:v>
      </x:c>
      <x:c r="D689" s="1" t="n">
        <x:v>4</x:v>
      </x:c>
      <x:c r="E689" s="1" t="n">
        <x:v>1</x:v>
      </x:c>
      <x:c r="F689" s="32" t="n">
        <x:v>46310</x:v>
      </x:c>
      <x:c r="G689" s="36" t="n">
        <x:v>452100000</x:v>
      </x:c>
      <x:c r="H689" s="36" t="n">
        <x:v>1687840</x:v>
      </x:c>
      <x:c r="I689" s="36" t="n">
        <x:v>0</x:v>
      </x:c>
      <x:c r="J689" s="36" t="n">
        <x:v>0</x:v>
      </x:c>
      <x:c r="K689" s="36" t="n">
        <x:v>452100000</x:v>
      </x:c>
      <x:c r="L689" s="36" t="n">
        <x:v>0</x:v>
      </x:c>
      <x:c r="M689" s="38" t="n">
        <x:v>0.08213552361396304</x:v>
      </x:c>
      <x:c r="N689" s="36" t="n">
        <x:v>452100000</x:v>
      </x:c>
    </x:row>
    <x:row r="690" ht="20" customHeight="1">
      <x:c r="C690" s="1" t="n">
        <x:v>2</x:v>
      </x:c>
      <x:c r="D690" s="1" t="n">
        <x:v>4</x:v>
      </x:c>
      <x:c r="E690" s="1" t="n">
        <x:v>2</x:v>
      </x:c>
      <x:c r="F690" s="32" t="n">
        <x:v>46342</x:v>
      </x:c>
      <x:c r="G690" s="36" t="n">
        <x:v>452100000</x:v>
      </x:c>
      <x:c r="H690" s="36" t="n">
        <x:v>1687840</x:v>
      </x:c>
      <x:c r="I690" s="36" t="n">
        <x:v>0</x:v>
      </x:c>
      <x:c r="J690" s="36" t="n">
        <x:v>0</x:v>
      </x:c>
      <x:c r="K690" s="36" t="n">
        <x:v>452100000</x:v>
      </x:c>
      <x:c r="L690" s="36" t="n">
        <x:v>0</x:v>
      </x:c>
      <x:c r="M690" s="38" t="n">
        <x:v>0.1697467488021903</x:v>
      </x:c>
      <x:c r="N690" s="36" t="n">
        <x:v>452100000</x:v>
      </x:c>
    </x:row>
    <x:row r="691" ht="20" customHeight="1">
      <x:c r="C691" s="1" t="n">
        <x:v>2</x:v>
      </x:c>
      <x:c r="D691" s="1" t="n">
        <x:v>4</x:v>
      </x:c>
      <x:c r="E691" s="1" t="n">
        <x:v>3</x:v>
      </x:c>
      <x:c r="F691" s="32" t="n">
        <x:v>46371</x:v>
      </x:c>
      <x:c r="G691" s="36" t="n">
        <x:v>452100000</x:v>
      </x:c>
      <x:c r="H691" s="36" t="n">
        <x:v>1687840</x:v>
      </x:c>
      <x:c r="I691" s="36" t="n">
        <x:v>0</x:v>
      </x:c>
      <x:c r="J691" s="36" t="n">
        <x:v>0</x:v>
      </x:c>
      <x:c r="K691" s="36" t="n">
        <x:v>452100000</x:v>
      </x:c>
      <x:c r="L691" s="36" t="n">
        <x:v>0</x:v>
      </x:c>
      <x:c r="M691" s="38" t="n">
        <x:v>0.24914442162902123</x:v>
      </x:c>
      <x:c r="N691" s="36" t="n">
        <x:v>452100000</x:v>
      </x:c>
    </x:row>
    <x:row r="692" ht="20" customHeight="1">
      <x:c r="C692" s="1" t="n">
        <x:v>2</x:v>
      </x:c>
      <x:c r="D692" s="1" t="n">
        <x:v>4</x:v>
      </x:c>
      <x:c r="E692" s="1" t="n">
        <x:v>4</x:v>
      </x:c>
      <x:c r="F692" s="32" t="n">
        <x:v>46402</x:v>
      </x:c>
      <x:c r="G692" s="36" t="n">
        <x:v>452100000</x:v>
      </x:c>
      <x:c r="H692" s="36" t="n">
        <x:v>1687840</x:v>
      </x:c>
      <x:c r="I692" s="36" t="n">
        <x:v>0</x:v>
      </x:c>
      <x:c r="J692" s="36" t="n">
        <x:v>0</x:v>
      </x:c>
      <x:c r="K692" s="36" t="n">
        <x:v>452100000</x:v>
      </x:c>
      <x:c r="L692" s="36" t="n">
        <x:v>0</x:v>
      </x:c>
      <x:c r="M692" s="38" t="n">
        <x:v>0.33401779603011633</x:v>
      </x:c>
      <x:c r="N692" s="36" t="n">
        <x:v>452100000</x:v>
      </x:c>
    </x:row>
    <x:row r="693" ht="20" customHeight="1">
      <x:c r="C693" s="1" t="n">
        <x:v>2</x:v>
      </x:c>
      <x:c r="D693" s="1" t="n">
        <x:v>4</x:v>
      </x:c>
      <x:c r="E693" s="1" t="n">
        <x:v>5</x:v>
      </x:c>
      <x:c r="F693" s="32" t="n">
        <x:v>46434</x:v>
      </x:c>
      <x:c r="G693" s="36" t="n">
        <x:v>452100000</x:v>
      </x:c>
      <x:c r="H693" s="36" t="n">
        <x:v>1687840</x:v>
      </x:c>
      <x:c r="I693" s="36" t="n">
        <x:v>0</x:v>
      </x:c>
      <x:c r="J693" s="36" t="n">
        <x:v>0</x:v>
      </x:c>
      <x:c r="K693" s="36" t="n">
        <x:v>452100000</x:v>
      </x:c>
      <x:c r="L693" s="36" t="n">
        <x:v>0</x:v>
      </x:c>
      <x:c r="M693" s="38" t="n">
        <x:v>0.4216290212183436</x:v>
      </x:c>
      <x:c r="N693" s="36" t="n">
        <x:v>452100000</x:v>
      </x:c>
    </x:row>
    <x:row r="694" ht="20" customHeight="1">
      <x:c r="C694" s="1" t="n">
        <x:v>2</x:v>
      </x:c>
      <x:c r="D694" s="1" t="n">
        <x:v>4</x:v>
      </x:c>
      <x:c r="E694" s="1" t="n">
        <x:v>6</x:v>
      </x:c>
      <x:c r="F694" s="32" t="n">
        <x:v>46461</x:v>
      </x:c>
      <x:c r="G694" s="36" t="n">
        <x:v>452100000</x:v>
      </x:c>
      <x:c r="H694" s="36" t="n">
        <x:v>1687840</x:v>
      </x:c>
      <x:c r="I694" s="36" t="n">
        <x:v>9269831.09</x:v>
      </x:c>
      <x:c r="J694" s="36" t="n">
        <x:v>0</x:v>
      </x:c>
      <x:c r="K694" s="36" t="n">
        <x:v>442830168.91</x:v>
      </x:c>
      <x:c r="L694" s="36" t="n">
        <x:v>0</x:v>
      </x:c>
      <x:c r="M694" s="38" t="n">
        <x:v>0.49555099247091033</x:v>
      </x:c>
      <x:c r="N694" s="36" t="n">
        <x:v>442830168.91</x:v>
      </x:c>
    </x:row>
    <x:row r="695" ht="20" customHeight="1">
      <x:c r="C695" s="1" t="n">
        <x:v>2</x:v>
      </x:c>
      <x:c r="D695" s="1" t="n">
        <x:v>4</x:v>
      </x:c>
      <x:c r="E695" s="1" t="n">
        <x:v>7</x:v>
      </x:c>
      <x:c r="F695" s="32" t="n">
        <x:v>46492</x:v>
      </x:c>
      <x:c r="G695" s="36" t="n">
        <x:v>442830168.91</x:v>
      </x:c>
      <x:c r="H695" s="36" t="n">
        <x:v>1653232.63</x:v>
      </x:c>
      <x:c r="I695" s="36" t="n">
        <x:v>21758981.76</x:v>
      </x:c>
      <x:c r="J695" s="36" t="n">
        <x:v>0</x:v>
      </x:c>
      <x:c r="K695" s="36" t="n">
        <x:v>421071187.15</x:v>
      </x:c>
      <x:c r="L695" s="36" t="n">
        <x:v>0</x:v>
      </x:c>
      <x:c r="M695" s="38" t="n">
        <x:v>0.5804243668720055</x:v>
      </x:c>
      <x:c r="N695" s="36" t="n">
        <x:v>421071187.15</x:v>
      </x:c>
    </x:row>
    <x:row r="696" ht="20" customHeight="1">
      <x:c r="C696" s="1" t="n">
        <x:v>2</x:v>
      </x:c>
      <x:c r="D696" s="1" t="n">
        <x:v>4</x:v>
      </x:c>
      <x:c r="E696" s="1" t="n">
        <x:v>8</x:v>
      </x:c>
      <x:c r="F696" s="32" t="n">
        <x:v>46524</x:v>
      </x:c>
      <x:c r="G696" s="36" t="n">
        <x:v>421071187.15</x:v>
      </x:c>
      <x:c r="H696" s="36" t="n">
        <x:v>1571999.1</x:v>
      </x:c>
      <x:c r="I696" s="36" t="n">
        <x:v>21341644.91</x:v>
      </x:c>
      <x:c r="J696" s="36" t="n">
        <x:v>0</x:v>
      </x:c>
      <x:c r="K696" s="36" t="n">
        <x:v>399729542.24</x:v>
      </x:c>
      <x:c r="L696" s="36" t="n">
        <x:v>0</x:v>
      </x:c>
      <x:c r="M696" s="38" t="n">
        <x:v>0.6680355920602327</x:v>
      </x:c>
      <x:c r="N696" s="36" t="n">
        <x:v>399729542.24</x:v>
      </x:c>
    </x:row>
    <x:row r="697" ht="20" customHeight="1">
      <x:c r="C697" s="1" t="n">
        <x:v>2</x:v>
      </x:c>
      <x:c r="D697" s="1" t="n">
        <x:v>4</x:v>
      </x:c>
      <x:c r="E697" s="1" t="n">
        <x:v>9</x:v>
      </x:c>
      <x:c r="F697" s="32" t="n">
        <x:v>46553</x:v>
      </x:c>
      <x:c r="G697" s="36" t="n">
        <x:v>399729542.24</x:v>
      </x:c>
      <x:c r="H697" s="36" t="n">
        <x:v>1492323.62</x:v>
      </x:c>
      <x:c r="I697" s="36" t="n">
        <x:v>20928754.99</x:v>
      </x:c>
      <x:c r="J697" s="36" t="n">
        <x:v>0</x:v>
      </x:c>
      <x:c r="K697" s="36" t="n">
        <x:v>378800787.25</x:v>
      </x:c>
      <x:c r="L697" s="36" t="n">
        <x:v>0</x:v>
      </x:c>
      <x:c r="M697" s="38" t="n">
        <x:v>0.7474332648870636</x:v>
      </x:c>
      <x:c r="N697" s="36" t="n">
        <x:v>378800787.25</x:v>
      </x:c>
    </x:row>
    <x:row r="698" ht="20" customHeight="1">
      <x:c r="C698" s="1" t="n">
        <x:v>2</x:v>
      </x:c>
      <x:c r="D698" s="1" t="n">
        <x:v>4</x:v>
      </x:c>
      <x:c r="E698" s="1" t="n">
        <x:v>10</x:v>
      </x:c>
      <x:c r="F698" s="32" t="n">
        <x:v>46583</x:v>
      </x:c>
      <x:c r="G698" s="36" t="n">
        <x:v>378800787.25</x:v>
      </x:c>
      <x:c r="H698" s="36" t="n">
        <x:v>1414189.61</x:v>
      </x:c>
      <x:c r="I698" s="36" t="n">
        <x:v>20549301.41</x:v>
      </x:c>
      <x:c r="J698" s="36" t="n">
        <x:v>0</x:v>
      </x:c>
      <x:c r="K698" s="36" t="n">
        <x:v>358251485.84</x:v>
      </x:c>
      <x:c r="L698" s="36" t="n">
        <x:v>0</x:v>
      </x:c>
      <x:c r="M698" s="38" t="n">
        <x:v>0.8295687885010267</x:v>
      </x:c>
      <x:c r="N698" s="36" t="n">
        <x:v>358251485.84</x:v>
      </x:c>
    </x:row>
    <x:row r="699" ht="20" customHeight="1">
      <x:c r="C699" s="1" t="n">
        <x:v>2</x:v>
      </x:c>
      <x:c r="D699" s="1" t="n">
        <x:v>4</x:v>
      </x:c>
      <x:c r="E699" s="1" t="n">
        <x:v>11</x:v>
      </x:c>
      <x:c r="F699" s="32" t="n">
        <x:v>46615</x:v>
      </x:c>
      <x:c r="G699" s="36" t="n">
        <x:v>358251485.84</x:v>
      </x:c>
      <x:c r="H699" s="36" t="n">
        <x:v>1337472.21</x:v>
      </x:c>
      <x:c r="I699" s="36" t="n">
        <x:v>20171867.65</x:v>
      </x:c>
      <x:c r="J699" s="36" t="n">
        <x:v>0</x:v>
      </x:c>
      <x:c r="K699" s="36" t="n">
        <x:v>338079618.19</x:v>
      </x:c>
      <x:c r="L699" s="36" t="n">
        <x:v>0</x:v>
      </x:c>
      <x:c r="M699" s="38" t="n">
        <x:v>0.917180013689254</x:v>
      </x:c>
      <x:c r="N699" s="36" t="n">
        <x:v>338079618.19</x:v>
      </x:c>
    </x:row>
    <x:row r="700" ht="20" customHeight="1">
      <x:c r="C700" s="1" t="n">
        <x:v>2</x:v>
      </x:c>
      <x:c r="D700" s="1" t="n">
        <x:v>4</x:v>
      </x:c>
      <x:c r="E700" s="1" t="n">
        <x:v>12</x:v>
      </x:c>
      <x:c r="F700" s="32" t="n">
        <x:v>46645</x:v>
      </x:c>
      <x:c r="G700" s="36" t="n">
        <x:v>338079618.19</x:v>
      </x:c>
      <x:c r="H700" s="36" t="n">
        <x:v>1262163.91</x:v>
      </x:c>
      <x:c r="I700" s="36" t="n">
        <x:v>19808832.05</x:v>
      </x:c>
      <x:c r="J700" s="36" t="n">
        <x:v>0</x:v>
      </x:c>
      <x:c r="K700" s="36" t="n">
        <x:v>318270786.14</x:v>
      </x:c>
      <x:c r="L700" s="36" t="n">
        <x:v>0</x:v>
      </x:c>
      <x:c r="M700" s="38" t="n">
        <x:v>0.999315537303217</x:v>
      </x:c>
      <x:c r="N700" s="36" t="n">
        <x:v>318270786.14</x:v>
      </x:c>
    </x:row>
    <x:row r="701" ht="20" customHeight="1">
      <x:c r="C701" s="1" t="n">
        <x:v>2</x:v>
      </x:c>
      <x:c r="D701" s="1" t="n">
        <x:v>4</x:v>
      </x:c>
      <x:c r="E701" s="1" t="n">
        <x:v>13</x:v>
      </x:c>
      <x:c r="F701" s="32" t="n">
        <x:v>46675</x:v>
      </x:c>
      <x:c r="G701" s="36" t="n">
        <x:v>318270786.14</x:v>
      </x:c>
      <x:c r="H701" s="36" t="n">
        <x:v>1188210.93</x:v>
      </x:c>
      <x:c r="I701" s="36" t="n">
        <x:v>19445803.71</x:v>
      </x:c>
      <x:c r="J701" s="36" t="n">
        <x:v>0</x:v>
      </x:c>
      <x:c r="K701" s="36" t="n">
        <x:v>298824982.43</x:v>
      </x:c>
      <x:c r="L701" s="36" t="n">
        <x:v>0</x:v>
      </x:c>
      <x:c r="M701" s="38" t="n">
        <x:v>1.08145106091718</x:v>
      </x:c>
      <x:c r="N701" s="36" t="n">
        <x:v>298824982.43</x:v>
      </x:c>
    </x:row>
    <x:row r="702" ht="20" customHeight="1">
      <x:c r="C702" s="1" t="n">
        <x:v>2</x:v>
      </x:c>
      <x:c r="D702" s="1" t="n">
        <x:v>4</x:v>
      </x:c>
      <x:c r="E702" s="1" t="n">
        <x:v>14</x:v>
      </x:c>
      <x:c r="F702" s="32" t="n">
        <x:v>46706</x:v>
      </x:c>
      <x:c r="G702" s="36" t="n">
        <x:v>298824982.43</x:v>
      </x:c>
      <x:c r="H702" s="36" t="n">
        <x:v>1115613.27</x:v>
      </x:c>
      <x:c r="I702" s="36" t="n">
        <x:v>19080549.58</x:v>
      </x:c>
      <x:c r="J702" s="36" t="n">
        <x:v>0</x:v>
      </x:c>
      <x:c r="K702" s="36" t="n">
        <x:v>279744432.85</x:v>
      </x:c>
      <x:c r="L702" s="36" t="n">
        <x:v>0</x:v>
      </x:c>
      <x:c r="M702" s="38" t="n">
        <x:v>1.1663244353182751</x:v>
      </x:c>
      <x:c r="N702" s="36" t="n">
        <x:v>279744432.85</x:v>
      </x:c>
    </x:row>
    <x:row r="703" ht="20" customHeight="1">
      <x:c r="C703" s="1" t="n">
        <x:v>2</x:v>
      </x:c>
      <x:c r="D703" s="1" t="n">
        <x:v>4</x:v>
      </x:c>
      <x:c r="E703" s="1" t="n">
        <x:v>15</x:v>
      </x:c>
      <x:c r="F703" s="32" t="n">
        <x:v>46736</x:v>
      </x:c>
      <x:c r="G703" s="36" t="n">
        <x:v>279744432.85</x:v>
      </x:c>
      <x:c r="H703" s="36" t="n">
        <x:v>1044379.22</x:v>
      </x:c>
      <x:c r="I703" s="36" t="n">
        <x:v>18723315.03</x:v>
      </x:c>
      <x:c r="J703" s="36" t="n">
        <x:v>0</x:v>
      </x:c>
      <x:c r="K703" s="36" t="n">
        <x:v>261021117.82</x:v>
      </x:c>
      <x:c r="L703" s="36" t="n">
        <x:v>0</x:v>
      </x:c>
      <x:c r="M703" s="38" t="n">
        <x:v>1.2484599589322383</x:v>
      </x:c>
      <x:c r="N703" s="36" t="n">
        <x:v>261021117.82</x:v>
      </x:c>
    </x:row>
    <x:row r="704" ht="20" customHeight="1">
      <x:c r="C704" s="1" t="n">
        <x:v>2</x:v>
      </x:c>
      <x:c r="D704" s="1" t="n">
        <x:v>4</x:v>
      </x:c>
      <x:c r="E704" s="1" t="n">
        <x:v>16</x:v>
      </x:c>
      <x:c r="F704" s="32" t="n">
        <x:v>46770</x:v>
      </x:c>
      <x:c r="G704" s="36" t="n">
        <x:v>261021117.82</x:v>
      </x:c>
      <x:c r="H704" s="36" t="n">
        <x:v>974478.84</x:v>
      </x:c>
      <x:c r="I704" s="36" t="n">
        <x:v>18364251.36</x:v>
      </x:c>
      <x:c r="J704" s="36" t="n">
        <x:v>0</x:v>
      </x:c>
      <x:c r="K704" s="36" t="n">
        <x:v>242656866.46</x:v>
      </x:c>
      <x:c r="L704" s="36" t="n">
        <x:v>0</x:v>
      </x:c>
      <x:c r="M704" s="38" t="n">
        <x:v>1.3415468856947297</x:v>
      </x:c>
      <x:c r="N704" s="36" t="n">
        <x:v>242656866.46</x:v>
      </x:c>
    </x:row>
    <x:row r="705" ht="20" customHeight="1">
      <x:c r="C705" s="1" t="n">
        <x:v>2</x:v>
      </x:c>
      <x:c r="D705" s="1" t="n">
        <x:v>4</x:v>
      </x:c>
      <x:c r="E705" s="1" t="n">
        <x:v>17</x:v>
      </x:c>
      <x:c r="F705" s="32" t="n">
        <x:v>46798</x:v>
      </x:c>
      <x:c r="G705" s="36" t="n">
        <x:v>242656866.46</x:v>
      </x:c>
      <x:c r="H705" s="36" t="n">
        <x:v>905918.97</x:v>
      </x:c>
      <x:c r="I705" s="36" t="n">
        <x:v>17997053.02</x:v>
      </x:c>
      <x:c r="J705" s="36" t="n">
        <x:v>0</x:v>
      </x:c>
      <x:c r="K705" s="36" t="n">
        <x:v>224659813.44</x:v>
      </x:c>
      <x:c r="L705" s="36" t="n">
        <x:v>0</x:v>
      </x:c>
      <x:c r="M705" s="38" t="n">
        <x:v>1.4182067077344285</x:v>
      </x:c>
      <x:c r="N705" s="36" t="n">
        <x:v>224659813.44</x:v>
      </x:c>
    </x:row>
    <x:row r="706" ht="20" customHeight="1">
      <x:c r="C706" s="1" t="n">
        <x:v>2</x:v>
      </x:c>
      <x:c r="D706" s="1" t="n">
        <x:v>4</x:v>
      </x:c>
      <x:c r="E706" s="1" t="n">
        <x:v>18</x:v>
      </x:c>
      <x:c r="F706" s="32" t="n">
        <x:v>46827</x:v>
      </x:c>
      <x:c r="G706" s="36" t="n">
        <x:v>224659813.44</x:v>
      </x:c>
      <x:c r="H706" s="36" t="n">
        <x:v>838729.97</x:v>
      </x:c>
      <x:c r="I706" s="36" t="n">
        <x:v>17640016.57</x:v>
      </x:c>
      <x:c r="J706" s="36" t="n">
        <x:v>0</x:v>
      </x:c>
      <x:c r="K706" s="36" t="n">
        <x:v>207019796.87</x:v>
      </x:c>
      <x:c r="L706" s="36" t="n">
        <x:v>0</x:v>
      </x:c>
      <x:c r="M706" s="38" t="n">
        <x:v>1.4976043805612593</x:v>
      </x:c>
      <x:c r="N706" s="36" t="n">
        <x:v>207019796.87</x:v>
      </x:c>
    </x:row>
    <x:row r="707" ht="20" customHeight="1">
      <x:c r="C707" s="1" t="n">
        <x:v>2</x:v>
      </x:c>
      <x:c r="D707" s="1" t="n">
        <x:v>4</x:v>
      </x:c>
      <x:c r="E707" s="1" t="n">
        <x:v>19</x:v>
      </x:c>
      <x:c r="F707" s="32" t="n">
        <x:v>46860</x:v>
      </x:c>
      <x:c r="G707" s="36" t="n">
        <x:v>207019796.87</x:v>
      </x:c>
      <x:c r="H707" s="36" t="n">
        <x:v>772873.91</x:v>
      </x:c>
      <x:c r="I707" s="36" t="n">
        <x:v>17276641.44</x:v>
      </x:c>
      <x:c r="J707" s="36" t="n">
        <x:v>0</x:v>
      </x:c>
      <x:c r="K707" s="36" t="n">
        <x:v>189743155.43</x:v>
      </x:c>
      <x:c r="L707" s="36" t="n">
        <x:v>0</x:v>
      </x:c>
      <x:c r="M707" s="38" t="n">
        <x:v>1.5879534565366187</x:v>
      </x:c>
      <x:c r="N707" s="36" t="n">
        <x:v>189743155.43</x:v>
      </x:c>
    </x:row>
    <x:row r="708" ht="20" customHeight="1">
      <x:c r="C708" s="1" t="n">
        <x:v>2</x:v>
      </x:c>
      <x:c r="D708" s="1" t="n">
        <x:v>4</x:v>
      </x:c>
      <x:c r="E708" s="1" t="n">
        <x:v>20</x:v>
      </x:c>
      <x:c r="F708" s="32" t="n">
        <x:v>46888</x:v>
      </x:c>
      <x:c r="G708" s="36" t="n">
        <x:v>189743155.43</x:v>
      </x:c>
      <x:c r="H708" s="36" t="n">
        <x:v>708374.45</x:v>
      </x:c>
      <x:c r="I708" s="36" t="n">
        <x:v>16950272.18</x:v>
      </x:c>
      <x:c r="J708" s="36" t="n">
        <x:v>0</x:v>
      </x:c>
      <x:c r="K708" s="36" t="n">
        <x:v>172792883.25</x:v>
      </x:c>
      <x:c r="L708" s="36" t="n">
        <x:v>0</x:v>
      </x:c>
      <x:c r="M708" s="38" t="n">
        <x:v>1.6646132785763177</x:v>
      </x:c>
      <x:c r="N708" s="36" t="n">
        <x:v>172792883.25</x:v>
      </x:c>
    </x:row>
    <x:row r="709" ht="20" customHeight="1">
      <x:c r="C709" s="1" t="n">
        <x:v>2</x:v>
      </x:c>
      <x:c r="D709" s="1" t="n">
        <x:v>4</x:v>
      </x:c>
      <x:c r="E709" s="1" t="n">
        <x:v>21</x:v>
      </x:c>
      <x:c r="F709" s="32" t="n">
        <x:v>46919</x:v>
      </x:c>
      <x:c r="G709" s="36" t="n">
        <x:v>172792883.25</x:v>
      </x:c>
      <x:c r="H709" s="36" t="n">
        <x:v>645093.43</x:v>
      </x:c>
      <x:c r="I709" s="36" t="n">
        <x:v>16626132.95</x:v>
      </x:c>
      <x:c r="J709" s="36" t="n">
        <x:v>0</x:v>
      </x:c>
      <x:c r="K709" s="36" t="n">
        <x:v>156166750.3</x:v>
      </x:c>
      <x:c r="L709" s="36" t="n">
        <x:v>0</x:v>
      </x:c>
      <x:c r="M709" s="38" t="n">
        <x:v>1.7494866529774127</x:v>
      </x:c>
      <x:c r="N709" s="36" t="n">
        <x:v>156166750.3</x:v>
      </x:c>
    </x:row>
    <x:row r="710" ht="20" customHeight="1">
      <x:c r="C710" s="1" t="n">
        <x:v>2</x:v>
      </x:c>
      <x:c r="D710" s="1" t="n">
        <x:v>4</x:v>
      </x:c>
      <x:c r="E710" s="1" t="n">
        <x:v>22</x:v>
      </x:c>
      <x:c r="F710" s="32" t="n">
        <x:v>46951</x:v>
      </x:c>
      <x:c r="G710" s="36" t="n">
        <x:v>156166750.3</x:v>
      </x:c>
      <x:c r="H710" s="36" t="n">
        <x:v>583022.53</x:v>
      </x:c>
      <x:c r="I710" s="36" t="n">
        <x:v>16311729.56</x:v>
      </x:c>
      <x:c r="J710" s="36" t="n">
        <x:v>0</x:v>
      </x:c>
      <x:c r="K710" s="36" t="n">
        <x:v>139855020.74</x:v>
      </x:c>
      <x:c r="L710" s="36" t="n">
        <x:v>0</x:v>
      </x:c>
      <x:c r="M710" s="38" t="n">
        <x:v>1.83709787816564</x:v>
      </x:c>
      <x:c r="N710" s="36" t="n">
        <x:v>139855020.74</x:v>
      </x:c>
    </x:row>
    <x:row r="711" ht="20" customHeight="1">
      <x:c r="C711" s="1" t="n">
        <x:v>2</x:v>
      </x:c>
      <x:c r="D711" s="1" t="n">
        <x:v>4</x:v>
      </x:c>
      <x:c r="E711" s="1" t="n">
        <x:v>23</x:v>
      </x:c>
      <x:c r="F711" s="32" t="n">
        <x:v>46980</x:v>
      </x:c>
      <x:c r="G711" s="36" t="n">
        <x:v>139855020.74</x:v>
      </x:c>
      <x:c r="H711" s="36" t="n">
        <x:v>522125.41</x:v>
      </x:c>
      <x:c r="I711" s="36" t="n">
        <x:v>15983192.34</x:v>
      </x:c>
      <x:c r="J711" s="36" t="n">
        <x:v>0</x:v>
      </x:c>
      <x:c r="K711" s="36" t="n">
        <x:v>123871828.4</x:v>
      </x:c>
      <x:c r="L711" s="36" t="n">
        <x:v>0</x:v>
      </x:c>
      <x:c r="M711" s="38" t="n">
        <x:v>1.9164955509924708</x:v>
      </x:c>
      <x:c r="N711" s="36" t="n">
        <x:v>123871828.4</x:v>
      </x:c>
    </x:row>
    <x:row r="712" ht="20" customHeight="1">
      <x:c r="C712" s="1" t="n">
        <x:v>2</x:v>
      </x:c>
      <x:c r="D712" s="1" t="n">
        <x:v>4</x:v>
      </x:c>
      <x:c r="E712" s="1" t="n">
        <x:v>24</x:v>
      </x:c>
      <x:c r="F712" s="32" t="n">
        <x:v>47011</x:v>
      </x:c>
      <x:c r="G712" s="36" t="n">
        <x:v>123871828.4</x:v>
      </x:c>
      <x:c r="H712" s="36" t="n">
        <x:v>462454.83</x:v>
      </x:c>
      <x:c r="I712" s="36" t="n">
        <x:v>15656299.14</x:v>
      </x:c>
      <x:c r="J712" s="36" t="n">
        <x:v>0</x:v>
      </x:c>
      <x:c r="K712" s="36" t="n">
        <x:v>108215529.26</x:v>
      </x:c>
      <x:c r="L712" s="36" t="n">
        <x:v>0</x:v>
      </x:c>
      <x:c r="M712" s="38" t="n">
        <x:v>2.001368925393566</x:v>
      </x:c>
      <x:c r="N712" s="36" t="n">
        <x:v>108215529.26</x:v>
      </x:c>
    </x:row>
    <x:row r="713" ht="20" customHeight="1">
      <x:c r="C713" s="1" t="n">
        <x:v>2</x:v>
      </x:c>
      <x:c r="D713" s="1" t="n">
        <x:v>4</x:v>
      </x:c>
      <x:c r="E713" s="1" t="n">
        <x:v>25</x:v>
      </x:c>
      <x:c r="F713" s="32" t="n">
        <x:v>47042</x:v>
      </x:c>
      <x:c r="G713" s="36" t="n">
        <x:v>108215529.26</x:v>
      </x:c>
      <x:c r="H713" s="36" t="n">
        <x:v>404004.64</x:v>
      </x:c>
      <x:c r="I713" s="36" t="n">
        <x:v>15328063.57</x:v>
      </x:c>
      <x:c r="J713" s="36" t="n">
        <x:v>0</x:v>
      </x:c>
      <x:c r="K713" s="36" t="n">
        <x:v>92887465.69</x:v>
      </x:c>
      <x:c r="L713" s="36" t="n">
        <x:v>0</x:v>
      </x:c>
      <x:c r="M713" s="38" t="n">
        <x:v>2.086242299794661</x:v>
      </x:c>
      <x:c r="N713" s="36" t="n">
        <x:v>92887465.69</x:v>
      </x:c>
    </x:row>
    <x:row r="714" ht="20" customHeight="1">
      <x:c r="C714" s="1" t="n">
        <x:v>2</x:v>
      </x:c>
      <x:c r="D714" s="1" t="n">
        <x:v>4</x:v>
      </x:c>
      <x:c r="E714" s="1" t="n">
        <x:v>26</x:v>
      </x:c>
      <x:c r="F714" s="32" t="n">
        <x:v>47072</x:v>
      </x:c>
      <x:c r="G714" s="36" t="n">
        <x:v>92887465.69</x:v>
      </x:c>
      <x:c r="H714" s="36" t="n">
        <x:v>346779.87</x:v>
      </x:c>
      <x:c r="I714" s="36" t="n">
        <x:v>14995489.86</x:v>
      </x:c>
      <x:c r="J714" s="36" t="n">
        <x:v>0</x:v>
      </x:c>
      <x:c r="K714" s="36" t="n">
        <x:v>77891975.83</x:v>
      </x:c>
      <x:c r="L714" s="36" t="n">
        <x:v>0</x:v>
      </x:c>
      <x:c r="M714" s="38" t="n">
        <x:v>2.1683778234086244</x:v>
      </x:c>
      <x:c r="N714" s="36" t="n">
        <x:v>77891975.83</x:v>
      </x:c>
    </x:row>
    <x:row r="715" ht="20" customHeight="1">
      <x:c r="C715" s="1" t="n">
        <x:v>2</x:v>
      </x:c>
      <x:c r="D715" s="1" t="n">
        <x:v>4</x:v>
      </x:c>
      <x:c r="E715" s="1" t="n">
        <x:v>27</x:v>
      </x:c>
      <x:c r="F715" s="32" t="n">
        <x:v>47102</x:v>
      </x:c>
      <x:c r="G715" s="36" t="n">
        <x:v>77891975.83</x:v>
      </x:c>
      <x:c r="H715" s="36" t="n">
        <x:v>290796.71</x:v>
      </x:c>
      <x:c r="I715" s="36" t="n">
        <x:v>14663774.62</x:v>
      </x:c>
      <x:c r="J715" s="36" t="n">
        <x:v>0</x:v>
      </x:c>
      <x:c r="K715" s="36" t="n">
        <x:v>63228201.21</x:v>
      </x:c>
      <x:c r="L715" s="36" t="n">
        <x:v>0</x:v>
      </x:c>
      <x:c r="M715" s="38" t="n">
        <x:v>2.2505133470225873</x:v>
      </x:c>
      <x:c r="N715" s="36" t="n">
        <x:v>63228201.21</x:v>
      </x:c>
    </x:row>
    <x:row r="716" ht="20" customHeight="1">
      <x:c r="C716" s="1" t="n">
        <x:v>2</x:v>
      </x:c>
      <x:c r="D716" s="1" t="n">
        <x:v>4</x:v>
      </x:c>
      <x:c r="E716" s="1" t="n">
        <x:v>28</x:v>
      </x:c>
      <x:c r="F716" s="32" t="n">
        <x:v>47134</x:v>
      </x:c>
      <x:c r="G716" s="36" t="n">
        <x:v>63228201.21</x:v>
      </x:c>
      <x:c r="H716" s="36" t="n">
        <x:v>236051.95</x:v>
      </x:c>
      <x:c r="I716" s="36" t="n">
        <x:v>14311658.96</x:v>
      </x:c>
      <x:c r="J716" s="36" t="n">
        <x:v>0</x:v>
      </x:c>
      <x:c r="K716" s="36" t="n">
        <x:v>48916542.25</x:v>
      </x:c>
      <x:c r="L716" s="36" t="n">
        <x:v>0</x:v>
      </x:c>
      <x:c r="M716" s="38" t="n">
        <x:v>2.3381245722108144</x:v>
      </x:c>
      <x:c r="N716" s="36" t="n">
        <x:v>48916542.25</x:v>
      </x:c>
    </x:row>
    <x:row r="717" ht="20" customHeight="1">
      <x:c r="C717" s="1" t="n">
        <x:v>2</x:v>
      </x:c>
      <x:c r="D717" s="1" t="n">
        <x:v>4</x:v>
      </x:c>
      <x:c r="E717" s="1" t="n">
        <x:v>29</x:v>
      </x:c>
      <x:c r="F717" s="32" t="n">
        <x:v>47164</x:v>
      </x:c>
      <x:c r="G717" s="36" t="n">
        <x:v>48916542.25</x:v>
      </x:c>
      <x:c r="H717" s="36" t="n">
        <x:v>182621.76</x:v>
      </x:c>
      <x:c r="I717" s="36" t="n">
        <x:v>13907882.06</x:v>
      </x:c>
      <x:c r="J717" s="36" t="n">
        <x:v>0</x:v>
      </x:c>
      <x:c r="K717" s="36" t="n">
        <x:v>35008660.19</x:v>
      </x:c>
      <x:c r="L717" s="36" t="n">
        <x:v>0</x:v>
      </x:c>
      <x:c r="M717" s="38" t="n">
        <x:v>2.4202600958247777</x:v>
      </x:c>
      <x:c r="N717" s="36" t="n">
        <x:v>35008660.19</x:v>
      </x:c>
    </x:row>
    <x:row r="718" ht="20" customHeight="1">
      <x:c r="C718" s="1" t="n">
        <x:v>2</x:v>
      </x:c>
      <x:c r="D718" s="1" t="n">
        <x:v>4</x:v>
      </x:c>
      <x:c r="E718" s="1" t="n">
        <x:v>30</x:v>
      </x:c>
      <x:c r="F718" s="32" t="n">
        <x:v>47192</x:v>
      </x:c>
      <x:c r="G718" s="36" t="n">
        <x:v>35008660.19</x:v>
      </x:c>
      <x:c r="H718" s="36" t="n">
        <x:v>130699</x:v>
      </x:c>
      <x:c r="I718" s="36" t="n">
        <x:v>13518802.07</x:v>
      </x:c>
      <x:c r="J718" s="36" t="n">
        <x:v>0</x:v>
      </x:c>
      <x:c r="K718" s="36" t="n">
        <x:v>21489858.12</x:v>
      </x:c>
      <x:c r="L718" s="36" t="n">
        <x:v>0</x:v>
      </x:c>
      <x:c r="M718" s="38" t="n">
        <x:v>2.4969199178644765</x:v>
      </x:c>
      <x:c r="N718" s="36" t="n">
        <x:v>21489858.12</x:v>
      </x:c>
    </x:row>
    <x:row r="719" ht="20" customHeight="1">
      <x:c r="C719" s="1" t="n">
        <x:v>2</x:v>
      </x:c>
      <x:c r="D719" s="1" t="n">
        <x:v>4</x:v>
      </x:c>
      <x:c r="E719" s="1" t="n">
        <x:v>31</x:v>
      </x:c>
      <x:c r="F719" s="32" t="n">
        <x:v>47224</x:v>
      </x:c>
      <x:c r="G719" s="36" t="n">
        <x:v>21489858.12</x:v>
      </x:c>
      <x:c r="H719" s="36" t="n">
        <x:v>80228.8</x:v>
      </x:c>
      <x:c r="I719" s="36" t="n">
        <x:v>13125256.67</x:v>
      </x:c>
      <x:c r="J719" s="36" t="n">
        <x:v>0</x:v>
      </x:c>
      <x:c r="K719" s="36" t="n">
        <x:v>8364601.45</x:v>
      </x:c>
      <x:c r="L719" s="36" t="n">
        <x:v>0</x:v>
      </x:c>
      <x:c r="M719" s="38" t="n">
        <x:v>2.5845311430527036</x:v>
      </x:c>
      <x:c r="N719" s="36" t="n">
        <x:v>8364601.45</x:v>
      </x:c>
    </x:row>
    <x:row r="720" ht="20" customHeight="1">
      <x:c r="C720" s="1" t="n">
        <x:v>2</x:v>
      </x:c>
      <x:c r="D720" s="1" t="n">
        <x:v>4</x:v>
      </x:c>
      <x:c r="E720" s="1" t="n">
        <x:v>32</x:v>
      </x:c>
      <x:c r="F720" s="32" t="n">
        <x:v>47253</x:v>
      </x:c>
      <x:c r="G720" s="36" t="n">
        <x:v>8364601.45</x:v>
      </x:c>
      <x:c r="H720" s="36" t="n">
        <x:v>31227.85</x:v>
      </x:c>
      <x:c r="I720" s="36" t="n">
        <x:v>8364601.45</x:v>
      </x:c>
      <x:c r="J720" s="36" t="n">
        <x:v>0</x:v>
      </x:c>
      <x:c r="K720" s="36" t="n">
        <x:v>0</x:v>
      </x:c>
      <x:c r="L720" s="36" t="n">
        <x:v>0</x:v>
      </x:c>
      <x:c r="M720" s="38" t="n">
        <x:v>2.6639288158795345</x:v>
      </x:c>
      <x:c r="N720" s="36" t="n">
        <x:v>0</x:v>
      </x:c>
    </x:row>
    <x:row r="721" ht="20" customHeight="1">
      <x:c r="C721" s="1" t="n">
        <x:v>2</x:v>
      </x:c>
      <x:c r="D721" s="1" t="n">
        <x:v>4</x:v>
      </x:c>
      <x:c r="E721" s="1" t="n">
        <x:v>33</x:v>
      </x:c>
      <x:c r="F721" s="32" t="n">
        <x:v>47284</x:v>
      </x:c>
      <x:c r="G721" s="36" t="n">
        <x:v>0</x:v>
      </x:c>
      <x:c r="H721" s="36" t="n">
        <x:v>0</x:v>
      </x:c>
      <x:c r="I721" s="36" t="n">
        <x:v>0</x:v>
      </x:c>
      <x:c r="J721" s="36" t="n">
        <x:v>0</x:v>
      </x:c>
      <x:c r="K721" s="36" t="n">
        <x:v>0</x:v>
      </x:c>
      <x:c r="L721" s="36" t="n">
        <x:v>0</x:v>
      </x:c>
      <x:c r="M721" s="38" t="n">
        <x:v>2.74880219028063</x:v>
      </x:c>
      <x:c r="N721" s="36" t="n">
        <x:v>0</x:v>
      </x:c>
    </x:row>
    <x:row r="722" ht="20" customHeight="1">
      <x:c r="C722" s="1" t="n">
        <x:v>2</x:v>
      </x:c>
      <x:c r="D722" s="1" t="n">
        <x:v>4</x:v>
      </x:c>
      <x:c r="E722" s="1" t="n">
        <x:v>34</x:v>
      </x:c>
      <x:c r="F722" s="32" t="n">
        <x:v>47315</x:v>
      </x:c>
      <x:c r="G722" s="36" t="n">
        <x:v>0</x:v>
      </x:c>
      <x:c r="H722" s="36" t="n">
        <x:v>0</x:v>
      </x:c>
      <x:c r="I722" s="36" t="n">
        <x:v>0</x:v>
      </x:c>
      <x:c r="J722" s="36" t="n">
        <x:v>0</x:v>
      </x:c>
      <x:c r="K722" s="36" t="n">
        <x:v>0</x:v>
      </x:c>
      <x:c r="L722" s="36" t="n">
        <x:v>0</x:v>
      </x:c>
      <x:c r="M722" s="38" t="n">
        <x:v>2.833675564681725</x:v>
      </x:c>
      <x:c r="N722" s="36" t="n">
        <x:v>0</x:v>
      </x:c>
    </x:row>
    <x:row r="723" ht="20" customHeight="1">
      <x:c r="C723" s="1" t="n">
        <x:v>2</x:v>
      </x:c>
      <x:c r="D723" s="1" t="n">
        <x:v>4</x:v>
      </x:c>
      <x:c r="E723" s="1" t="n">
        <x:v>35</x:v>
      </x:c>
      <x:c r="F723" s="32" t="n">
        <x:v>47345</x:v>
      </x:c>
      <x:c r="G723" s="36" t="n">
        <x:v>0</x:v>
      </x:c>
      <x:c r="H723" s="36" t="n">
        <x:v>0</x:v>
      </x:c>
      <x:c r="I723" s="36" t="n">
        <x:v>0</x:v>
      </x:c>
      <x:c r="J723" s="36" t="n">
        <x:v>0</x:v>
      </x:c>
      <x:c r="K723" s="36" t="n">
        <x:v>0</x:v>
      </x:c>
      <x:c r="L723" s="36" t="n">
        <x:v>0</x:v>
      </x:c>
      <x:c r="M723" s="38" t="n">
        <x:v>2.915811088295688</x:v>
      </x:c>
      <x:c r="N723" s="36" t="n">
        <x:v>0</x:v>
      </x:c>
    </x:row>
    <x:row r="724" ht="20" customHeight="1">
      <x:c r="C724" s="1" t="n">
        <x:v>2</x:v>
      </x:c>
      <x:c r="D724" s="1" t="n">
        <x:v>4</x:v>
      </x:c>
      <x:c r="E724" s="1" t="n">
        <x:v>36</x:v>
      </x:c>
      <x:c r="F724" s="32" t="n">
        <x:v>47378</x:v>
      </x:c>
      <x:c r="G724" s="36" t="n">
        <x:v>0</x:v>
      </x:c>
      <x:c r="H724" s="36" t="n">
        <x:v>0</x:v>
      </x:c>
      <x:c r="I724" s="36" t="n">
        <x:v>0</x:v>
      </x:c>
      <x:c r="J724" s="36" t="n">
        <x:v>0</x:v>
      </x:c>
      <x:c r="K724" s="36" t="n">
        <x:v>0</x:v>
      </x:c>
      <x:c r="L724" s="36" t="n">
        <x:v>0</x:v>
      </x:c>
      <x:c r="M724" s="38" t="n">
        <x:v>3.0061601642710474</x:v>
      </x:c>
      <x:c r="N724" s="36" t="n">
        <x:v>0</x:v>
      </x:c>
    </x:row>
    <x:row r="725" ht="20" customHeight="1">
      <x:c r="C725" s="1" t="n">
        <x:v>2</x:v>
      </x:c>
      <x:c r="D725" s="1" t="n">
        <x:v>4</x:v>
      </x:c>
      <x:c r="E725" s="1" t="n">
        <x:v>37</x:v>
      </x:c>
      <x:c r="F725" s="32" t="n">
        <x:v>47406</x:v>
      </x:c>
      <x:c r="G725" s="36" t="n">
        <x:v>0</x:v>
      </x:c>
      <x:c r="H725" s="36" t="n">
        <x:v>0</x:v>
      </x:c>
      <x:c r="I725" s="36" t="n">
        <x:v>0</x:v>
      </x:c>
      <x:c r="J725" s="36" t="n">
        <x:v>0</x:v>
      </x:c>
      <x:c r="K725" s="36" t="n">
        <x:v>0</x:v>
      </x:c>
      <x:c r="L725" s="36" t="n">
        <x:v>0</x:v>
      </x:c>
      <x:c r="M725" s="38" t="n">
        <x:v>3.082819986310746</x:v>
      </x:c>
      <x:c r="N725" s="36" t="n">
        <x:v>0</x:v>
      </x:c>
    </x:row>
    <x:row r="726" ht="20" customHeight="1">
      <x:c r="C726" s="1" t="n">
        <x:v>2</x:v>
      </x:c>
      <x:c r="D726" s="1" t="n">
        <x:v>4</x:v>
      </x:c>
      <x:c r="E726" s="1" t="n">
        <x:v>38</x:v>
      </x:c>
      <x:c r="F726" s="32" t="n">
        <x:v>47437</x:v>
      </x:c>
      <x:c r="G726" s="36" t="n">
        <x:v>0</x:v>
      </x:c>
      <x:c r="H726" s="36" t="n">
        <x:v>0</x:v>
      </x:c>
      <x:c r="I726" s="36" t="n">
        <x:v>0</x:v>
      </x:c>
      <x:c r="J726" s="36" t="n">
        <x:v>0</x:v>
      </x:c>
      <x:c r="K726" s="36" t="n">
        <x:v>0</x:v>
      </x:c>
      <x:c r="L726" s="36" t="n">
        <x:v>0</x:v>
      </x:c>
      <x:c r="M726" s="38" t="n">
        <x:v>3.167693360711841</x:v>
      </x:c>
      <x:c r="N726" s="36" t="n">
        <x:v>0</x:v>
      </x:c>
    </x:row>
    <x:row r="727" ht="20" customHeight="1">
      <x:c r="C727" s="1" t="n">
        <x:v>2</x:v>
      </x:c>
      <x:c r="D727" s="1" t="n">
        <x:v>4</x:v>
      </x:c>
      <x:c r="E727" s="1" t="n">
        <x:v>39</x:v>
      </x:c>
      <x:c r="F727" s="32" t="n">
        <x:v>47469</x:v>
      </x:c>
      <x:c r="G727" s="36" t="n">
        <x:v>0</x:v>
      </x:c>
      <x:c r="H727" s="36" t="n">
        <x:v>0</x:v>
      </x:c>
      <x:c r="I727" s="36" t="n">
        <x:v>0</x:v>
      </x:c>
      <x:c r="J727" s="36" t="n">
        <x:v>0</x:v>
      </x:c>
      <x:c r="K727" s="36" t="n">
        <x:v>0</x:v>
      </x:c>
      <x:c r="L727" s="36" t="n">
        <x:v>0</x:v>
      </x:c>
      <x:c r="M727" s="38" t="n">
        <x:v>3.2553045859000687</x:v>
      </x:c>
      <x:c r="N727" s="36" t="n">
        <x:v>0</x:v>
      </x:c>
    </x:row>
    <x:row r="728" ht="20" customHeight="1">
      <x:c r="C728" s="1" t="n">
        <x:v>2</x:v>
      </x:c>
      <x:c r="D728" s="1" t="n">
        <x:v>4</x:v>
      </x:c>
      <x:c r="E728" s="1" t="n">
        <x:v>40</x:v>
      </x:c>
      <x:c r="F728" s="32" t="n">
        <x:v>47498</x:v>
      </x:c>
      <x:c r="G728" s="36" t="n">
        <x:v>0</x:v>
      </x:c>
      <x:c r="H728" s="36" t="n">
        <x:v>0</x:v>
      </x:c>
      <x:c r="I728" s="36" t="n">
        <x:v>0</x:v>
      </x:c>
      <x:c r="J728" s="36" t="n">
        <x:v>0</x:v>
      </x:c>
      <x:c r="K728" s="36" t="n">
        <x:v>0</x:v>
      </x:c>
      <x:c r="L728" s="36" t="n">
        <x:v>0</x:v>
      </x:c>
      <x:c r="M728" s="38" t="n">
        <x:v>3.3347022587268995</x:v>
      </x:c>
      <x:c r="N728" s="36" t="n">
        <x:v>0</x:v>
      </x:c>
    </x:row>
    <x:row r="729" ht="20" customHeight="1">
      <x:c r="C729" s="1" t="n">
        <x:v>2</x:v>
      </x:c>
      <x:c r="D729" s="1" t="n">
        <x:v>4</x:v>
      </x:c>
      <x:c r="E729" s="1" t="n">
        <x:v>41</x:v>
      </x:c>
      <x:c r="F729" s="32" t="n">
        <x:v>47529</x:v>
      </x:c>
      <x:c r="G729" s="36" t="n">
        <x:v>0</x:v>
      </x:c>
      <x:c r="H729" s="36" t="n">
        <x:v>0</x:v>
      </x:c>
      <x:c r="I729" s="36" t="n">
        <x:v>0</x:v>
      </x:c>
      <x:c r="J729" s="36" t="n">
        <x:v>0</x:v>
      </x:c>
      <x:c r="K729" s="36" t="n">
        <x:v>0</x:v>
      </x:c>
      <x:c r="L729" s="36" t="n">
        <x:v>0</x:v>
      </x:c>
      <x:c r="M729" s="38" t="n">
        <x:v>3.4195756331279945</x:v>
      </x:c>
      <x:c r="N729" s="36" t="n">
        <x:v>0</x:v>
      </x:c>
    </x:row>
    <x:row r="730" ht="20" customHeight="1">
      <x:c r="C730" s="1" t="n">
        <x:v>2</x:v>
      </x:c>
      <x:c r="D730" s="1" t="n">
        <x:v>4</x:v>
      </x:c>
      <x:c r="E730" s="1" t="n">
        <x:v>42</x:v>
      </x:c>
      <x:c r="F730" s="32" t="n">
        <x:v>47557</x:v>
      </x:c>
      <x:c r="G730" s="36" t="n">
        <x:v>0</x:v>
      </x:c>
      <x:c r="H730" s="36" t="n">
        <x:v>0</x:v>
      </x:c>
      <x:c r="I730" s="36" t="n">
        <x:v>0</x:v>
      </x:c>
      <x:c r="J730" s="36" t="n">
        <x:v>0</x:v>
      </x:c>
      <x:c r="K730" s="36" t="n">
        <x:v>0</x:v>
      </x:c>
      <x:c r="L730" s="36" t="n">
        <x:v>0</x:v>
      </x:c>
      <x:c r="M730" s="38" t="n">
        <x:v>3.4962354551676933</x:v>
      </x:c>
      <x:c r="N730" s="36" t="n">
        <x:v>0</x:v>
      </x:c>
    </x:row>
    <x:row r="731" ht="20" customHeight="1">
      <x:c r="C731" s="1" t="n">
        <x:v>2</x:v>
      </x:c>
      <x:c r="D731" s="1" t="n">
        <x:v>4</x:v>
      </x:c>
      <x:c r="E731" s="1" t="n">
        <x:v>43</x:v>
      </x:c>
      <x:c r="F731" s="32" t="n">
        <x:v>47588</x:v>
      </x:c>
      <x:c r="G731" s="36" t="n">
        <x:v>0</x:v>
      </x:c>
      <x:c r="H731" s="36" t="n">
        <x:v>0</x:v>
      </x:c>
      <x:c r="I731" s="36" t="n">
        <x:v>0</x:v>
      </x:c>
      <x:c r="J731" s="36" t="n">
        <x:v>0</x:v>
      </x:c>
      <x:c r="K731" s="36" t="n">
        <x:v>0</x:v>
      </x:c>
      <x:c r="L731" s="36" t="n">
        <x:v>0</x:v>
      </x:c>
      <x:c r="M731" s="38" t="n">
        <x:v>3.5811088295687883</x:v>
      </x:c>
      <x:c r="N731" s="36" t="n">
        <x:v>0</x:v>
      </x:c>
    </x:row>
    <x:row r="732" ht="20" customHeight="1">
      <x:c r="C732" s="1" t="n">
        <x:v>2</x:v>
      </x:c>
      <x:c r="D732" s="1" t="n">
        <x:v>4</x:v>
      </x:c>
      <x:c r="E732" s="1" t="n">
        <x:v>44</x:v>
      </x:c>
      <x:c r="F732" s="32" t="n">
        <x:v>47618</x:v>
      </x:c>
      <x:c r="G732" s="36" t="n">
        <x:v>0</x:v>
      </x:c>
      <x:c r="H732" s="36" t="n">
        <x:v>0</x:v>
      </x:c>
      <x:c r="I732" s="36" t="n">
        <x:v>0</x:v>
      </x:c>
      <x:c r="J732" s="36" t="n">
        <x:v>0</x:v>
      </x:c>
      <x:c r="K732" s="36" t="n">
        <x:v>0</x:v>
      </x:c>
      <x:c r="L732" s="36" t="n">
        <x:v>0</x:v>
      </x:c>
      <x:c r="M732" s="38" t="n">
        <x:v>3.6632443531827517</x:v>
      </x:c>
      <x:c r="N732" s="36" t="n">
        <x:v>0</x:v>
      </x:c>
    </x:row>
    <x:row r="733" ht="20" customHeight="1">
      <x:c r="C733" s="1" t="n">
        <x:v>2</x:v>
      </x:c>
      <x:c r="D733" s="1" t="n">
        <x:v>4</x:v>
      </x:c>
      <x:c r="E733" s="1" t="n">
        <x:v>45</x:v>
      </x:c>
      <x:c r="F733" s="32" t="n">
        <x:v>47651</x:v>
      </x:c>
      <x:c r="G733" s="36" t="n">
        <x:v>0</x:v>
      </x:c>
      <x:c r="H733" s="36" t="n">
        <x:v>0</x:v>
      </x:c>
      <x:c r="I733" s="36" t="n">
        <x:v>0</x:v>
      </x:c>
      <x:c r="J733" s="36" t="n">
        <x:v>0</x:v>
      </x:c>
      <x:c r="K733" s="36" t="n">
        <x:v>0</x:v>
      </x:c>
      <x:c r="L733" s="36" t="n">
        <x:v>0</x:v>
      </x:c>
      <x:c r="M733" s="38" t="n">
        <x:v>3.753593429158111</x:v>
      </x:c>
      <x:c r="N733" s="36" t="n">
        <x:v>0</x:v>
      </x:c>
    </x:row>
    <x:row r="734" ht="20" customHeight="1">
      <x:c r="C734" s="1" t="n">
        <x:v>2</x:v>
      </x:c>
      <x:c r="D734" s="1" t="n">
        <x:v>4</x:v>
      </x:c>
      <x:c r="E734" s="1" t="n">
        <x:v>46</x:v>
      </x:c>
      <x:c r="F734" s="32" t="n">
        <x:v>47679</x:v>
      </x:c>
      <x:c r="G734" s="36" t="n">
        <x:v>0</x:v>
      </x:c>
      <x:c r="H734" s="36" t="n">
        <x:v>0</x:v>
      </x:c>
      <x:c r="I734" s="36" t="n">
        <x:v>0</x:v>
      </x:c>
      <x:c r="J734" s="36" t="n">
        <x:v>0</x:v>
      </x:c>
      <x:c r="K734" s="36" t="n">
        <x:v>0</x:v>
      </x:c>
      <x:c r="L734" s="36" t="n">
        <x:v>0</x:v>
      </x:c>
      <x:c r="M734" s="38" t="n">
        <x:v>3.8302532511978096</x:v>
      </x:c>
      <x:c r="N734" s="36" t="n">
        <x:v>0</x:v>
      </x:c>
    </x:row>
    <x:row r="735" ht="20" customHeight="1">
      <x:c r="C735" s="1" t="n">
        <x:v>2</x:v>
      </x:c>
      <x:c r="D735" s="1" t="n">
        <x:v>4</x:v>
      </x:c>
      <x:c r="E735" s="1" t="n">
        <x:v>47</x:v>
      </x:c>
      <x:c r="F735" s="32" t="n">
        <x:v>47710</x:v>
      </x:c>
      <x:c r="G735" s="36" t="n">
        <x:v>0</x:v>
      </x:c>
      <x:c r="H735" s="36" t="n">
        <x:v>0</x:v>
      </x:c>
      <x:c r="I735" s="36" t="n">
        <x:v>0</x:v>
      </x:c>
      <x:c r="J735" s="36" t="n">
        <x:v>0</x:v>
      </x:c>
      <x:c r="K735" s="36" t="n">
        <x:v>0</x:v>
      </x:c>
      <x:c r="L735" s="36" t="n">
        <x:v>0</x:v>
      </x:c>
      <x:c r="M735" s="38" t="n">
        <x:v>3.915126625598905</x:v>
      </x:c>
      <x:c r="N735" s="36" t="n">
        <x:v>0</x:v>
      </x:c>
    </x:row>
    <x:row r="736" ht="20" customHeight="1">
      <x:c r="C736" s="1" t="n">
        <x:v>2</x:v>
      </x:c>
      <x:c r="D736" s="1" t="n">
        <x:v>4</x:v>
      </x:c>
      <x:c r="E736" s="1" t="n">
        <x:v>48</x:v>
      </x:c>
      <x:c r="F736" s="32" t="n">
        <x:v>47742</x:v>
      </x:c>
      <x:c r="G736" s="36" t="n">
        <x:v>0</x:v>
      </x:c>
      <x:c r="H736" s="36" t="n">
        <x:v>0</x:v>
      </x:c>
      <x:c r="I736" s="36" t="n">
        <x:v>0</x:v>
      </x:c>
      <x:c r="J736" s="36" t="n">
        <x:v>0</x:v>
      </x:c>
      <x:c r="K736" s="36" t="n">
        <x:v>0</x:v>
      </x:c>
      <x:c r="L736" s="36" t="n">
        <x:v>0</x:v>
      </x:c>
      <x:c r="M736" s="38" t="n">
        <x:v>4.002737850787132</x:v>
      </x:c>
      <x:c r="N736" s="36" t="n">
        <x:v>0</x:v>
      </x:c>
    </x:row>
    <x:row r="737" ht="20" customHeight="1">
      <x:c r="C737" s="1" t="n">
        <x:v>2</x:v>
      </x:c>
      <x:c r="D737" s="1" t="n">
        <x:v>4</x:v>
      </x:c>
      <x:c r="E737" s="1" t="n">
        <x:v>49</x:v>
      </x:c>
      <x:c r="F737" s="32" t="n">
        <x:v>47771</x:v>
      </x:c>
      <x:c r="G737" s="36" t="n">
        <x:v>0</x:v>
      </x:c>
      <x:c r="H737" s="36" t="n">
        <x:v>0</x:v>
      </x:c>
      <x:c r="I737" s="36" t="n">
        <x:v>0</x:v>
      </x:c>
      <x:c r="J737" s="36" t="n">
        <x:v>0</x:v>
      </x:c>
      <x:c r="K737" s="36" t="n">
        <x:v>0</x:v>
      </x:c>
      <x:c r="L737" s="36" t="n">
        <x:v>0</x:v>
      </x:c>
      <x:c r="M737" s="38" t="n">
        <x:v>4.082135523613963</x:v>
      </x:c>
      <x:c r="N737" s="36" t="n">
        <x:v>0</x:v>
      </x:c>
    </x:row>
    <x:row r="738" ht="20" customHeight="1">
      <x:c r="C738" s="1" t="n">
        <x:v>2</x:v>
      </x:c>
      <x:c r="D738" s="1" t="n">
        <x:v>4</x:v>
      </x:c>
      <x:c r="E738" s="1" t="n">
        <x:v>50</x:v>
      </x:c>
      <x:c r="F738" s="32" t="n">
        <x:v>47802</x:v>
      </x:c>
      <x:c r="G738" s="36" t="n">
        <x:v>0</x:v>
      </x:c>
      <x:c r="H738" s="36" t="n">
        <x:v>0</x:v>
      </x:c>
      <x:c r="I738" s="36" t="n">
        <x:v>0</x:v>
      </x:c>
      <x:c r="J738" s="36" t="n">
        <x:v>0</x:v>
      </x:c>
      <x:c r="K738" s="36" t="n">
        <x:v>0</x:v>
      </x:c>
      <x:c r="L738" s="36" t="n">
        <x:v>0</x:v>
      </x:c>
      <x:c r="M738" s="38" t="n">
        <x:v>4.167008898015058</x:v>
      </x:c>
      <x:c r="N738" s="36" t="n">
        <x:v>0</x:v>
      </x:c>
    </x:row>
    <x:row r="739" ht="20" customHeight="1">
      <x:c r="C739" s="1" t="n">
        <x:v>2</x:v>
      </x:c>
      <x:c r="D739" s="1" t="n">
        <x:v>4</x:v>
      </x:c>
      <x:c r="E739" s="1" t="n">
        <x:v>51</x:v>
      </x:c>
      <x:c r="F739" s="32" t="n">
        <x:v>47833</x:v>
      </x:c>
      <x:c r="G739" s="36" t="n">
        <x:v>0</x:v>
      </x:c>
      <x:c r="H739" s="36" t="n">
        <x:v>0</x:v>
      </x:c>
      <x:c r="I739" s="36" t="n">
        <x:v>0</x:v>
      </x:c>
      <x:c r="J739" s="36" t="n">
        <x:v>0</x:v>
      </x:c>
      <x:c r="K739" s="36" t="n">
        <x:v>0</x:v>
      </x:c>
      <x:c r="L739" s="36" t="n">
        <x:v>0</x:v>
      </x:c>
      <x:c r="M739" s="38" t="n">
        <x:v>4.251882272416153</x:v>
      </x:c>
      <x:c r="N739" s="36" t="n">
        <x:v>0</x:v>
      </x:c>
    </x:row>
    <x:row r="740" ht="20" customHeight="1">
      <x:c r="C740" s="1" t="n">
        <x:v>2</x:v>
      </x:c>
      <x:c r="D740" s="1" t="n">
        <x:v>4</x:v>
      </x:c>
      <x:c r="E740" s="1" t="n">
        <x:v>52</x:v>
      </x:c>
      <x:c r="F740" s="32" t="n">
        <x:v>47863</x:v>
      </x:c>
      <x:c r="G740" s="36" t="n">
        <x:v>0</x:v>
      </x:c>
      <x:c r="H740" s="36" t="n">
        <x:v>0</x:v>
      </x:c>
      <x:c r="I740" s="36" t="n">
        <x:v>0</x:v>
      </x:c>
      <x:c r="J740" s="36" t="n">
        <x:v>0</x:v>
      </x:c>
      <x:c r="K740" s="36" t="n">
        <x:v>0</x:v>
      </x:c>
      <x:c r="L740" s="36" t="n">
        <x:v>0</x:v>
      </x:c>
      <x:c r="M740" s="38" t="n">
        <x:v>4.334017796030117</x:v>
      </x:c>
      <x:c r="N740" s="36" t="n">
        <x:v>0</x:v>
      </x:c>
    </x:row>
    <x:row r="741" ht="20" customHeight="1">
      <x:c r="C741" s="1" t="n">
        <x:v>2</x:v>
      </x:c>
      <x:c r="D741" s="1" t="n">
        <x:v>4</x:v>
      </x:c>
      <x:c r="E741" s="1" t="n">
        <x:v>53</x:v>
      </x:c>
      <x:c r="F741" s="32" t="n">
        <x:v>47897</x:v>
      </x:c>
      <x:c r="G741" s="36" t="n">
        <x:v>0</x:v>
      </x:c>
      <x:c r="H741" s="36" t="n">
        <x:v>0</x:v>
      </x:c>
      <x:c r="I741" s="36" t="n">
        <x:v>0</x:v>
      </x:c>
      <x:c r="J741" s="36" t="n">
        <x:v>0</x:v>
      </x:c>
      <x:c r="K741" s="36" t="n">
        <x:v>0</x:v>
      </x:c>
      <x:c r="L741" s="36" t="n">
        <x:v>0</x:v>
      </x:c>
      <x:c r="M741" s="38" t="n">
        <x:v>4.427104722792608</x:v>
      </x:c>
      <x:c r="N741" s="36" t="n">
        <x:v>0</x:v>
      </x:c>
    </x:row>
    <x:row r="742" ht="20" customHeight="1">
      <x:c r="C742" s="1" t="n">
        <x:v>2</x:v>
      </x:c>
      <x:c r="D742" s="1" t="n">
        <x:v>4</x:v>
      </x:c>
      <x:c r="E742" s="1" t="n">
        <x:v>54</x:v>
      </x:c>
      <x:c r="F742" s="32" t="n">
        <x:v>47924</x:v>
      </x:c>
      <x:c r="G742" s="36" t="n">
        <x:v>0</x:v>
      </x:c>
      <x:c r="H742" s="36" t="n">
        <x:v>0</x:v>
      </x:c>
      <x:c r="I742" s="36" t="n">
        <x:v>0</x:v>
      </x:c>
      <x:c r="J742" s="36" t="n">
        <x:v>0</x:v>
      </x:c>
      <x:c r="K742" s="36" t="n">
        <x:v>0</x:v>
      </x:c>
      <x:c r="L742" s="36" t="n">
        <x:v>0</x:v>
      </x:c>
      <x:c r="M742" s="38" t="n">
        <x:v>4.501026694045175</x:v>
      </x:c>
      <x:c r="N742" s="36" t="n">
        <x:v>0</x:v>
      </x:c>
    </x:row>
    <x:row r="743" ht="20" customHeight="1">
      <x:c r="C743" s="1" t="n">
        <x:v>2</x:v>
      </x:c>
      <x:c r="D743" s="1" t="n">
        <x:v>4</x:v>
      </x:c>
      <x:c r="E743" s="1" t="n">
        <x:v>55</x:v>
      </x:c>
      <x:c r="F743" s="32" t="n">
        <x:v>47953</x:v>
      </x:c>
      <x:c r="G743" s="36" t="n">
        <x:v>0</x:v>
      </x:c>
      <x:c r="H743" s="36" t="n">
        <x:v>0</x:v>
      </x:c>
      <x:c r="I743" s="36" t="n">
        <x:v>0</x:v>
      </x:c>
      <x:c r="J743" s="36" t="n">
        <x:v>0</x:v>
      </x:c>
      <x:c r="K743" s="36" t="n">
        <x:v>0</x:v>
      </x:c>
      <x:c r="L743" s="36" t="n">
        <x:v>0</x:v>
      </x:c>
      <x:c r="M743" s="38" t="n">
        <x:v>4.5804243668720055</x:v>
      </x:c>
      <x:c r="N743" s="36" t="n">
        <x:v>0</x:v>
      </x:c>
    </x:row>
    <x:row r="744" ht="20" customHeight="1">
      <x:c r="C744" s="1" t="n">
        <x:v>2</x:v>
      </x:c>
      <x:c r="D744" s="1" t="n">
        <x:v>4</x:v>
      </x:c>
      <x:c r="E744" s="1" t="n">
        <x:v>56</x:v>
      </x:c>
      <x:c r="F744" s="32" t="n">
        <x:v>47983</x:v>
      </x:c>
      <x:c r="G744" s="36" t="n">
        <x:v>0</x:v>
      </x:c>
      <x:c r="H744" s="36" t="n">
        <x:v>0</x:v>
      </x:c>
      <x:c r="I744" s="36" t="n">
        <x:v>0</x:v>
      </x:c>
      <x:c r="J744" s="36" t="n">
        <x:v>0</x:v>
      </x:c>
      <x:c r="K744" s="36" t="n">
        <x:v>0</x:v>
      </x:c>
      <x:c r="L744" s="36" t="n">
        <x:v>0</x:v>
      </x:c>
      <x:c r="M744" s="38" t="n">
        <x:v>4.662559890485968</x:v>
      </x:c>
      <x:c r="N744" s="36" t="n">
        <x:v>0</x:v>
      </x:c>
    </x:row>
    <x:row r="745" ht="20" customHeight="1">
      <x:c r="C745" s="1" t="n">
        <x:v>2</x:v>
      </x:c>
      <x:c r="D745" s="1" t="n">
        <x:v>4</x:v>
      </x:c>
      <x:c r="E745" s="1" t="n">
        <x:v>57</x:v>
      </x:c>
      <x:c r="F745" s="32" t="n">
        <x:v>48015</x:v>
      </x:c>
      <x:c r="G745" s="36" t="n">
        <x:v>0</x:v>
      </x:c>
      <x:c r="H745" s="36" t="n">
        <x:v>0</x:v>
      </x:c>
      <x:c r="I745" s="36" t="n">
        <x:v>0</x:v>
      </x:c>
      <x:c r="J745" s="36" t="n">
        <x:v>0</x:v>
      </x:c>
      <x:c r="K745" s="36" t="n">
        <x:v>0</x:v>
      </x:c>
      <x:c r="L745" s="36" t="n">
        <x:v>0</x:v>
      </x:c>
      <x:c r="M745" s="38" t="n">
        <x:v>4.7501711156741955</x:v>
      </x:c>
      <x:c r="N745" s="36" t="n">
        <x:v>0</x:v>
      </x:c>
    </x:row>
    <x:row r="746" ht="20" customHeight="1">
      <x:c r="C746" s="1" t="n">
        <x:v>2</x:v>
      </x:c>
      <x:c r="D746" s="1" t="n">
        <x:v>4</x:v>
      </x:c>
      <x:c r="E746" s="1" t="n">
        <x:v>58</x:v>
      </x:c>
      <x:c r="F746" s="32" t="n">
        <x:v>48044</x:v>
      </x:c>
      <x:c r="G746" s="36" t="n">
        <x:v>0</x:v>
      </x:c>
      <x:c r="H746" s="36" t="n">
        <x:v>0</x:v>
      </x:c>
      <x:c r="I746" s="36" t="n">
        <x:v>0</x:v>
      </x:c>
      <x:c r="J746" s="36" t="n">
        <x:v>0</x:v>
      </x:c>
      <x:c r="K746" s="36" t="n">
        <x:v>0</x:v>
      </x:c>
      <x:c r="L746" s="36" t="n">
        <x:v>0</x:v>
      </x:c>
      <x:c r="M746" s="38" t="n">
        <x:v>4.829568788501026</x:v>
      </x:c>
      <x:c r="N746" s="36" t="n">
        <x:v>0</x:v>
      </x:c>
    </x:row>
    <x:row r="747" ht="20" customHeight="1">
      <x:c r="C747" s="1" t="n">
        <x:v>2</x:v>
      </x:c>
      <x:c r="D747" s="1" t="n">
        <x:v>4</x:v>
      </x:c>
      <x:c r="E747" s="1" t="n">
        <x:v>59</x:v>
      </x:c>
      <x:c r="F747" s="32" t="n">
        <x:v>48075</x:v>
      </x:c>
      <x:c r="G747" s="36" t="n">
        <x:v>0</x:v>
      </x:c>
      <x:c r="H747" s="36" t="n">
        <x:v>0</x:v>
      </x:c>
      <x:c r="I747" s="36" t="n">
        <x:v>0</x:v>
      </x:c>
      <x:c r="J747" s="36" t="n">
        <x:v>0</x:v>
      </x:c>
      <x:c r="K747" s="36" t="n">
        <x:v>0</x:v>
      </x:c>
      <x:c r="L747" s="36" t="n">
        <x:v>0</x:v>
      </x:c>
      <x:c r="M747" s="38" t="n">
        <x:v>4.914442162902122</x:v>
      </x:c>
      <x:c r="N747" s="36" t="n">
        <x:v>0</x:v>
      </x:c>
    </x:row>
    <x:row r="748" ht="20" customHeight="1">
      <x:c r="C748" s="1" t="n">
        <x:v>2</x:v>
      </x:c>
      <x:c r="D748" s="1" t="n">
        <x:v>4</x:v>
      </x:c>
      <x:c r="E748" s="1" t="n">
        <x:v>60</x:v>
      </x:c>
      <x:c r="F748" s="32" t="n">
        <x:v>48106</x:v>
      </x:c>
      <x:c r="G748" s="36" t="n">
        <x:v>0</x:v>
      </x:c>
      <x:c r="H748" s="36" t="n">
        <x:v>0</x:v>
      </x:c>
      <x:c r="I748" s="36" t="n">
        <x:v>0</x:v>
      </x:c>
      <x:c r="J748" s="36" t="n">
        <x:v>0</x:v>
      </x:c>
      <x:c r="K748" s="36" t="n">
        <x:v>0</x:v>
      </x:c>
      <x:c r="L748" s="36" t="n">
        <x:v>0</x:v>
      </x:c>
      <x:c r="M748" s="38" t="n">
        <x:v>4.999315537303217</x:v>
      </x:c>
      <x:c r="N748" s="36" t="n">
        <x:v>0</x:v>
      </x:c>
    </x:row>
    <x:row r="749" ht="20" customHeight="1">
      <x:c r="C749" s="1" t="n">
        <x:v>2</x:v>
      </x:c>
      <x:c r="D749" s="1" t="n">
        <x:v>4</x:v>
      </x:c>
      <x:c r="E749" s="1" t="n">
        <x:v>61</x:v>
      </x:c>
      <x:c r="F749" s="32" t="n">
        <x:v>48136</x:v>
      </x:c>
      <x:c r="G749" s="36" t="n">
        <x:v>0</x:v>
      </x:c>
      <x:c r="H749" s="36" t="n">
        <x:v>0</x:v>
      </x:c>
      <x:c r="I749" s="36" t="n">
        <x:v>0</x:v>
      </x:c>
      <x:c r="J749" s="36" t="n">
        <x:v>0</x:v>
      </x:c>
      <x:c r="K749" s="36" t="n">
        <x:v>0</x:v>
      </x:c>
      <x:c r="L749" s="36" t="n">
        <x:v>0</x:v>
      </x:c>
      <x:c r="M749" s="38" t="n">
        <x:v>5.08145106091718</x:v>
      </x:c>
      <x:c r="N749" s="36" t="n">
        <x:v>0</x:v>
      </x:c>
    </x:row>
    <x:row r="750" ht="20" customHeight="1">
      <x:c r="C750" s="1" t="n">
        <x:v>2</x:v>
      </x:c>
      <x:c r="D750" s="1" t="n">
        <x:v>4</x:v>
      </x:c>
      <x:c r="E750" s="1" t="n">
        <x:v>62</x:v>
      </x:c>
      <x:c r="F750" s="32" t="n">
        <x:v>48169</x:v>
      </x:c>
      <x:c r="G750" s="36" t="n">
        <x:v>0</x:v>
      </x:c>
      <x:c r="H750" s="36" t="n">
        <x:v>0</x:v>
      </x:c>
      <x:c r="I750" s="36" t="n">
        <x:v>0</x:v>
      </x:c>
      <x:c r="J750" s="36" t="n">
        <x:v>0</x:v>
      </x:c>
      <x:c r="K750" s="36" t="n">
        <x:v>0</x:v>
      </x:c>
      <x:c r="L750" s="36" t="n">
        <x:v>0</x:v>
      </x:c>
      <x:c r="M750" s="38" t="n">
        <x:v>5.171800136892539</x:v>
      </x:c>
      <x:c r="N750" s="36" t="n">
        <x:v>0</x:v>
      </x:c>
    </x:row>
    <x:row r="751" ht="20" customHeight="1">
      <x:c r="C751" s="1" t="n">
        <x:v>2</x:v>
      </x:c>
      <x:c r="D751" s="1" t="n">
        <x:v>4</x:v>
      </x:c>
      <x:c r="E751" s="1" t="n">
        <x:v>63</x:v>
      </x:c>
      <x:c r="F751" s="32" t="n">
        <x:v>48197</x:v>
      </x:c>
      <x:c r="G751" s="36" t="n">
        <x:v>0</x:v>
      </x:c>
      <x:c r="H751" s="36" t="n">
        <x:v>0</x:v>
      </x:c>
      <x:c r="I751" s="36" t="n">
        <x:v>0</x:v>
      </x:c>
      <x:c r="J751" s="36" t="n">
        <x:v>0</x:v>
      </x:c>
      <x:c r="K751" s="36" t="n">
        <x:v>0</x:v>
      </x:c>
      <x:c r="L751" s="36" t="n">
        <x:v>0</x:v>
      </x:c>
      <x:c r="M751" s="38" t="n">
        <x:v>5.248459958932238</x:v>
      </x:c>
      <x:c r="N751" s="36" t="n">
        <x:v>0</x:v>
      </x:c>
    </x:row>
    <x:row r="752" ht="20" customHeight="1">
      <x:c r="C752" s="1" t="n">
        <x:v>2</x:v>
      </x:c>
      <x:c r="D752" s="1" t="n">
        <x:v>4</x:v>
      </x:c>
      <x:c r="E752" s="1" t="n">
        <x:v>64</x:v>
      </x:c>
      <x:c r="F752" s="32" t="n">
        <x:v>48228</x:v>
      </x:c>
      <x:c r="G752" s="36" t="n">
        <x:v>0</x:v>
      </x:c>
      <x:c r="H752" s="36" t="n">
        <x:v>0</x:v>
      </x:c>
      <x:c r="I752" s="36" t="n">
        <x:v>0</x:v>
      </x:c>
      <x:c r="J752" s="36" t="n">
        <x:v>0</x:v>
      </x:c>
      <x:c r="K752" s="36" t="n">
        <x:v>0</x:v>
      </x:c>
      <x:c r="L752" s="36" t="n">
        <x:v>0</x:v>
      </x:c>
      <x:c r="M752" s="38" t="n">
        <x:v>5.333333333333333</x:v>
      </x:c>
      <x:c r="N752" s="36" t="n">
        <x:v>0</x:v>
      </x:c>
    </x:row>
    <x:row r="753" ht="20" customHeight="1">
      <x:c r="C753" s="1" t="n">
        <x:v>2</x:v>
      </x:c>
      <x:c r="D753" s="1" t="n">
        <x:v>5</x:v>
      </x:c>
      <x:c r="E753" s="1" t="n">
        <x:v>1</x:v>
      </x:c>
      <x:c r="F753" s="32" t="n">
        <x:v>46310</x:v>
      </x:c>
      <x:c r="G753" s="36" t="n">
        <x:v>89000000</x:v>
      </x:c>
      <x:c r="H753" s="36" t="n">
        <x:v>344875</x:v>
      </x:c>
      <x:c r="I753" s="36" t="n">
        <x:v>0</x:v>
      </x:c>
      <x:c r="J753" s="36" t="n">
        <x:v>0</x:v>
      </x:c>
      <x:c r="K753" s="36" t="n">
        <x:v>89000000</x:v>
      </x:c>
      <x:c r="L753" s="36" t="n">
        <x:v>0</x:v>
      </x:c>
      <x:c r="M753" s="38" t="n">
        <x:v>0.08213552361396304</x:v>
      </x:c>
      <x:c r="N753" s="36" t="n">
        <x:v>89000000</x:v>
      </x:c>
    </x:row>
    <x:row r="754" ht="20" customHeight="1">
      <x:c r="C754" s="1" t="n">
        <x:v>2</x:v>
      </x:c>
      <x:c r="D754" s="1" t="n">
        <x:v>5</x:v>
      </x:c>
      <x:c r="E754" s="1" t="n">
        <x:v>2</x:v>
      </x:c>
      <x:c r="F754" s="32" t="n">
        <x:v>46342</x:v>
      </x:c>
      <x:c r="G754" s="36" t="n">
        <x:v>89000000</x:v>
      </x:c>
      <x:c r="H754" s="36" t="n">
        <x:v>344875</x:v>
      </x:c>
      <x:c r="I754" s="36" t="n">
        <x:v>0</x:v>
      </x:c>
      <x:c r="J754" s="36" t="n">
        <x:v>0</x:v>
      </x:c>
      <x:c r="K754" s="36" t="n">
        <x:v>89000000</x:v>
      </x:c>
      <x:c r="L754" s="36" t="n">
        <x:v>0</x:v>
      </x:c>
      <x:c r="M754" s="38" t="n">
        <x:v>0.1697467488021903</x:v>
      </x:c>
      <x:c r="N754" s="36" t="n">
        <x:v>89000000</x:v>
      </x:c>
    </x:row>
    <x:row r="755" ht="20" customHeight="1">
      <x:c r="C755" s="1" t="n">
        <x:v>2</x:v>
      </x:c>
      <x:c r="D755" s="1" t="n">
        <x:v>5</x:v>
      </x:c>
      <x:c r="E755" s="1" t="n">
        <x:v>3</x:v>
      </x:c>
      <x:c r="F755" s="32" t="n">
        <x:v>46371</x:v>
      </x:c>
      <x:c r="G755" s="36" t="n">
        <x:v>89000000</x:v>
      </x:c>
      <x:c r="H755" s="36" t="n">
        <x:v>344875</x:v>
      </x:c>
      <x:c r="I755" s="36" t="n">
        <x:v>0</x:v>
      </x:c>
      <x:c r="J755" s="36" t="n">
        <x:v>0</x:v>
      </x:c>
      <x:c r="K755" s="36" t="n">
        <x:v>89000000</x:v>
      </x:c>
      <x:c r="L755" s="36" t="n">
        <x:v>0</x:v>
      </x:c>
      <x:c r="M755" s="38" t="n">
        <x:v>0.24914442162902123</x:v>
      </x:c>
      <x:c r="N755" s="36" t="n">
        <x:v>89000000</x:v>
      </x:c>
    </x:row>
    <x:row r="756" ht="20" customHeight="1">
      <x:c r="C756" s="1" t="n">
        <x:v>2</x:v>
      </x:c>
      <x:c r="D756" s="1" t="n">
        <x:v>5</x:v>
      </x:c>
      <x:c r="E756" s="1" t="n">
        <x:v>4</x:v>
      </x:c>
      <x:c r="F756" s="32" t="n">
        <x:v>46402</x:v>
      </x:c>
      <x:c r="G756" s="36" t="n">
        <x:v>89000000</x:v>
      </x:c>
      <x:c r="H756" s="36" t="n">
        <x:v>344875</x:v>
      </x:c>
      <x:c r="I756" s="36" t="n">
        <x:v>0</x:v>
      </x:c>
      <x:c r="J756" s="36" t="n">
        <x:v>0</x:v>
      </x:c>
      <x:c r="K756" s="36" t="n">
        <x:v>89000000</x:v>
      </x:c>
      <x:c r="L756" s="36" t="n">
        <x:v>0</x:v>
      </x:c>
      <x:c r="M756" s="38" t="n">
        <x:v>0.33401779603011633</x:v>
      </x:c>
      <x:c r="N756" s="36" t="n">
        <x:v>89000000</x:v>
      </x:c>
    </x:row>
    <x:row r="757" ht="20" customHeight="1">
      <x:c r="C757" s="1" t="n">
        <x:v>2</x:v>
      </x:c>
      <x:c r="D757" s="1" t="n">
        <x:v>5</x:v>
      </x:c>
      <x:c r="E757" s="1" t="n">
        <x:v>5</x:v>
      </x:c>
      <x:c r="F757" s="32" t="n">
        <x:v>46434</x:v>
      </x:c>
      <x:c r="G757" s="36" t="n">
        <x:v>89000000</x:v>
      </x:c>
      <x:c r="H757" s="36" t="n">
        <x:v>344875</x:v>
      </x:c>
      <x:c r="I757" s="36" t="n">
        <x:v>0</x:v>
      </x:c>
      <x:c r="J757" s="36" t="n">
        <x:v>0</x:v>
      </x:c>
      <x:c r="K757" s="36" t="n">
        <x:v>89000000</x:v>
      </x:c>
      <x:c r="L757" s="36" t="n">
        <x:v>0</x:v>
      </x:c>
      <x:c r="M757" s="38" t="n">
        <x:v>0.4216290212183436</x:v>
      </x:c>
      <x:c r="N757" s="36" t="n">
        <x:v>89000000</x:v>
      </x:c>
    </x:row>
    <x:row r="758" ht="20" customHeight="1">
      <x:c r="C758" s="1" t="n">
        <x:v>2</x:v>
      </x:c>
      <x:c r="D758" s="1" t="n">
        <x:v>5</x:v>
      </x:c>
      <x:c r="E758" s="1" t="n">
        <x:v>6</x:v>
      </x:c>
      <x:c r="F758" s="32" t="n">
        <x:v>46461</x:v>
      </x:c>
      <x:c r="G758" s="36" t="n">
        <x:v>89000000</x:v>
      </x:c>
      <x:c r="H758" s="36" t="n">
        <x:v>344875</x:v>
      </x:c>
      <x:c r="I758" s="36" t="n">
        <x:v>0</x:v>
      </x:c>
      <x:c r="J758" s="36" t="n">
        <x:v>0</x:v>
      </x:c>
      <x:c r="K758" s="36" t="n">
        <x:v>89000000</x:v>
      </x:c>
      <x:c r="L758" s="36" t="n">
        <x:v>0</x:v>
      </x:c>
      <x:c r="M758" s="38" t="n">
        <x:v>0.49555099247091033</x:v>
      </x:c>
      <x:c r="N758" s="36" t="n">
        <x:v>89000000</x:v>
      </x:c>
    </x:row>
    <x:row r="759" ht="20" customHeight="1">
      <x:c r="C759" s="1" t="n">
        <x:v>2</x:v>
      </x:c>
      <x:c r="D759" s="1" t="n">
        <x:v>5</x:v>
      </x:c>
      <x:c r="E759" s="1" t="n">
        <x:v>7</x:v>
      </x:c>
      <x:c r="F759" s="32" t="n">
        <x:v>46492</x:v>
      </x:c>
      <x:c r="G759" s="36" t="n">
        <x:v>89000000</x:v>
      </x:c>
      <x:c r="H759" s="36" t="n">
        <x:v>344875</x:v>
      </x:c>
      <x:c r="I759" s="36" t="n">
        <x:v>0</x:v>
      </x:c>
      <x:c r="J759" s="36" t="n">
        <x:v>0</x:v>
      </x:c>
      <x:c r="K759" s="36" t="n">
        <x:v>89000000</x:v>
      </x:c>
      <x:c r="L759" s="36" t="n">
        <x:v>0</x:v>
      </x:c>
      <x:c r="M759" s="38" t="n">
        <x:v>0.5804243668720055</x:v>
      </x:c>
      <x:c r="N759" s="36" t="n">
        <x:v>89000000</x:v>
      </x:c>
    </x:row>
    <x:row r="760" ht="20" customHeight="1">
      <x:c r="C760" s="1" t="n">
        <x:v>2</x:v>
      </x:c>
      <x:c r="D760" s="1" t="n">
        <x:v>5</x:v>
      </x:c>
      <x:c r="E760" s="1" t="n">
        <x:v>8</x:v>
      </x:c>
      <x:c r="F760" s="32" t="n">
        <x:v>46524</x:v>
      </x:c>
      <x:c r="G760" s="36" t="n">
        <x:v>89000000</x:v>
      </x:c>
      <x:c r="H760" s="36" t="n">
        <x:v>344875</x:v>
      </x:c>
      <x:c r="I760" s="36" t="n">
        <x:v>0</x:v>
      </x:c>
      <x:c r="J760" s="36" t="n">
        <x:v>0</x:v>
      </x:c>
      <x:c r="K760" s="36" t="n">
        <x:v>89000000</x:v>
      </x:c>
      <x:c r="L760" s="36" t="n">
        <x:v>0</x:v>
      </x:c>
      <x:c r="M760" s="38" t="n">
        <x:v>0.6680355920602327</x:v>
      </x:c>
      <x:c r="N760" s="36" t="n">
        <x:v>89000000</x:v>
      </x:c>
    </x:row>
    <x:row r="761" ht="20" customHeight="1">
      <x:c r="C761" s="1" t="n">
        <x:v>2</x:v>
      </x:c>
      <x:c r="D761" s="1" t="n">
        <x:v>5</x:v>
      </x:c>
      <x:c r="E761" s="1" t="n">
        <x:v>9</x:v>
      </x:c>
      <x:c r="F761" s="32" t="n">
        <x:v>46553</x:v>
      </x:c>
      <x:c r="G761" s="36" t="n">
        <x:v>89000000</x:v>
      </x:c>
      <x:c r="H761" s="36" t="n">
        <x:v>344875</x:v>
      </x:c>
      <x:c r="I761" s="36" t="n">
        <x:v>0</x:v>
      </x:c>
      <x:c r="J761" s="36" t="n">
        <x:v>0</x:v>
      </x:c>
      <x:c r="K761" s="36" t="n">
        <x:v>89000000</x:v>
      </x:c>
      <x:c r="L761" s="36" t="n">
        <x:v>0</x:v>
      </x:c>
      <x:c r="M761" s="38" t="n">
        <x:v>0.7474332648870636</x:v>
      </x:c>
      <x:c r="N761" s="36" t="n">
        <x:v>89000000</x:v>
      </x:c>
    </x:row>
    <x:row r="762" ht="20" customHeight="1">
      <x:c r="C762" s="1" t="n">
        <x:v>2</x:v>
      </x:c>
      <x:c r="D762" s="1" t="n">
        <x:v>5</x:v>
      </x:c>
      <x:c r="E762" s="1" t="n">
        <x:v>10</x:v>
      </x:c>
      <x:c r="F762" s="32" t="n">
        <x:v>46583</x:v>
      </x:c>
      <x:c r="G762" s="36" t="n">
        <x:v>89000000</x:v>
      </x:c>
      <x:c r="H762" s="36" t="n">
        <x:v>344875</x:v>
      </x:c>
      <x:c r="I762" s="36" t="n">
        <x:v>0</x:v>
      </x:c>
      <x:c r="J762" s="36" t="n">
        <x:v>0</x:v>
      </x:c>
      <x:c r="K762" s="36" t="n">
        <x:v>89000000</x:v>
      </x:c>
      <x:c r="L762" s="36" t="n">
        <x:v>0</x:v>
      </x:c>
      <x:c r="M762" s="38" t="n">
        <x:v>0.8295687885010267</x:v>
      </x:c>
      <x:c r="N762" s="36" t="n">
        <x:v>89000000</x:v>
      </x:c>
    </x:row>
    <x:row r="763" ht="20" customHeight="1">
      <x:c r="C763" s="1" t="n">
        <x:v>2</x:v>
      </x:c>
      <x:c r="D763" s="1" t="n">
        <x:v>5</x:v>
      </x:c>
      <x:c r="E763" s="1" t="n">
        <x:v>11</x:v>
      </x:c>
      <x:c r="F763" s="32" t="n">
        <x:v>46615</x:v>
      </x:c>
      <x:c r="G763" s="36" t="n">
        <x:v>89000000</x:v>
      </x:c>
      <x:c r="H763" s="36" t="n">
        <x:v>344875</x:v>
      </x:c>
      <x:c r="I763" s="36" t="n">
        <x:v>0</x:v>
      </x:c>
      <x:c r="J763" s="36" t="n">
        <x:v>0</x:v>
      </x:c>
      <x:c r="K763" s="36" t="n">
        <x:v>89000000</x:v>
      </x:c>
      <x:c r="L763" s="36" t="n">
        <x:v>0</x:v>
      </x:c>
      <x:c r="M763" s="38" t="n">
        <x:v>0.917180013689254</x:v>
      </x:c>
      <x:c r="N763" s="36" t="n">
        <x:v>89000000</x:v>
      </x:c>
    </x:row>
    <x:row r="764" ht="20" customHeight="1">
      <x:c r="C764" s="1" t="n">
        <x:v>2</x:v>
      </x:c>
      <x:c r="D764" s="1" t="n">
        <x:v>5</x:v>
      </x:c>
      <x:c r="E764" s="1" t="n">
        <x:v>12</x:v>
      </x:c>
      <x:c r="F764" s="32" t="n">
        <x:v>46645</x:v>
      </x:c>
      <x:c r="G764" s="36" t="n">
        <x:v>89000000</x:v>
      </x:c>
      <x:c r="H764" s="36" t="n">
        <x:v>344875</x:v>
      </x:c>
      <x:c r="I764" s="36" t="n">
        <x:v>0</x:v>
      </x:c>
      <x:c r="J764" s="36" t="n">
        <x:v>0</x:v>
      </x:c>
      <x:c r="K764" s="36" t="n">
        <x:v>89000000</x:v>
      </x:c>
      <x:c r="L764" s="36" t="n">
        <x:v>0</x:v>
      </x:c>
      <x:c r="M764" s="38" t="n">
        <x:v>0.999315537303217</x:v>
      </x:c>
      <x:c r="N764" s="36" t="n">
        <x:v>89000000</x:v>
      </x:c>
    </x:row>
    <x:row r="765" ht="20" customHeight="1">
      <x:c r="C765" s="1" t="n">
        <x:v>2</x:v>
      </x:c>
      <x:c r="D765" s="1" t="n">
        <x:v>5</x:v>
      </x:c>
      <x:c r="E765" s="1" t="n">
        <x:v>13</x:v>
      </x:c>
      <x:c r="F765" s="32" t="n">
        <x:v>46675</x:v>
      </x:c>
      <x:c r="G765" s="36" t="n">
        <x:v>89000000</x:v>
      </x:c>
      <x:c r="H765" s="36" t="n">
        <x:v>344875</x:v>
      </x:c>
      <x:c r="I765" s="36" t="n">
        <x:v>0</x:v>
      </x:c>
      <x:c r="J765" s="36" t="n">
        <x:v>0</x:v>
      </x:c>
      <x:c r="K765" s="36" t="n">
        <x:v>89000000</x:v>
      </x:c>
      <x:c r="L765" s="36" t="n">
        <x:v>0</x:v>
      </x:c>
      <x:c r="M765" s="38" t="n">
        <x:v>1.08145106091718</x:v>
      </x:c>
      <x:c r="N765" s="36" t="n">
        <x:v>89000000</x:v>
      </x:c>
    </x:row>
    <x:row r="766" ht="20" customHeight="1">
      <x:c r="C766" s="1" t="n">
        <x:v>2</x:v>
      </x:c>
      <x:c r="D766" s="1" t="n">
        <x:v>5</x:v>
      </x:c>
      <x:c r="E766" s="1" t="n">
        <x:v>14</x:v>
      </x:c>
      <x:c r="F766" s="32" t="n">
        <x:v>46706</x:v>
      </x:c>
      <x:c r="G766" s="36" t="n">
        <x:v>89000000</x:v>
      </x:c>
      <x:c r="H766" s="36" t="n">
        <x:v>344875</x:v>
      </x:c>
      <x:c r="I766" s="36" t="n">
        <x:v>0</x:v>
      </x:c>
      <x:c r="J766" s="36" t="n">
        <x:v>0</x:v>
      </x:c>
      <x:c r="K766" s="36" t="n">
        <x:v>89000000</x:v>
      </x:c>
      <x:c r="L766" s="36" t="n">
        <x:v>0</x:v>
      </x:c>
      <x:c r="M766" s="38" t="n">
        <x:v>1.1663244353182751</x:v>
      </x:c>
      <x:c r="N766" s="36" t="n">
        <x:v>89000000</x:v>
      </x:c>
    </x:row>
    <x:row r="767" ht="20" customHeight="1">
      <x:c r="C767" s="1" t="n">
        <x:v>2</x:v>
      </x:c>
      <x:c r="D767" s="1" t="n">
        <x:v>5</x:v>
      </x:c>
      <x:c r="E767" s="1" t="n">
        <x:v>15</x:v>
      </x:c>
      <x:c r="F767" s="32" t="n">
        <x:v>46736</x:v>
      </x:c>
      <x:c r="G767" s="36" t="n">
        <x:v>89000000</x:v>
      </x:c>
      <x:c r="H767" s="36" t="n">
        <x:v>344875</x:v>
      </x:c>
      <x:c r="I767" s="36" t="n">
        <x:v>0</x:v>
      </x:c>
      <x:c r="J767" s="36" t="n">
        <x:v>0</x:v>
      </x:c>
      <x:c r="K767" s="36" t="n">
        <x:v>89000000</x:v>
      </x:c>
      <x:c r="L767" s="36" t="n">
        <x:v>0</x:v>
      </x:c>
      <x:c r="M767" s="38" t="n">
        <x:v>1.2484599589322383</x:v>
      </x:c>
      <x:c r="N767" s="36" t="n">
        <x:v>89000000</x:v>
      </x:c>
    </x:row>
    <x:row r="768" ht="20" customHeight="1">
      <x:c r="C768" s="1" t="n">
        <x:v>2</x:v>
      </x:c>
      <x:c r="D768" s="1" t="n">
        <x:v>5</x:v>
      </x:c>
      <x:c r="E768" s="1" t="n">
        <x:v>16</x:v>
      </x:c>
      <x:c r="F768" s="32" t="n">
        <x:v>46770</x:v>
      </x:c>
      <x:c r="G768" s="36" t="n">
        <x:v>89000000</x:v>
      </x:c>
      <x:c r="H768" s="36" t="n">
        <x:v>344875</x:v>
      </x:c>
      <x:c r="I768" s="36" t="n">
        <x:v>0</x:v>
      </x:c>
      <x:c r="J768" s="36" t="n">
        <x:v>0</x:v>
      </x:c>
      <x:c r="K768" s="36" t="n">
        <x:v>89000000</x:v>
      </x:c>
      <x:c r="L768" s="36" t="n">
        <x:v>0</x:v>
      </x:c>
      <x:c r="M768" s="38" t="n">
        <x:v>1.3415468856947297</x:v>
      </x:c>
      <x:c r="N768" s="36" t="n">
        <x:v>89000000</x:v>
      </x:c>
    </x:row>
    <x:row r="769" ht="20" customHeight="1">
      <x:c r="C769" s="1" t="n">
        <x:v>2</x:v>
      </x:c>
      <x:c r="D769" s="1" t="n">
        <x:v>5</x:v>
      </x:c>
      <x:c r="E769" s="1" t="n">
        <x:v>17</x:v>
      </x:c>
      <x:c r="F769" s="32" t="n">
        <x:v>46798</x:v>
      </x:c>
      <x:c r="G769" s="36" t="n">
        <x:v>89000000</x:v>
      </x:c>
      <x:c r="H769" s="36" t="n">
        <x:v>344875</x:v>
      </x:c>
      <x:c r="I769" s="36" t="n">
        <x:v>0</x:v>
      </x:c>
      <x:c r="J769" s="36" t="n">
        <x:v>0</x:v>
      </x:c>
      <x:c r="K769" s="36" t="n">
        <x:v>89000000</x:v>
      </x:c>
      <x:c r="L769" s="36" t="n">
        <x:v>0</x:v>
      </x:c>
      <x:c r="M769" s="38" t="n">
        <x:v>1.4182067077344285</x:v>
      </x:c>
      <x:c r="N769" s="36" t="n">
        <x:v>89000000</x:v>
      </x:c>
    </x:row>
    <x:row r="770" ht="20" customHeight="1">
      <x:c r="C770" s="1" t="n">
        <x:v>2</x:v>
      </x:c>
      <x:c r="D770" s="1" t="n">
        <x:v>5</x:v>
      </x:c>
      <x:c r="E770" s="1" t="n">
        <x:v>18</x:v>
      </x:c>
      <x:c r="F770" s="32" t="n">
        <x:v>46827</x:v>
      </x:c>
      <x:c r="G770" s="36" t="n">
        <x:v>89000000</x:v>
      </x:c>
      <x:c r="H770" s="36" t="n">
        <x:v>344875</x:v>
      </x:c>
      <x:c r="I770" s="36" t="n">
        <x:v>0</x:v>
      </x:c>
      <x:c r="J770" s="36" t="n">
        <x:v>0</x:v>
      </x:c>
      <x:c r="K770" s="36" t="n">
        <x:v>89000000</x:v>
      </x:c>
      <x:c r="L770" s="36" t="n">
        <x:v>0</x:v>
      </x:c>
      <x:c r="M770" s="38" t="n">
        <x:v>1.4976043805612593</x:v>
      </x:c>
      <x:c r="N770" s="36" t="n">
        <x:v>89000000</x:v>
      </x:c>
    </x:row>
    <x:row r="771" ht="20" customHeight="1">
      <x:c r="C771" s="1" t="n">
        <x:v>2</x:v>
      </x:c>
      <x:c r="D771" s="1" t="n">
        <x:v>5</x:v>
      </x:c>
      <x:c r="E771" s="1" t="n">
        <x:v>19</x:v>
      </x:c>
      <x:c r="F771" s="32" t="n">
        <x:v>46860</x:v>
      </x:c>
      <x:c r="G771" s="36" t="n">
        <x:v>89000000</x:v>
      </x:c>
      <x:c r="H771" s="36" t="n">
        <x:v>344875</x:v>
      </x:c>
      <x:c r="I771" s="36" t="n">
        <x:v>0</x:v>
      </x:c>
      <x:c r="J771" s="36" t="n">
        <x:v>0</x:v>
      </x:c>
      <x:c r="K771" s="36" t="n">
        <x:v>89000000</x:v>
      </x:c>
      <x:c r="L771" s="36" t="n">
        <x:v>0</x:v>
      </x:c>
      <x:c r="M771" s="38" t="n">
        <x:v>1.5879534565366187</x:v>
      </x:c>
      <x:c r="N771" s="36" t="n">
        <x:v>89000000</x:v>
      </x:c>
    </x:row>
    <x:row r="772" ht="20" customHeight="1">
      <x:c r="C772" s="1" t="n">
        <x:v>2</x:v>
      </x:c>
      <x:c r="D772" s="1" t="n">
        <x:v>5</x:v>
      </x:c>
      <x:c r="E772" s="1" t="n">
        <x:v>20</x:v>
      </x:c>
      <x:c r="F772" s="32" t="n">
        <x:v>46888</x:v>
      </x:c>
      <x:c r="G772" s="36" t="n">
        <x:v>89000000</x:v>
      </x:c>
      <x:c r="H772" s="36" t="n">
        <x:v>344875</x:v>
      </x:c>
      <x:c r="I772" s="36" t="n">
        <x:v>0</x:v>
      </x:c>
      <x:c r="J772" s="36" t="n">
        <x:v>0</x:v>
      </x:c>
      <x:c r="K772" s="36" t="n">
        <x:v>89000000</x:v>
      </x:c>
      <x:c r="L772" s="36" t="n">
        <x:v>0</x:v>
      </x:c>
      <x:c r="M772" s="38" t="n">
        <x:v>1.6646132785763177</x:v>
      </x:c>
      <x:c r="N772" s="36" t="n">
        <x:v>89000000</x:v>
      </x:c>
    </x:row>
    <x:row r="773" ht="20" customHeight="1">
      <x:c r="C773" s="1" t="n">
        <x:v>2</x:v>
      </x:c>
      <x:c r="D773" s="1" t="n">
        <x:v>5</x:v>
      </x:c>
      <x:c r="E773" s="1" t="n">
        <x:v>21</x:v>
      </x:c>
      <x:c r="F773" s="32" t="n">
        <x:v>46919</x:v>
      </x:c>
      <x:c r="G773" s="36" t="n">
        <x:v>89000000</x:v>
      </x:c>
      <x:c r="H773" s="36" t="n">
        <x:v>344875</x:v>
      </x:c>
      <x:c r="I773" s="36" t="n">
        <x:v>0</x:v>
      </x:c>
      <x:c r="J773" s="36" t="n">
        <x:v>0</x:v>
      </x:c>
      <x:c r="K773" s="36" t="n">
        <x:v>89000000</x:v>
      </x:c>
      <x:c r="L773" s="36" t="n">
        <x:v>0</x:v>
      </x:c>
      <x:c r="M773" s="38" t="n">
        <x:v>1.7494866529774127</x:v>
      </x:c>
      <x:c r="N773" s="36" t="n">
        <x:v>89000000</x:v>
      </x:c>
    </x:row>
    <x:row r="774" ht="20" customHeight="1">
      <x:c r="C774" s="1" t="n">
        <x:v>2</x:v>
      </x:c>
      <x:c r="D774" s="1" t="n">
        <x:v>5</x:v>
      </x:c>
      <x:c r="E774" s="1" t="n">
        <x:v>22</x:v>
      </x:c>
      <x:c r="F774" s="32" t="n">
        <x:v>46951</x:v>
      </x:c>
      <x:c r="G774" s="36" t="n">
        <x:v>89000000</x:v>
      </x:c>
      <x:c r="H774" s="36" t="n">
        <x:v>344875</x:v>
      </x:c>
      <x:c r="I774" s="36" t="n">
        <x:v>0</x:v>
      </x:c>
      <x:c r="J774" s="36" t="n">
        <x:v>0</x:v>
      </x:c>
      <x:c r="K774" s="36" t="n">
        <x:v>89000000</x:v>
      </x:c>
      <x:c r="L774" s="36" t="n">
        <x:v>0</x:v>
      </x:c>
      <x:c r="M774" s="38" t="n">
        <x:v>1.83709787816564</x:v>
      </x:c>
      <x:c r="N774" s="36" t="n">
        <x:v>89000000</x:v>
      </x:c>
    </x:row>
    <x:row r="775" ht="20" customHeight="1">
      <x:c r="C775" s="1" t="n">
        <x:v>2</x:v>
      </x:c>
      <x:c r="D775" s="1" t="n">
        <x:v>5</x:v>
      </x:c>
      <x:c r="E775" s="1" t="n">
        <x:v>23</x:v>
      </x:c>
      <x:c r="F775" s="32" t="n">
        <x:v>46980</x:v>
      </x:c>
      <x:c r="G775" s="36" t="n">
        <x:v>89000000</x:v>
      </x:c>
      <x:c r="H775" s="36" t="n">
        <x:v>344875</x:v>
      </x:c>
      <x:c r="I775" s="36" t="n">
        <x:v>0</x:v>
      </x:c>
      <x:c r="J775" s="36" t="n">
        <x:v>0</x:v>
      </x:c>
      <x:c r="K775" s="36" t="n">
        <x:v>89000000</x:v>
      </x:c>
      <x:c r="L775" s="36" t="n">
        <x:v>0</x:v>
      </x:c>
      <x:c r="M775" s="38" t="n">
        <x:v>1.9164955509924708</x:v>
      </x:c>
      <x:c r="N775" s="36" t="n">
        <x:v>89000000</x:v>
      </x:c>
    </x:row>
    <x:row r="776" ht="20" customHeight="1">
      <x:c r="C776" s="1" t="n">
        <x:v>2</x:v>
      </x:c>
      <x:c r="D776" s="1" t="n">
        <x:v>5</x:v>
      </x:c>
      <x:c r="E776" s="1" t="n">
        <x:v>24</x:v>
      </x:c>
      <x:c r="F776" s="32" t="n">
        <x:v>47011</x:v>
      </x:c>
      <x:c r="G776" s="36" t="n">
        <x:v>89000000</x:v>
      </x:c>
      <x:c r="H776" s="36" t="n">
        <x:v>344875</x:v>
      </x:c>
      <x:c r="I776" s="36" t="n">
        <x:v>0</x:v>
      </x:c>
      <x:c r="J776" s="36" t="n">
        <x:v>0</x:v>
      </x:c>
      <x:c r="K776" s="36" t="n">
        <x:v>89000000</x:v>
      </x:c>
      <x:c r="L776" s="36" t="n">
        <x:v>0</x:v>
      </x:c>
      <x:c r="M776" s="38" t="n">
        <x:v>2.001368925393566</x:v>
      </x:c>
      <x:c r="N776" s="36" t="n">
        <x:v>89000000</x:v>
      </x:c>
    </x:row>
    <x:row r="777" ht="20" customHeight="1">
      <x:c r="C777" s="1" t="n">
        <x:v>2</x:v>
      </x:c>
      <x:c r="D777" s="1" t="n">
        <x:v>5</x:v>
      </x:c>
      <x:c r="E777" s="1" t="n">
        <x:v>25</x:v>
      </x:c>
      <x:c r="F777" s="32" t="n">
        <x:v>47042</x:v>
      </x:c>
      <x:c r="G777" s="36" t="n">
        <x:v>89000000</x:v>
      </x:c>
      <x:c r="H777" s="36" t="n">
        <x:v>344875</x:v>
      </x:c>
      <x:c r="I777" s="36" t="n">
        <x:v>0</x:v>
      </x:c>
      <x:c r="J777" s="36" t="n">
        <x:v>0</x:v>
      </x:c>
      <x:c r="K777" s="36" t="n">
        <x:v>89000000</x:v>
      </x:c>
      <x:c r="L777" s="36" t="n">
        <x:v>0</x:v>
      </x:c>
      <x:c r="M777" s="38" t="n">
        <x:v>2.086242299794661</x:v>
      </x:c>
      <x:c r="N777" s="36" t="n">
        <x:v>89000000</x:v>
      </x:c>
    </x:row>
    <x:row r="778" ht="20" customHeight="1">
      <x:c r="C778" s="1" t="n">
        <x:v>2</x:v>
      </x:c>
      <x:c r="D778" s="1" t="n">
        <x:v>5</x:v>
      </x:c>
      <x:c r="E778" s="1" t="n">
        <x:v>26</x:v>
      </x:c>
      <x:c r="F778" s="32" t="n">
        <x:v>47072</x:v>
      </x:c>
      <x:c r="G778" s="36" t="n">
        <x:v>89000000</x:v>
      </x:c>
      <x:c r="H778" s="36" t="n">
        <x:v>344875</x:v>
      </x:c>
      <x:c r="I778" s="36" t="n">
        <x:v>0</x:v>
      </x:c>
      <x:c r="J778" s="36" t="n">
        <x:v>0</x:v>
      </x:c>
      <x:c r="K778" s="36" t="n">
        <x:v>89000000</x:v>
      </x:c>
      <x:c r="L778" s="36" t="n">
        <x:v>0</x:v>
      </x:c>
      <x:c r="M778" s="38" t="n">
        <x:v>2.1683778234086244</x:v>
      </x:c>
      <x:c r="N778" s="36" t="n">
        <x:v>89000000</x:v>
      </x:c>
    </x:row>
    <x:row r="779" ht="20" customHeight="1">
      <x:c r="C779" s="1" t="n">
        <x:v>2</x:v>
      </x:c>
      <x:c r="D779" s="1" t="n">
        <x:v>5</x:v>
      </x:c>
      <x:c r="E779" s="1" t="n">
        <x:v>27</x:v>
      </x:c>
      <x:c r="F779" s="32" t="n">
        <x:v>47102</x:v>
      </x:c>
      <x:c r="G779" s="36" t="n">
        <x:v>89000000</x:v>
      </x:c>
      <x:c r="H779" s="36" t="n">
        <x:v>344875</x:v>
      </x:c>
      <x:c r="I779" s="36" t="n">
        <x:v>0</x:v>
      </x:c>
      <x:c r="J779" s="36" t="n">
        <x:v>0</x:v>
      </x:c>
      <x:c r="K779" s="36" t="n">
        <x:v>89000000</x:v>
      </x:c>
      <x:c r="L779" s="36" t="n">
        <x:v>0</x:v>
      </x:c>
      <x:c r="M779" s="38" t="n">
        <x:v>2.2505133470225873</x:v>
      </x:c>
      <x:c r="N779" s="36" t="n">
        <x:v>89000000</x:v>
      </x:c>
    </x:row>
    <x:row r="780" ht="20" customHeight="1">
      <x:c r="C780" s="1" t="n">
        <x:v>2</x:v>
      </x:c>
      <x:c r="D780" s="1" t="n">
        <x:v>5</x:v>
      </x:c>
      <x:c r="E780" s="1" t="n">
        <x:v>28</x:v>
      </x:c>
      <x:c r="F780" s="32" t="n">
        <x:v>47134</x:v>
      </x:c>
      <x:c r="G780" s="36" t="n">
        <x:v>89000000</x:v>
      </x:c>
      <x:c r="H780" s="36" t="n">
        <x:v>344875</x:v>
      </x:c>
      <x:c r="I780" s="36" t="n">
        <x:v>0</x:v>
      </x:c>
      <x:c r="J780" s="36" t="n">
        <x:v>0</x:v>
      </x:c>
      <x:c r="K780" s="36" t="n">
        <x:v>89000000</x:v>
      </x:c>
      <x:c r="L780" s="36" t="n">
        <x:v>0</x:v>
      </x:c>
      <x:c r="M780" s="38" t="n">
        <x:v>2.3381245722108144</x:v>
      </x:c>
      <x:c r="N780" s="36" t="n">
        <x:v>89000000</x:v>
      </x:c>
    </x:row>
    <x:row r="781" ht="20" customHeight="1">
      <x:c r="C781" s="1" t="n">
        <x:v>2</x:v>
      </x:c>
      <x:c r="D781" s="1" t="n">
        <x:v>5</x:v>
      </x:c>
      <x:c r="E781" s="1" t="n">
        <x:v>29</x:v>
      </x:c>
      <x:c r="F781" s="32" t="n">
        <x:v>47164</x:v>
      </x:c>
      <x:c r="G781" s="36" t="n">
        <x:v>89000000</x:v>
      </x:c>
      <x:c r="H781" s="36" t="n">
        <x:v>344875</x:v>
      </x:c>
      <x:c r="I781" s="36" t="n">
        <x:v>0</x:v>
      </x:c>
      <x:c r="J781" s="36" t="n">
        <x:v>0</x:v>
      </x:c>
      <x:c r="K781" s="36" t="n">
        <x:v>89000000</x:v>
      </x:c>
      <x:c r="L781" s="36" t="n">
        <x:v>0</x:v>
      </x:c>
      <x:c r="M781" s="38" t="n">
        <x:v>2.4202600958247777</x:v>
      </x:c>
      <x:c r="N781" s="36" t="n">
        <x:v>89000000</x:v>
      </x:c>
    </x:row>
    <x:row r="782" ht="20" customHeight="1">
      <x:c r="C782" s="1" t="n">
        <x:v>2</x:v>
      </x:c>
      <x:c r="D782" s="1" t="n">
        <x:v>5</x:v>
      </x:c>
      <x:c r="E782" s="1" t="n">
        <x:v>30</x:v>
      </x:c>
      <x:c r="F782" s="32" t="n">
        <x:v>47192</x:v>
      </x:c>
      <x:c r="G782" s="36" t="n">
        <x:v>89000000</x:v>
      </x:c>
      <x:c r="H782" s="36" t="n">
        <x:v>344875</x:v>
      </x:c>
      <x:c r="I782" s="36" t="n">
        <x:v>0</x:v>
      </x:c>
      <x:c r="J782" s="36" t="n">
        <x:v>0</x:v>
      </x:c>
      <x:c r="K782" s="36" t="n">
        <x:v>89000000</x:v>
      </x:c>
      <x:c r="L782" s="36" t="n">
        <x:v>0</x:v>
      </x:c>
      <x:c r="M782" s="38" t="n">
        <x:v>2.4969199178644765</x:v>
      </x:c>
      <x:c r="N782" s="36" t="n">
        <x:v>89000000</x:v>
      </x:c>
    </x:row>
    <x:row r="783" ht="20" customHeight="1">
      <x:c r="C783" s="1" t="n">
        <x:v>2</x:v>
      </x:c>
      <x:c r="D783" s="1" t="n">
        <x:v>5</x:v>
      </x:c>
      <x:c r="E783" s="1" t="n">
        <x:v>31</x:v>
      </x:c>
      <x:c r="F783" s="32" t="n">
        <x:v>47224</x:v>
      </x:c>
      <x:c r="G783" s="36" t="n">
        <x:v>89000000</x:v>
      </x:c>
      <x:c r="H783" s="36" t="n">
        <x:v>344875</x:v>
      </x:c>
      <x:c r="I783" s="36" t="n">
        <x:v>0</x:v>
      </x:c>
      <x:c r="J783" s="36" t="n">
        <x:v>0</x:v>
      </x:c>
      <x:c r="K783" s="36" t="n">
        <x:v>89000000</x:v>
      </x:c>
      <x:c r="L783" s="36" t="n">
        <x:v>0</x:v>
      </x:c>
      <x:c r="M783" s="38" t="n">
        <x:v>2.5845311430527036</x:v>
      </x:c>
      <x:c r="N783" s="36" t="n">
        <x:v>89000000</x:v>
      </x:c>
    </x:row>
    <x:row r="784" ht="20" customHeight="1">
      <x:c r="C784" s="1" t="n">
        <x:v>2</x:v>
      </x:c>
      <x:c r="D784" s="1" t="n">
        <x:v>5</x:v>
      </x:c>
      <x:c r="E784" s="1" t="n">
        <x:v>32</x:v>
      </x:c>
      <x:c r="F784" s="32" t="n">
        <x:v>47253</x:v>
      </x:c>
      <x:c r="G784" s="36" t="n">
        <x:v>89000000</x:v>
      </x:c>
      <x:c r="H784" s="36" t="n">
        <x:v>344875</x:v>
      </x:c>
      <x:c r="I784" s="36" t="n">
        <x:v>4451004.16</x:v>
      </x:c>
      <x:c r="J784" s="36" t="n">
        <x:v>0</x:v>
      </x:c>
      <x:c r="K784" s="36" t="n">
        <x:v>84548995.84</x:v>
      </x:c>
      <x:c r="L784" s="36" t="n">
        <x:v>0</x:v>
      </x:c>
      <x:c r="M784" s="38" t="n">
        <x:v>2.6639288158795345</x:v>
      </x:c>
      <x:c r="N784" s="36" t="n">
        <x:v>84548995.84</x:v>
      </x:c>
    </x:row>
    <x:row r="785" ht="20" customHeight="1">
      <x:c r="C785" s="1" t="n">
        <x:v>2</x:v>
      </x:c>
      <x:c r="D785" s="1" t="n">
        <x:v>5</x:v>
      </x:c>
      <x:c r="E785" s="1" t="n">
        <x:v>33</x:v>
      </x:c>
      <x:c r="F785" s="32" t="n">
        <x:v>47284</x:v>
      </x:c>
      <x:c r="G785" s="36" t="n">
        <x:v>84548995.84</x:v>
      </x:c>
      <x:c r="H785" s="36" t="n">
        <x:v>327627.36</x:v>
      </x:c>
      <x:c r="I785" s="36" t="n">
        <x:v>12508785.98</x:v>
      </x:c>
      <x:c r="J785" s="36" t="n">
        <x:v>0</x:v>
      </x:c>
      <x:c r="K785" s="36" t="n">
        <x:v>72040209.86</x:v>
      </x:c>
      <x:c r="L785" s="36" t="n">
        <x:v>0</x:v>
      </x:c>
      <x:c r="M785" s="38" t="n">
        <x:v>2.74880219028063</x:v>
      </x:c>
      <x:c r="N785" s="36" t="n">
        <x:v>72040209.86</x:v>
      </x:c>
    </x:row>
    <x:row r="786" ht="20" customHeight="1">
      <x:c r="C786" s="1" t="n">
        <x:v>2</x:v>
      </x:c>
      <x:c r="D786" s="1" t="n">
        <x:v>5</x:v>
      </x:c>
      <x:c r="E786" s="1" t="n">
        <x:v>34</x:v>
      </x:c>
      <x:c r="F786" s="32" t="n">
        <x:v>47315</x:v>
      </x:c>
      <x:c r="G786" s="36" t="n">
        <x:v>72040209.86</x:v>
      </x:c>
      <x:c r="H786" s="36" t="n">
        <x:v>279155.81</x:v>
      </x:c>
      <x:c r="I786" s="36" t="n">
        <x:v>12190932.58</x:v>
      </x:c>
      <x:c r="J786" s="36" t="n">
        <x:v>0</x:v>
      </x:c>
      <x:c r="K786" s="36" t="n">
        <x:v>59849277.28</x:v>
      </x:c>
      <x:c r="L786" s="36" t="n">
        <x:v>0</x:v>
      </x:c>
      <x:c r="M786" s="38" t="n">
        <x:v>2.833675564681725</x:v>
      </x:c>
      <x:c r="N786" s="36" t="n">
        <x:v>59849277.28</x:v>
      </x:c>
    </x:row>
    <x:row r="787" ht="20" customHeight="1">
      <x:c r="C787" s="1" t="n">
        <x:v>2</x:v>
      </x:c>
      <x:c r="D787" s="1" t="n">
        <x:v>5</x:v>
      </x:c>
      <x:c r="E787" s="1" t="n">
        <x:v>35</x:v>
      </x:c>
      <x:c r="F787" s="32" t="n">
        <x:v>47345</x:v>
      </x:c>
      <x:c r="G787" s="36" t="n">
        <x:v>59849277.28</x:v>
      </x:c>
      <x:c r="H787" s="36" t="n">
        <x:v>231915.95</x:v>
      </x:c>
      <x:c r="I787" s="36" t="n">
        <x:v>11835582.37</x:v>
      </x:c>
      <x:c r="J787" s="36" t="n">
        <x:v>0</x:v>
      </x:c>
      <x:c r="K787" s="36" t="n">
        <x:v>48013694.91</x:v>
      </x:c>
      <x:c r="L787" s="36" t="n">
        <x:v>0</x:v>
      </x:c>
      <x:c r="M787" s="38" t="n">
        <x:v>2.915811088295688</x:v>
      </x:c>
      <x:c r="N787" s="36" t="n">
        <x:v>48013694.91</x:v>
      </x:c>
    </x:row>
    <x:row r="788" ht="20" customHeight="1">
      <x:c r="C788" s="1" t="n">
        <x:v>2</x:v>
      </x:c>
      <x:c r="D788" s="1" t="n">
        <x:v>5</x:v>
      </x:c>
      <x:c r="E788" s="1" t="n">
        <x:v>36</x:v>
      </x:c>
      <x:c r="F788" s="32" t="n">
        <x:v>47378</x:v>
      </x:c>
      <x:c r="G788" s="36" t="n">
        <x:v>48013694.91</x:v>
      </x:c>
      <x:c r="H788" s="36" t="n">
        <x:v>186053.07</x:v>
      </x:c>
      <x:c r="I788" s="36" t="n">
        <x:v>11470343.82</x:v>
      </x:c>
      <x:c r="J788" s="36" t="n">
        <x:v>0</x:v>
      </x:c>
      <x:c r="K788" s="36" t="n">
        <x:v>36543351.09</x:v>
      </x:c>
      <x:c r="L788" s="36" t="n">
        <x:v>0</x:v>
      </x:c>
      <x:c r="M788" s="38" t="n">
        <x:v>3.0061601642710474</x:v>
      </x:c>
      <x:c r="N788" s="36" t="n">
        <x:v>36543351.09</x:v>
      </x:c>
    </x:row>
    <x:row r="789" ht="20" customHeight="1">
      <x:c r="C789" s="1" t="n">
        <x:v>2</x:v>
      </x:c>
      <x:c r="D789" s="1" t="n">
        <x:v>5</x:v>
      </x:c>
      <x:c r="E789" s="1" t="n">
        <x:v>37</x:v>
      </x:c>
      <x:c r="F789" s="32" t="n">
        <x:v>47406</x:v>
      </x:c>
      <x:c r="G789" s="36" t="n">
        <x:v>36543351.09</x:v>
      </x:c>
      <x:c r="H789" s="36" t="n">
        <x:v>141605.49</x:v>
      </x:c>
      <x:c r="I789" s="36" t="n">
        <x:v>11089944.25</x:v>
      </x:c>
      <x:c r="J789" s="36" t="n">
        <x:v>0</x:v>
      </x:c>
      <x:c r="K789" s="36" t="n">
        <x:v>25453406.84</x:v>
      </x:c>
      <x:c r="L789" s="36" t="n">
        <x:v>0</x:v>
      </x:c>
      <x:c r="M789" s="38" t="n">
        <x:v>3.082819986310746</x:v>
      </x:c>
      <x:c r="N789" s="36" t="n">
        <x:v>25453406.84</x:v>
      </x:c>
    </x:row>
    <x:row r="790" ht="20" customHeight="1">
      <x:c r="C790" s="1" t="n">
        <x:v>2</x:v>
      </x:c>
      <x:c r="D790" s="1" t="n">
        <x:v>5</x:v>
      </x:c>
      <x:c r="E790" s="1" t="n">
        <x:v>38</x:v>
      </x:c>
      <x:c r="F790" s="32" t="n">
        <x:v>47437</x:v>
      </x:c>
      <x:c r="G790" s="36" t="n">
        <x:v>25453406.84</x:v>
      </x:c>
      <x:c r="H790" s="36" t="n">
        <x:v>98631.95</x:v>
      </x:c>
      <x:c r="I790" s="36" t="n">
        <x:v>10590218.64</x:v>
      </x:c>
      <x:c r="J790" s="36" t="n">
        <x:v>0</x:v>
      </x:c>
      <x:c r="K790" s="36" t="n">
        <x:v>14863188.2</x:v>
      </x:c>
      <x:c r="L790" s="36" t="n">
        <x:v>0</x:v>
      </x:c>
      <x:c r="M790" s="38" t="n">
        <x:v>3.167693360711841</x:v>
      </x:c>
      <x:c r="N790" s="36" t="n">
        <x:v>14863188.2</x:v>
      </x:c>
    </x:row>
    <x:row r="791" ht="20" customHeight="1">
      <x:c r="C791" s="1" t="n">
        <x:v>2</x:v>
      </x:c>
      <x:c r="D791" s="1" t="n">
        <x:v>5</x:v>
      </x:c>
      <x:c r="E791" s="1" t="n">
        <x:v>39</x:v>
      </x:c>
      <x:c r="F791" s="32" t="n">
        <x:v>47469</x:v>
      </x:c>
      <x:c r="G791" s="36" t="n">
        <x:v>14863188.2</x:v>
      </x:c>
      <x:c r="H791" s="36" t="n">
        <x:v>57594.85</x:v>
      </x:c>
      <x:c r="I791" s="36" t="n">
        <x:v>10142964.02</x:v>
      </x:c>
      <x:c r="J791" s="36" t="n">
        <x:v>0</x:v>
      </x:c>
      <x:c r="K791" s="36" t="n">
        <x:v>4720224.18</x:v>
      </x:c>
      <x:c r="L791" s="36" t="n">
        <x:v>0</x:v>
      </x:c>
      <x:c r="M791" s="38" t="n">
        <x:v>3.2553045859000687</x:v>
      </x:c>
      <x:c r="N791" s="36" t="n">
        <x:v>4720224.18</x:v>
      </x:c>
    </x:row>
    <x:row r="792" ht="20" customHeight="1">
      <x:c r="C792" s="1" t="n">
        <x:v>2</x:v>
      </x:c>
      <x:c r="D792" s="1" t="n">
        <x:v>5</x:v>
      </x:c>
      <x:c r="E792" s="1" t="n">
        <x:v>40</x:v>
      </x:c>
      <x:c r="F792" s="32" t="n">
        <x:v>47498</x:v>
      </x:c>
      <x:c r="G792" s="36" t="n">
        <x:v>4720224.18</x:v>
      </x:c>
      <x:c r="H792" s="36" t="n">
        <x:v>18290.87</x:v>
      </x:c>
      <x:c r="I792" s="36" t="n">
        <x:v>4720224.18</x:v>
      </x:c>
      <x:c r="J792" s="36" t="n">
        <x:v>0</x:v>
      </x:c>
      <x:c r="K792" s="36" t="n">
        <x:v>0</x:v>
      </x:c>
      <x:c r="L792" s="36" t="n">
        <x:v>0</x:v>
      </x:c>
      <x:c r="M792" s="38" t="n">
        <x:v>3.3347022587268995</x:v>
      </x:c>
      <x:c r="N792" s="36" t="n">
        <x:v>0</x:v>
      </x:c>
    </x:row>
    <x:row r="793" ht="20" customHeight="1">
      <x:c r="C793" s="1" t="n">
        <x:v>2</x:v>
      </x:c>
      <x:c r="D793" s="1" t="n">
        <x:v>5</x:v>
      </x:c>
      <x:c r="E793" s="1" t="n">
        <x:v>41</x:v>
      </x:c>
      <x:c r="F793" s="32" t="n">
        <x:v>47529</x:v>
      </x:c>
      <x:c r="G793" s="36" t="n">
        <x:v>0</x:v>
      </x:c>
      <x:c r="H793" s="36" t="n">
        <x:v>0</x:v>
      </x:c>
      <x:c r="I793" s="36" t="n">
        <x:v>0</x:v>
      </x:c>
      <x:c r="J793" s="36" t="n">
        <x:v>0</x:v>
      </x:c>
      <x:c r="K793" s="36" t="n">
        <x:v>0</x:v>
      </x:c>
      <x:c r="L793" s="36" t="n">
        <x:v>0</x:v>
      </x:c>
      <x:c r="M793" s="38" t="n">
        <x:v>3.4195756331279945</x:v>
      </x:c>
      <x:c r="N793" s="36" t="n">
        <x:v>0</x:v>
      </x:c>
    </x:row>
    <x:row r="794" ht="20" customHeight="1">
      <x:c r="C794" s="1" t="n">
        <x:v>2</x:v>
      </x:c>
      <x:c r="D794" s="1" t="n">
        <x:v>5</x:v>
      </x:c>
      <x:c r="E794" s="1" t="n">
        <x:v>42</x:v>
      </x:c>
      <x:c r="F794" s="32" t="n">
        <x:v>47557</x:v>
      </x:c>
      <x:c r="G794" s="36" t="n">
        <x:v>0</x:v>
      </x:c>
      <x:c r="H794" s="36" t="n">
        <x:v>0</x:v>
      </x:c>
      <x:c r="I794" s="36" t="n">
        <x:v>0</x:v>
      </x:c>
      <x:c r="J794" s="36" t="n">
        <x:v>0</x:v>
      </x:c>
      <x:c r="K794" s="36" t="n">
        <x:v>0</x:v>
      </x:c>
      <x:c r="L794" s="36" t="n">
        <x:v>0</x:v>
      </x:c>
      <x:c r="M794" s="38" t="n">
        <x:v>3.4962354551676933</x:v>
      </x:c>
      <x:c r="N794" s="36" t="n">
        <x:v>0</x:v>
      </x:c>
    </x:row>
    <x:row r="795" ht="20" customHeight="1">
      <x:c r="C795" s="1" t="n">
        <x:v>2</x:v>
      </x:c>
      <x:c r="D795" s="1" t="n">
        <x:v>5</x:v>
      </x:c>
      <x:c r="E795" s="1" t="n">
        <x:v>43</x:v>
      </x:c>
      <x:c r="F795" s="32" t="n">
        <x:v>47588</x:v>
      </x:c>
      <x:c r="G795" s="36" t="n">
        <x:v>0</x:v>
      </x:c>
      <x:c r="H795" s="36" t="n">
        <x:v>0</x:v>
      </x:c>
      <x:c r="I795" s="36" t="n">
        <x:v>0</x:v>
      </x:c>
      <x:c r="J795" s="36" t="n">
        <x:v>0</x:v>
      </x:c>
      <x:c r="K795" s="36" t="n">
        <x:v>0</x:v>
      </x:c>
      <x:c r="L795" s="36" t="n">
        <x:v>0</x:v>
      </x:c>
      <x:c r="M795" s="38" t="n">
        <x:v>3.5811088295687883</x:v>
      </x:c>
      <x:c r="N795" s="36" t="n">
        <x:v>0</x:v>
      </x:c>
    </x:row>
    <x:row r="796" ht="20" customHeight="1">
      <x:c r="C796" s="1" t="n">
        <x:v>2</x:v>
      </x:c>
      <x:c r="D796" s="1" t="n">
        <x:v>5</x:v>
      </x:c>
      <x:c r="E796" s="1" t="n">
        <x:v>44</x:v>
      </x:c>
      <x:c r="F796" s="32" t="n">
        <x:v>47618</x:v>
      </x:c>
      <x:c r="G796" s="36" t="n">
        <x:v>0</x:v>
      </x:c>
      <x:c r="H796" s="36" t="n">
        <x:v>0</x:v>
      </x:c>
      <x:c r="I796" s="36" t="n">
        <x:v>0</x:v>
      </x:c>
      <x:c r="J796" s="36" t="n">
        <x:v>0</x:v>
      </x:c>
      <x:c r="K796" s="36" t="n">
        <x:v>0</x:v>
      </x:c>
      <x:c r="L796" s="36" t="n">
        <x:v>0</x:v>
      </x:c>
      <x:c r="M796" s="38" t="n">
        <x:v>3.6632443531827517</x:v>
      </x:c>
      <x:c r="N796" s="36" t="n">
        <x:v>0</x:v>
      </x:c>
    </x:row>
    <x:row r="797" ht="20" customHeight="1">
      <x:c r="C797" s="1" t="n">
        <x:v>2</x:v>
      </x:c>
      <x:c r="D797" s="1" t="n">
        <x:v>5</x:v>
      </x:c>
      <x:c r="E797" s="1" t="n">
        <x:v>45</x:v>
      </x:c>
      <x:c r="F797" s="32" t="n">
        <x:v>47651</x:v>
      </x:c>
      <x:c r="G797" s="36" t="n">
        <x:v>0</x:v>
      </x:c>
      <x:c r="H797" s="36" t="n">
        <x:v>0</x:v>
      </x:c>
      <x:c r="I797" s="36" t="n">
        <x:v>0</x:v>
      </x:c>
      <x:c r="J797" s="36" t="n">
        <x:v>0</x:v>
      </x:c>
      <x:c r="K797" s="36" t="n">
        <x:v>0</x:v>
      </x:c>
      <x:c r="L797" s="36" t="n">
        <x:v>0</x:v>
      </x:c>
      <x:c r="M797" s="38" t="n">
        <x:v>3.753593429158111</x:v>
      </x:c>
      <x:c r="N797" s="36" t="n">
        <x:v>0</x:v>
      </x:c>
    </x:row>
    <x:row r="798" ht="20" customHeight="1">
      <x:c r="C798" s="1" t="n">
        <x:v>2</x:v>
      </x:c>
      <x:c r="D798" s="1" t="n">
        <x:v>5</x:v>
      </x:c>
      <x:c r="E798" s="1" t="n">
        <x:v>46</x:v>
      </x:c>
      <x:c r="F798" s="32" t="n">
        <x:v>47679</x:v>
      </x:c>
      <x:c r="G798" s="36" t="n">
        <x:v>0</x:v>
      </x:c>
      <x:c r="H798" s="36" t="n">
        <x:v>0</x:v>
      </x:c>
      <x:c r="I798" s="36" t="n">
        <x:v>0</x:v>
      </x:c>
      <x:c r="J798" s="36" t="n">
        <x:v>0</x:v>
      </x:c>
      <x:c r="K798" s="36" t="n">
        <x:v>0</x:v>
      </x:c>
      <x:c r="L798" s="36" t="n">
        <x:v>0</x:v>
      </x:c>
      <x:c r="M798" s="38" t="n">
        <x:v>3.8302532511978096</x:v>
      </x:c>
      <x:c r="N798" s="36" t="n">
        <x:v>0</x:v>
      </x:c>
    </x:row>
    <x:row r="799" ht="20" customHeight="1">
      <x:c r="C799" s="1" t="n">
        <x:v>2</x:v>
      </x:c>
      <x:c r="D799" s="1" t="n">
        <x:v>5</x:v>
      </x:c>
      <x:c r="E799" s="1" t="n">
        <x:v>47</x:v>
      </x:c>
      <x:c r="F799" s="32" t="n">
        <x:v>47710</x:v>
      </x:c>
      <x:c r="G799" s="36" t="n">
        <x:v>0</x:v>
      </x:c>
      <x:c r="H799" s="36" t="n">
        <x:v>0</x:v>
      </x:c>
      <x:c r="I799" s="36" t="n">
        <x:v>0</x:v>
      </x:c>
      <x:c r="J799" s="36" t="n">
        <x:v>0</x:v>
      </x:c>
      <x:c r="K799" s="36" t="n">
        <x:v>0</x:v>
      </x:c>
      <x:c r="L799" s="36" t="n">
        <x:v>0</x:v>
      </x:c>
      <x:c r="M799" s="38" t="n">
        <x:v>3.915126625598905</x:v>
      </x:c>
      <x:c r="N799" s="36" t="n">
        <x:v>0</x:v>
      </x:c>
    </x:row>
    <x:row r="800" ht="20" customHeight="1">
      <x:c r="C800" s="1" t="n">
        <x:v>2</x:v>
      </x:c>
      <x:c r="D800" s="1" t="n">
        <x:v>5</x:v>
      </x:c>
      <x:c r="E800" s="1" t="n">
        <x:v>48</x:v>
      </x:c>
      <x:c r="F800" s="32" t="n">
        <x:v>47742</x:v>
      </x:c>
      <x:c r="G800" s="36" t="n">
        <x:v>0</x:v>
      </x:c>
      <x:c r="H800" s="36" t="n">
        <x:v>0</x:v>
      </x:c>
      <x:c r="I800" s="36" t="n">
        <x:v>0</x:v>
      </x:c>
      <x:c r="J800" s="36" t="n">
        <x:v>0</x:v>
      </x:c>
      <x:c r="K800" s="36" t="n">
        <x:v>0</x:v>
      </x:c>
      <x:c r="L800" s="36" t="n">
        <x:v>0</x:v>
      </x:c>
      <x:c r="M800" s="38" t="n">
        <x:v>4.002737850787132</x:v>
      </x:c>
      <x:c r="N800" s="36" t="n">
        <x:v>0</x:v>
      </x:c>
    </x:row>
    <x:row r="801" ht="20" customHeight="1">
      <x:c r="C801" s="1" t="n">
        <x:v>2</x:v>
      </x:c>
      <x:c r="D801" s="1" t="n">
        <x:v>5</x:v>
      </x:c>
      <x:c r="E801" s="1" t="n">
        <x:v>49</x:v>
      </x:c>
      <x:c r="F801" s="32" t="n">
        <x:v>47771</x:v>
      </x:c>
      <x:c r="G801" s="36" t="n">
        <x:v>0</x:v>
      </x:c>
      <x:c r="H801" s="36" t="n">
        <x:v>0</x:v>
      </x:c>
      <x:c r="I801" s="36" t="n">
        <x:v>0</x:v>
      </x:c>
      <x:c r="J801" s="36" t="n">
        <x:v>0</x:v>
      </x:c>
      <x:c r="K801" s="36" t="n">
        <x:v>0</x:v>
      </x:c>
      <x:c r="L801" s="36" t="n">
        <x:v>0</x:v>
      </x:c>
      <x:c r="M801" s="38" t="n">
        <x:v>4.082135523613963</x:v>
      </x:c>
      <x:c r="N801" s="36" t="n">
        <x:v>0</x:v>
      </x:c>
    </x:row>
    <x:row r="802" ht="20" customHeight="1">
      <x:c r="C802" s="1" t="n">
        <x:v>2</x:v>
      </x:c>
      <x:c r="D802" s="1" t="n">
        <x:v>5</x:v>
      </x:c>
      <x:c r="E802" s="1" t="n">
        <x:v>50</x:v>
      </x:c>
      <x:c r="F802" s="32" t="n">
        <x:v>47802</x:v>
      </x:c>
      <x:c r="G802" s="36" t="n">
        <x:v>0</x:v>
      </x:c>
      <x:c r="H802" s="36" t="n">
        <x:v>0</x:v>
      </x:c>
      <x:c r="I802" s="36" t="n">
        <x:v>0</x:v>
      </x:c>
      <x:c r="J802" s="36" t="n">
        <x:v>0</x:v>
      </x:c>
      <x:c r="K802" s="36" t="n">
        <x:v>0</x:v>
      </x:c>
      <x:c r="L802" s="36" t="n">
        <x:v>0</x:v>
      </x:c>
      <x:c r="M802" s="38" t="n">
        <x:v>4.167008898015058</x:v>
      </x:c>
      <x:c r="N802" s="36" t="n">
        <x:v>0</x:v>
      </x:c>
    </x:row>
    <x:row r="803" ht="20" customHeight="1">
      <x:c r="C803" s="1" t="n">
        <x:v>2</x:v>
      </x:c>
      <x:c r="D803" s="1" t="n">
        <x:v>5</x:v>
      </x:c>
      <x:c r="E803" s="1" t="n">
        <x:v>51</x:v>
      </x:c>
      <x:c r="F803" s="32" t="n">
        <x:v>47833</x:v>
      </x:c>
      <x:c r="G803" s="36" t="n">
        <x:v>0</x:v>
      </x:c>
      <x:c r="H803" s="36" t="n">
        <x:v>0</x:v>
      </x:c>
      <x:c r="I803" s="36" t="n">
        <x:v>0</x:v>
      </x:c>
      <x:c r="J803" s="36" t="n">
        <x:v>0</x:v>
      </x:c>
      <x:c r="K803" s="36" t="n">
        <x:v>0</x:v>
      </x:c>
      <x:c r="L803" s="36" t="n">
        <x:v>0</x:v>
      </x:c>
      <x:c r="M803" s="38" t="n">
        <x:v>4.251882272416153</x:v>
      </x:c>
      <x:c r="N803" s="36" t="n">
        <x:v>0</x:v>
      </x:c>
    </x:row>
    <x:row r="804" ht="20" customHeight="1">
      <x:c r="C804" s="1" t="n">
        <x:v>2</x:v>
      </x:c>
      <x:c r="D804" s="1" t="n">
        <x:v>5</x:v>
      </x:c>
      <x:c r="E804" s="1" t="n">
        <x:v>52</x:v>
      </x:c>
      <x:c r="F804" s="32" t="n">
        <x:v>47863</x:v>
      </x:c>
      <x:c r="G804" s="36" t="n">
        <x:v>0</x:v>
      </x:c>
      <x:c r="H804" s="36" t="n">
        <x:v>0</x:v>
      </x:c>
      <x:c r="I804" s="36" t="n">
        <x:v>0</x:v>
      </x:c>
      <x:c r="J804" s="36" t="n">
        <x:v>0</x:v>
      </x:c>
      <x:c r="K804" s="36" t="n">
        <x:v>0</x:v>
      </x:c>
      <x:c r="L804" s="36" t="n">
        <x:v>0</x:v>
      </x:c>
      <x:c r="M804" s="38" t="n">
        <x:v>4.334017796030117</x:v>
      </x:c>
      <x:c r="N804" s="36" t="n">
        <x:v>0</x:v>
      </x:c>
    </x:row>
    <x:row r="805" ht="20" customHeight="1">
      <x:c r="C805" s="1" t="n">
        <x:v>2</x:v>
      </x:c>
      <x:c r="D805" s="1" t="n">
        <x:v>5</x:v>
      </x:c>
      <x:c r="E805" s="1" t="n">
        <x:v>53</x:v>
      </x:c>
      <x:c r="F805" s="32" t="n">
        <x:v>47897</x:v>
      </x:c>
      <x:c r="G805" s="36" t="n">
        <x:v>0</x:v>
      </x:c>
      <x:c r="H805" s="36" t="n">
        <x:v>0</x:v>
      </x:c>
      <x:c r="I805" s="36" t="n">
        <x:v>0</x:v>
      </x:c>
      <x:c r="J805" s="36" t="n">
        <x:v>0</x:v>
      </x:c>
      <x:c r="K805" s="36" t="n">
        <x:v>0</x:v>
      </x:c>
      <x:c r="L805" s="36" t="n">
        <x:v>0</x:v>
      </x:c>
      <x:c r="M805" s="38" t="n">
        <x:v>4.427104722792608</x:v>
      </x:c>
      <x:c r="N805" s="36" t="n">
        <x:v>0</x:v>
      </x:c>
    </x:row>
    <x:row r="806" ht="20" customHeight="1">
      <x:c r="C806" s="1" t="n">
        <x:v>2</x:v>
      </x:c>
      <x:c r="D806" s="1" t="n">
        <x:v>5</x:v>
      </x:c>
      <x:c r="E806" s="1" t="n">
        <x:v>54</x:v>
      </x:c>
      <x:c r="F806" s="32" t="n">
        <x:v>47924</x:v>
      </x:c>
      <x:c r="G806" s="36" t="n">
        <x:v>0</x:v>
      </x:c>
      <x:c r="H806" s="36" t="n">
        <x:v>0</x:v>
      </x:c>
      <x:c r="I806" s="36" t="n">
        <x:v>0</x:v>
      </x:c>
      <x:c r="J806" s="36" t="n">
        <x:v>0</x:v>
      </x:c>
      <x:c r="K806" s="36" t="n">
        <x:v>0</x:v>
      </x:c>
      <x:c r="L806" s="36" t="n">
        <x:v>0</x:v>
      </x:c>
      <x:c r="M806" s="38" t="n">
        <x:v>4.501026694045175</x:v>
      </x:c>
      <x:c r="N806" s="36" t="n">
        <x:v>0</x:v>
      </x:c>
    </x:row>
    <x:row r="807" ht="20" customHeight="1">
      <x:c r="C807" s="1" t="n">
        <x:v>2</x:v>
      </x:c>
      <x:c r="D807" s="1" t="n">
        <x:v>5</x:v>
      </x:c>
      <x:c r="E807" s="1" t="n">
        <x:v>55</x:v>
      </x:c>
      <x:c r="F807" s="32" t="n">
        <x:v>47953</x:v>
      </x:c>
      <x:c r="G807" s="36" t="n">
        <x:v>0</x:v>
      </x:c>
      <x:c r="H807" s="36" t="n">
        <x:v>0</x:v>
      </x:c>
      <x:c r="I807" s="36" t="n">
        <x:v>0</x:v>
      </x:c>
      <x:c r="J807" s="36" t="n">
        <x:v>0</x:v>
      </x:c>
      <x:c r="K807" s="36" t="n">
        <x:v>0</x:v>
      </x:c>
      <x:c r="L807" s="36" t="n">
        <x:v>0</x:v>
      </x:c>
      <x:c r="M807" s="38" t="n">
        <x:v>4.5804243668720055</x:v>
      </x:c>
      <x:c r="N807" s="36" t="n">
        <x:v>0</x:v>
      </x:c>
    </x:row>
    <x:row r="808" ht="20" customHeight="1">
      <x:c r="C808" s="1" t="n">
        <x:v>2</x:v>
      </x:c>
      <x:c r="D808" s="1" t="n">
        <x:v>5</x:v>
      </x:c>
      <x:c r="E808" s="1" t="n">
        <x:v>56</x:v>
      </x:c>
      <x:c r="F808" s="32" t="n">
        <x:v>47983</x:v>
      </x:c>
      <x:c r="G808" s="36" t="n">
        <x:v>0</x:v>
      </x:c>
      <x:c r="H808" s="36" t="n">
        <x:v>0</x:v>
      </x:c>
      <x:c r="I808" s="36" t="n">
        <x:v>0</x:v>
      </x:c>
      <x:c r="J808" s="36" t="n">
        <x:v>0</x:v>
      </x:c>
      <x:c r="K808" s="36" t="n">
        <x:v>0</x:v>
      </x:c>
      <x:c r="L808" s="36" t="n">
        <x:v>0</x:v>
      </x:c>
      <x:c r="M808" s="38" t="n">
        <x:v>4.662559890485968</x:v>
      </x:c>
      <x:c r="N808" s="36" t="n">
        <x:v>0</x:v>
      </x:c>
    </x:row>
    <x:row r="809" ht="20" customHeight="1">
      <x:c r="C809" s="1" t="n">
        <x:v>2</x:v>
      </x:c>
      <x:c r="D809" s="1" t="n">
        <x:v>5</x:v>
      </x:c>
      <x:c r="E809" s="1" t="n">
        <x:v>57</x:v>
      </x:c>
      <x:c r="F809" s="32" t="n">
        <x:v>48015</x:v>
      </x:c>
      <x:c r="G809" s="36" t="n">
        <x:v>0</x:v>
      </x:c>
      <x:c r="H809" s="36" t="n">
        <x:v>0</x:v>
      </x:c>
      <x:c r="I809" s="36" t="n">
        <x:v>0</x:v>
      </x:c>
      <x:c r="J809" s="36" t="n">
        <x:v>0</x:v>
      </x:c>
      <x:c r="K809" s="36" t="n">
        <x:v>0</x:v>
      </x:c>
      <x:c r="L809" s="36" t="n">
        <x:v>0</x:v>
      </x:c>
      <x:c r="M809" s="38" t="n">
        <x:v>4.7501711156741955</x:v>
      </x:c>
      <x:c r="N809" s="36" t="n">
        <x:v>0</x:v>
      </x:c>
    </x:row>
    <x:row r="810" ht="20" customHeight="1">
      <x:c r="C810" s="1" t="n">
        <x:v>2</x:v>
      </x:c>
      <x:c r="D810" s="1" t="n">
        <x:v>5</x:v>
      </x:c>
      <x:c r="E810" s="1" t="n">
        <x:v>58</x:v>
      </x:c>
      <x:c r="F810" s="32" t="n">
        <x:v>48044</x:v>
      </x:c>
      <x:c r="G810" s="36" t="n">
        <x:v>0</x:v>
      </x:c>
      <x:c r="H810" s="36" t="n">
        <x:v>0</x:v>
      </x:c>
      <x:c r="I810" s="36" t="n">
        <x:v>0</x:v>
      </x:c>
      <x:c r="J810" s="36" t="n">
        <x:v>0</x:v>
      </x:c>
      <x:c r="K810" s="36" t="n">
        <x:v>0</x:v>
      </x:c>
      <x:c r="L810" s="36" t="n">
        <x:v>0</x:v>
      </x:c>
      <x:c r="M810" s="38" t="n">
        <x:v>4.829568788501026</x:v>
      </x:c>
      <x:c r="N810" s="36" t="n">
        <x:v>0</x:v>
      </x:c>
    </x:row>
    <x:row r="811" ht="20" customHeight="1">
      <x:c r="C811" s="1" t="n">
        <x:v>2</x:v>
      </x:c>
      <x:c r="D811" s="1" t="n">
        <x:v>5</x:v>
      </x:c>
      <x:c r="E811" s="1" t="n">
        <x:v>59</x:v>
      </x:c>
      <x:c r="F811" s="32" t="n">
        <x:v>48075</x:v>
      </x:c>
      <x:c r="G811" s="36" t="n">
        <x:v>0</x:v>
      </x:c>
      <x:c r="H811" s="36" t="n">
        <x:v>0</x:v>
      </x:c>
      <x:c r="I811" s="36" t="n">
        <x:v>0</x:v>
      </x:c>
      <x:c r="J811" s="36" t="n">
        <x:v>0</x:v>
      </x:c>
      <x:c r="K811" s="36" t="n">
        <x:v>0</x:v>
      </x:c>
      <x:c r="L811" s="36" t="n">
        <x:v>0</x:v>
      </x:c>
      <x:c r="M811" s="38" t="n">
        <x:v>4.914442162902122</x:v>
      </x:c>
      <x:c r="N811" s="36" t="n">
        <x:v>0</x:v>
      </x:c>
    </x:row>
    <x:row r="812" ht="20" customHeight="1">
      <x:c r="C812" s="1" t="n">
        <x:v>2</x:v>
      </x:c>
      <x:c r="D812" s="1" t="n">
        <x:v>5</x:v>
      </x:c>
      <x:c r="E812" s="1" t="n">
        <x:v>60</x:v>
      </x:c>
      <x:c r="F812" s="32" t="n">
        <x:v>48106</x:v>
      </x:c>
      <x:c r="G812" s="36" t="n">
        <x:v>0</x:v>
      </x:c>
      <x:c r="H812" s="36" t="n">
        <x:v>0</x:v>
      </x:c>
      <x:c r="I812" s="36" t="n">
        <x:v>0</x:v>
      </x:c>
      <x:c r="J812" s="36" t="n">
        <x:v>0</x:v>
      </x:c>
      <x:c r="K812" s="36" t="n">
        <x:v>0</x:v>
      </x:c>
      <x:c r="L812" s="36" t="n">
        <x:v>0</x:v>
      </x:c>
      <x:c r="M812" s="38" t="n">
        <x:v>4.999315537303217</x:v>
      </x:c>
      <x:c r="N812" s="36" t="n">
        <x:v>0</x:v>
      </x:c>
    </x:row>
    <x:row r="813" ht="20" customHeight="1">
      <x:c r="C813" s="1" t="n">
        <x:v>2</x:v>
      </x:c>
      <x:c r="D813" s="1" t="n">
        <x:v>5</x:v>
      </x:c>
      <x:c r="E813" s="1" t="n">
        <x:v>61</x:v>
      </x:c>
      <x:c r="F813" s="32" t="n">
        <x:v>48136</x:v>
      </x:c>
      <x:c r="G813" s="36" t="n">
        <x:v>0</x:v>
      </x:c>
      <x:c r="H813" s="36" t="n">
        <x:v>0</x:v>
      </x:c>
      <x:c r="I813" s="36" t="n">
        <x:v>0</x:v>
      </x:c>
      <x:c r="J813" s="36" t="n">
        <x:v>0</x:v>
      </x:c>
      <x:c r="K813" s="36" t="n">
        <x:v>0</x:v>
      </x:c>
      <x:c r="L813" s="36" t="n">
        <x:v>0</x:v>
      </x:c>
      <x:c r="M813" s="38" t="n">
        <x:v>5.08145106091718</x:v>
      </x:c>
      <x:c r="N813" s="36" t="n">
        <x:v>0</x:v>
      </x:c>
    </x:row>
    <x:row r="814" ht="20" customHeight="1">
      <x:c r="C814" s="1" t="n">
        <x:v>2</x:v>
      </x:c>
      <x:c r="D814" s="1" t="n">
        <x:v>5</x:v>
      </x:c>
      <x:c r="E814" s="1" t="n">
        <x:v>62</x:v>
      </x:c>
      <x:c r="F814" s="32" t="n">
        <x:v>48169</x:v>
      </x:c>
      <x:c r="G814" s="36" t="n">
        <x:v>0</x:v>
      </x:c>
      <x:c r="H814" s="36" t="n">
        <x:v>0</x:v>
      </x:c>
      <x:c r="I814" s="36" t="n">
        <x:v>0</x:v>
      </x:c>
      <x:c r="J814" s="36" t="n">
        <x:v>0</x:v>
      </x:c>
      <x:c r="K814" s="36" t="n">
        <x:v>0</x:v>
      </x:c>
      <x:c r="L814" s="36" t="n">
        <x:v>0</x:v>
      </x:c>
      <x:c r="M814" s="38" t="n">
        <x:v>5.171800136892539</x:v>
      </x:c>
      <x:c r="N814" s="36" t="n">
        <x:v>0</x:v>
      </x:c>
    </x:row>
    <x:row r="815" ht="20" customHeight="1">
      <x:c r="C815" s="1" t="n">
        <x:v>2</x:v>
      </x:c>
      <x:c r="D815" s="1" t="n">
        <x:v>5</x:v>
      </x:c>
      <x:c r="E815" s="1" t="n">
        <x:v>63</x:v>
      </x:c>
      <x:c r="F815" s="32" t="n">
        <x:v>48197</x:v>
      </x:c>
      <x:c r="G815" s="36" t="n">
        <x:v>0</x:v>
      </x:c>
      <x:c r="H815" s="36" t="n">
        <x:v>0</x:v>
      </x:c>
      <x:c r="I815" s="36" t="n">
        <x:v>0</x:v>
      </x:c>
      <x:c r="J815" s="36" t="n">
        <x:v>0</x:v>
      </x:c>
      <x:c r="K815" s="36" t="n">
        <x:v>0</x:v>
      </x:c>
      <x:c r="L815" s="36" t="n">
        <x:v>0</x:v>
      </x:c>
      <x:c r="M815" s="38" t="n">
        <x:v>5.248459958932238</x:v>
      </x:c>
      <x:c r="N815" s="36" t="n">
        <x:v>0</x:v>
      </x:c>
    </x:row>
    <x:row r="816" ht="20" customHeight="1">
      <x:c r="C816" s="1" t="n">
        <x:v>2</x:v>
      </x:c>
      <x:c r="D816" s="1" t="n">
        <x:v>5</x:v>
      </x:c>
      <x:c r="E816" s="1" t="n">
        <x:v>64</x:v>
      </x:c>
      <x:c r="F816" s="32" t="n">
        <x:v>48228</x:v>
      </x:c>
      <x:c r="G816" s="36" t="n">
        <x:v>0</x:v>
      </x:c>
      <x:c r="H816" s="36" t="n">
        <x:v>0</x:v>
      </x:c>
      <x:c r="I816" s="36" t="n">
        <x:v>0</x:v>
      </x:c>
      <x:c r="J816" s="36" t="n">
        <x:v>0</x:v>
      </x:c>
      <x:c r="K816" s="36" t="n">
        <x:v>0</x:v>
      </x:c>
      <x:c r="L816" s="36" t="n">
        <x:v>0</x:v>
      </x:c>
      <x:c r="M816" s="38" t="n">
        <x:v>5.333333333333333</x:v>
      </x:c>
      <x:c r="N816" s="36" t="n">
        <x:v>0</x:v>
      </x:c>
    </x:row>
    <x:row r="817" ht="20" customHeight="1">
      <x:c r="C817" s="1" t="n">
        <x:v>2</x:v>
      </x:c>
      <x:c r="D817" s="1" t="n">
        <x:v>6</x:v>
      </x:c>
      <x:c r="E817" s="1" t="n">
        <x:v>1</x:v>
      </x:c>
      <x:c r="F817" s="32" t="n">
        <x:v>46310</x:v>
      </x:c>
      <x:c r="G817" s="36" t="n">
        <x:v>28920000</x:v>
      </x:c>
      <x:c r="H817" s="36" t="n">
        <x:v>119536</x:v>
      </x:c>
      <x:c r="I817" s="36" t="n">
        <x:v>0</x:v>
      </x:c>
      <x:c r="J817" s="36" t="n">
        <x:v>0</x:v>
      </x:c>
      <x:c r="K817" s="36" t="n">
        <x:v>28920000</x:v>
      </x:c>
      <x:c r="L817" s="36" t="n">
        <x:v>0</x:v>
      </x:c>
      <x:c r="M817" s="38" t="n">
        <x:v>0.08213552361396304</x:v>
      </x:c>
      <x:c r="N817" s="36" t="n">
        <x:v>28920000</x:v>
      </x:c>
    </x:row>
    <x:row r="818" ht="20" customHeight="1">
      <x:c r="C818" s="1" t="n">
        <x:v>2</x:v>
      </x:c>
      <x:c r="D818" s="1" t="n">
        <x:v>6</x:v>
      </x:c>
      <x:c r="E818" s="1" t="n">
        <x:v>2</x:v>
      </x:c>
      <x:c r="F818" s="32" t="n">
        <x:v>46342</x:v>
      </x:c>
      <x:c r="G818" s="36" t="n">
        <x:v>28920000</x:v>
      </x:c>
      <x:c r="H818" s="36" t="n">
        <x:v>119536</x:v>
      </x:c>
      <x:c r="I818" s="36" t="n">
        <x:v>0</x:v>
      </x:c>
      <x:c r="J818" s="36" t="n">
        <x:v>0</x:v>
      </x:c>
      <x:c r="K818" s="36" t="n">
        <x:v>28920000</x:v>
      </x:c>
      <x:c r="L818" s="36" t="n">
        <x:v>0</x:v>
      </x:c>
      <x:c r="M818" s="38" t="n">
        <x:v>0.1697467488021903</x:v>
      </x:c>
      <x:c r="N818" s="36" t="n">
        <x:v>28920000</x:v>
      </x:c>
    </x:row>
    <x:row r="819" ht="20" customHeight="1">
      <x:c r="C819" s="1" t="n">
        <x:v>2</x:v>
      </x:c>
      <x:c r="D819" s="1" t="n">
        <x:v>6</x:v>
      </x:c>
      <x:c r="E819" s="1" t="n">
        <x:v>3</x:v>
      </x:c>
      <x:c r="F819" s="32" t="n">
        <x:v>46371</x:v>
      </x:c>
      <x:c r="G819" s="36" t="n">
        <x:v>28920000</x:v>
      </x:c>
      <x:c r="H819" s="36" t="n">
        <x:v>119536</x:v>
      </x:c>
      <x:c r="I819" s="36" t="n">
        <x:v>0</x:v>
      </x:c>
      <x:c r="J819" s="36" t="n">
        <x:v>0</x:v>
      </x:c>
      <x:c r="K819" s="36" t="n">
        <x:v>28920000</x:v>
      </x:c>
      <x:c r="L819" s="36" t="n">
        <x:v>0</x:v>
      </x:c>
      <x:c r="M819" s="38" t="n">
        <x:v>0.24914442162902123</x:v>
      </x:c>
      <x:c r="N819" s="36" t="n">
        <x:v>28920000</x:v>
      </x:c>
    </x:row>
    <x:row r="820" ht="20" customHeight="1">
      <x:c r="C820" s="1" t="n">
        <x:v>2</x:v>
      </x:c>
      <x:c r="D820" s="1" t="n">
        <x:v>6</x:v>
      </x:c>
      <x:c r="E820" s="1" t="n">
        <x:v>4</x:v>
      </x:c>
      <x:c r="F820" s="32" t="n">
        <x:v>46402</x:v>
      </x:c>
      <x:c r="G820" s="36" t="n">
        <x:v>28920000</x:v>
      </x:c>
      <x:c r="H820" s="36" t="n">
        <x:v>119536</x:v>
      </x:c>
      <x:c r="I820" s="36" t="n">
        <x:v>0</x:v>
      </x:c>
      <x:c r="J820" s="36" t="n">
        <x:v>0</x:v>
      </x:c>
      <x:c r="K820" s="36" t="n">
        <x:v>28920000</x:v>
      </x:c>
      <x:c r="L820" s="36" t="n">
        <x:v>0</x:v>
      </x:c>
      <x:c r="M820" s="38" t="n">
        <x:v>0.33401779603011633</x:v>
      </x:c>
      <x:c r="N820" s="36" t="n">
        <x:v>28920000</x:v>
      </x:c>
    </x:row>
    <x:row r="821" ht="20" customHeight="1">
      <x:c r="C821" s="1" t="n">
        <x:v>2</x:v>
      </x:c>
      <x:c r="D821" s="1" t="n">
        <x:v>6</x:v>
      </x:c>
      <x:c r="E821" s="1" t="n">
        <x:v>5</x:v>
      </x:c>
      <x:c r="F821" s="32" t="n">
        <x:v>46434</x:v>
      </x:c>
      <x:c r="G821" s="36" t="n">
        <x:v>28920000</x:v>
      </x:c>
      <x:c r="H821" s="36" t="n">
        <x:v>119536</x:v>
      </x:c>
      <x:c r="I821" s="36" t="n">
        <x:v>0</x:v>
      </x:c>
      <x:c r="J821" s="36" t="n">
        <x:v>0</x:v>
      </x:c>
      <x:c r="K821" s="36" t="n">
        <x:v>28920000</x:v>
      </x:c>
      <x:c r="L821" s="36" t="n">
        <x:v>0</x:v>
      </x:c>
      <x:c r="M821" s="38" t="n">
        <x:v>0.4216290212183436</x:v>
      </x:c>
      <x:c r="N821" s="36" t="n">
        <x:v>28920000</x:v>
      </x:c>
    </x:row>
    <x:row r="822" ht="20" customHeight="1">
      <x:c r="C822" s="1" t="n">
        <x:v>2</x:v>
      </x:c>
      <x:c r="D822" s="1" t="n">
        <x:v>6</x:v>
      </x:c>
      <x:c r="E822" s="1" t="n">
        <x:v>6</x:v>
      </x:c>
      <x:c r="F822" s="32" t="n">
        <x:v>46461</x:v>
      </x:c>
      <x:c r="G822" s="36" t="n">
        <x:v>28920000</x:v>
      </x:c>
      <x:c r="H822" s="36" t="n">
        <x:v>119536</x:v>
      </x:c>
      <x:c r="I822" s="36" t="n">
        <x:v>0</x:v>
      </x:c>
      <x:c r="J822" s="36" t="n">
        <x:v>0</x:v>
      </x:c>
      <x:c r="K822" s="36" t="n">
        <x:v>28920000</x:v>
      </x:c>
      <x:c r="L822" s="36" t="n">
        <x:v>0</x:v>
      </x:c>
      <x:c r="M822" s="38" t="n">
        <x:v>0.49555099247091033</x:v>
      </x:c>
      <x:c r="N822" s="36" t="n">
        <x:v>28920000</x:v>
      </x:c>
    </x:row>
    <x:row r="823" ht="20" customHeight="1">
      <x:c r="C823" s="1" t="n">
        <x:v>2</x:v>
      </x:c>
      <x:c r="D823" s="1" t="n">
        <x:v>6</x:v>
      </x:c>
      <x:c r="E823" s="1" t="n">
        <x:v>7</x:v>
      </x:c>
      <x:c r="F823" s="32" t="n">
        <x:v>46492</x:v>
      </x:c>
      <x:c r="G823" s="36" t="n">
        <x:v>28920000</x:v>
      </x:c>
      <x:c r="H823" s="36" t="n">
        <x:v>119536</x:v>
      </x:c>
      <x:c r="I823" s="36" t="n">
        <x:v>0</x:v>
      </x:c>
      <x:c r="J823" s="36" t="n">
        <x:v>0</x:v>
      </x:c>
      <x:c r="K823" s="36" t="n">
        <x:v>28920000</x:v>
      </x:c>
      <x:c r="L823" s="36" t="n">
        <x:v>0</x:v>
      </x:c>
      <x:c r="M823" s="38" t="n">
        <x:v>0.5804243668720055</x:v>
      </x:c>
      <x:c r="N823" s="36" t="n">
        <x:v>28920000</x:v>
      </x:c>
    </x:row>
    <x:row r="824" ht="20" customHeight="1">
      <x:c r="C824" s="1" t="n">
        <x:v>2</x:v>
      </x:c>
      <x:c r="D824" s="1" t="n">
        <x:v>6</x:v>
      </x:c>
      <x:c r="E824" s="1" t="n">
        <x:v>8</x:v>
      </x:c>
      <x:c r="F824" s="32" t="n">
        <x:v>46524</x:v>
      </x:c>
      <x:c r="G824" s="36" t="n">
        <x:v>28920000</x:v>
      </x:c>
      <x:c r="H824" s="36" t="n">
        <x:v>119536</x:v>
      </x:c>
      <x:c r="I824" s="36" t="n">
        <x:v>0</x:v>
      </x:c>
      <x:c r="J824" s="36" t="n">
        <x:v>0</x:v>
      </x:c>
      <x:c r="K824" s="36" t="n">
        <x:v>28920000</x:v>
      </x:c>
      <x:c r="L824" s="36" t="n">
        <x:v>0</x:v>
      </x:c>
      <x:c r="M824" s="38" t="n">
        <x:v>0.6680355920602327</x:v>
      </x:c>
      <x:c r="N824" s="36" t="n">
        <x:v>28920000</x:v>
      </x:c>
    </x:row>
    <x:row r="825" ht="20" customHeight="1">
      <x:c r="C825" s="1" t="n">
        <x:v>2</x:v>
      </x:c>
      <x:c r="D825" s="1" t="n">
        <x:v>6</x:v>
      </x:c>
      <x:c r="E825" s="1" t="n">
        <x:v>9</x:v>
      </x:c>
      <x:c r="F825" s="32" t="n">
        <x:v>46553</x:v>
      </x:c>
      <x:c r="G825" s="36" t="n">
        <x:v>28920000</x:v>
      </x:c>
      <x:c r="H825" s="36" t="n">
        <x:v>119536</x:v>
      </x:c>
      <x:c r="I825" s="36" t="n">
        <x:v>0</x:v>
      </x:c>
      <x:c r="J825" s="36" t="n">
        <x:v>0</x:v>
      </x:c>
      <x:c r="K825" s="36" t="n">
        <x:v>28920000</x:v>
      </x:c>
      <x:c r="L825" s="36" t="n">
        <x:v>0</x:v>
      </x:c>
      <x:c r="M825" s="38" t="n">
        <x:v>0.7474332648870636</x:v>
      </x:c>
      <x:c r="N825" s="36" t="n">
        <x:v>28920000</x:v>
      </x:c>
    </x:row>
    <x:row r="826" ht="20" customHeight="1">
      <x:c r="C826" s="1" t="n">
        <x:v>2</x:v>
      </x:c>
      <x:c r="D826" s="1" t="n">
        <x:v>6</x:v>
      </x:c>
      <x:c r="E826" s="1" t="n">
        <x:v>10</x:v>
      </x:c>
      <x:c r="F826" s="32" t="n">
        <x:v>46583</x:v>
      </x:c>
      <x:c r="G826" s="36" t="n">
        <x:v>28920000</x:v>
      </x:c>
      <x:c r="H826" s="36" t="n">
        <x:v>119536</x:v>
      </x:c>
      <x:c r="I826" s="36" t="n">
        <x:v>0</x:v>
      </x:c>
      <x:c r="J826" s="36" t="n">
        <x:v>0</x:v>
      </x:c>
      <x:c r="K826" s="36" t="n">
        <x:v>28920000</x:v>
      </x:c>
      <x:c r="L826" s="36" t="n">
        <x:v>0</x:v>
      </x:c>
      <x:c r="M826" s="38" t="n">
        <x:v>0.8295687885010267</x:v>
      </x:c>
      <x:c r="N826" s="36" t="n">
        <x:v>28920000</x:v>
      </x:c>
    </x:row>
    <x:row r="827" ht="20" customHeight="1">
      <x:c r="C827" s="1" t="n">
        <x:v>2</x:v>
      </x:c>
      <x:c r="D827" s="1" t="n">
        <x:v>6</x:v>
      </x:c>
      <x:c r="E827" s="1" t="n">
        <x:v>11</x:v>
      </x:c>
      <x:c r="F827" s="32" t="n">
        <x:v>46615</x:v>
      </x:c>
      <x:c r="G827" s="36" t="n">
        <x:v>28920000</x:v>
      </x:c>
      <x:c r="H827" s="36" t="n">
        <x:v>119536</x:v>
      </x:c>
      <x:c r="I827" s="36" t="n">
        <x:v>0</x:v>
      </x:c>
      <x:c r="J827" s="36" t="n">
        <x:v>0</x:v>
      </x:c>
      <x:c r="K827" s="36" t="n">
        <x:v>28920000</x:v>
      </x:c>
      <x:c r="L827" s="36" t="n">
        <x:v>0</x:v>
      </x:c>
      <x:c r="M827" s="38" t="n">
        <x:v>0.917180013689254</x:v>
      </x:c>
      <x:c r="N827" s="36" t="n">
        <x:v>28920000</x:v>
      </x:c>
    </x:row>
    <x:row r="828" ht="20" customHeight="1">
      <x:c r="C828" s="1" t="n">
        <x:v>2</x:v>
      </x:c>
      <x:c r="D828" s="1" t="n">
        <x:v>6</x:v>
      </x:c>
      <x:c r="E828" s="1" t="n">
        <x:v>12</x:v>
      </x:c>
      <x:c r="F828" s="32" t="n">
        <x:v>46645</x:v>
      </x:c>
      <x:c r="G828" s="36" t="n">
        <x:v>28920000</x:v>
      </x:c>
      <x:c r="H828" s="36" t="n">
        <x:v>119536</x:v>
      </x:c>
      <x:c r="I828" s="36" t="n">
        <x:v>0</x:v>
      </x:c>
      <x:c r="J828" s="36" t="n">
        <x:v>0</x:v>
      </x:c>
      <x:c r="K828" s="36" t="n">
        <x:v>28920000</x:v>
      </x:c>
      <x:c r="L828" s="36" t="n">
        <x:v>0</x:v>
      </x:c>
      <x:c r="M828" s="38" t="n">
        <x:v>0.999315537303217</x:v>
      </x:c>
      <x:c r="N828" s="36" t="n">
        <x:v>28920000</x:v>
      </x:c>
    </x:row>
    <x:row r="829" ht="20" customHeight="1">
      <x:c r="C829" s="1" t="n">
        <x:v>2</x:v>
      </x:c>
      <x:c r="D829" s="1" t="n">
        <x:v>6</x:v>
      </x:c>
      <x:c r="E829" s="1" t="n">
        <x:v>13</x:v>
      </x:c>
      <x:c r="F829" s="32" t="n">
        <x:v>46675</x:v>
      </x:c>
      <x:c r="G829" s="36" t="n">
        <x:v>28920000</x:v>
      </x:c>
      <x:c r="H829" s="36" t="n">
        <x:v>119536</x:v>
      </x:c>
      <x:c r="I829" s="36" t="n">
        <x:v>0</x:v>
      </x:c>
      <x:c r="J829" s="36" t="n">
        <x:v>0</x:v>
      </x:c>
      <x:c r="K829" s="36" t="n">
        <x:v>28920000</x:v>
      </x:c>
      <x:c r="L829" s="36" t="n">
        <x:v>0</x:v>
      </x:c>
      <x:c r="M829" s="38" t="n">
        <x:v>1.08145106091718</x:v>
      </x:c>
      <x:c r="N829" s="36" t="n">
        <x:v>28920000</x:v>
      </x:c>
    </x:row>
    <x:row r="830" ht="20" customHeight="1">
      <x:c r="C830" s="1" t="n">
        <x:v>2</x:v>
      </x:c>
      <x:c r="D830" s="1" t="n">
        <x:v>6</x:v>
      </x:c>
      <x:c r="E830" s="1" t="n">
        <x:v>14</x:v>
      </x:c>
      <x:c r="F830" s="32" t="n">
        <x:v>46706</x:v>
      </x:c>
      <x:c r="G830" s="36" t="n">
        <x:v>28920000</x:v>
      </x:c>
      <x:c r="H830" s="36" t="n">
        <x:v>119536</x:v>
      </x:c>
      <x:c r="I830" s="36" t="n">
        <x:v>0</x:v>
      </x:c>
      <x:c r="J830" s="36" t="n">
        <x:v>0</x:v>
      </x:c>
      <x:c r="K830" s="36" t="n">
        <x:v>28920000</x:v>
      </x:c>
      <x:c r="L830" s="36" t="n">
        <x:v>0</x:v>
      </x:c>
      <x:c r="M830" s="38" t="n">
        <x:v>1.1663244353182751</x:v>
      </x:c>
      <x:c r="N830" s="36" t="n">
        <x:v>28920000</x:v>
      </x:c>
    </x:row>
    <x:row r="831" ht="20" customHeight="1">
      <x:c r="C831" s="1" t="n">
        <x:v>2</x:v>
      </x:c>
      <x:c r="D831" s="1" t="n">
        <x:v>6</x:v>
      </x:c>
      <x:c r="E831" s="1" t="n">
        <x:v>15</x:v>
      </x:c>
      <x:c r="F831" s="32" t="n">
        <x:v>46736</x:v>
      </x:c>
      <x:c r="G831" s="36" t="n">
        <x:v>28920000</x:v>
      </x:c>
      <x:c r="H831" s="36" t="n">
        <x:v>119536</x:v>
      </x:c>
      <x:c r="I831" s="36" t="n">
        <x:v>0</x:v>
      </x:c>
      <x:c r="J831" s="36" t="n">
        <x:v>0</x:v>
      </x:c>
      <x:c r="K831" s="36" t="n">
        <x:v>28920000</x:v>
      </x:c>
      <x:c r="L831" s="36" t="n">
        <x:v>0</x:v>
      </x:c>
      <x:c r="M831" s="38" t="n">
        <x:v>1.2484599589322383</x:v>
      </x:c>
      <x:c r="N831" s="36" t="n">
        <x:v>28920000</x:v>
      </x:c>
    </x:row>
    <x:row r="832" ht="20" customHeight="1">
      <x:c r="C832" s="1" t="n">
        <x:v>2</x:v>
      </x:c>
      <x:c r="D832" s="1" t="n">
        <x:v>6</x:v>
      </x:c>
      <x:c r="E832" s="1" t="n">
        <x:v>16</x:v>
      </x:c>
      <x:c r="F832" s="32" t="n">
        <x:v>46770</x:v>
      </x:c>
      <x:c r="G832" s="36" t="n">
        <x:v>28920000</x:v>
      </x:c>
      <x:c r="H832" s="36" t="n">
        <x:v>119536</x:v>
      </x:c>
      <x:c r="I832" s="36" t="n">
        <x:v>0</x:v>
      </x:c>
      <x:c r="J832" s="36" t="n">
        <x:v>0</x:v>
      </x:c>
      <x:c r="K832" s="36" t="n">
        <x:v>28920000</x:v>
      </x:c>
      <x:c r="L832" s="36" t="n">
        <x:v>0</x:v>
      </x:c>
      <x:c r="M832" s="38" t="n">
        <x:v>1.3415468856947297</x:v>
      </x:c>
      <x:c r="N832" s="36" t="n">
        <x:v>28920000</x:v>
      </x:c>
    </x:row>
    <x:row r="833" ht="20" customHeight="1">
      <x:c r="C833" s="1" t="n">
        <x:v>2</x:v>
      </x:c>
      <x:c r="D833" s="1" t="n">
        <x:v>6</x:v>
      </x:c>
      <x:c r="E833" s="1" t="n">
        <x:v>17</x:v>
      </x:c>
      <x:c r="F833" s="32" t="n">
        <x:v>46798</x:v>
      </x:c>
      <x:c r="G833" s="36" t="n">
        <x:v>28920000</x:v>
      </x:c>
      <x:c r="H833" s="36" t="n">
        <x:v>119536</x:v>
      </x:c>
      <x:c r="I833" s="36" t="n">
        <x:v>0</x:v>
      </x:c>
      <x:c r="J833" s="36" t="n">
        <x:v>0</x:v>
      </x:c>
      <x:c r="K833" s="36" t="n">
        <x:v>28920000</x:v>
      </x:c>
      <x:c r="L833" s="36" t="n">
        <x:v>0</x:v>
      </x:c>
      <x:c r="M833" s="38" t="n">
        <x:v>1.4182067077344285</x:v>
      </x:c>
      <x:c r="N833" s="36" t="n">
        <x:v>28920000</x:v>
      </x:c>
    </x:row>
    <x:row r="834" ht="20" customHeight="1">
      <x:c r="C834" s="1" t="n">
        <x:v>2</x:v>
      </x:c>
      <x:c r="D834" s="1" t="n">
        <x:v>6</x:v>
      </x:c>
      <x:c r="E834" s="1" t="n">
        <x:v>18</x:v>
      </x:c>
      <x:c r="F834" s="32" t="n">
        <x:v>46827</x:v>
      </x:c>
      <x:c r="G834" s="36" t="n">
        <x:v>28920000</x:v>
      </x:c>
      <x:c r="H834" s="36" t="n">
        <x:v>119536</x:v>
      </x:c>
      <x:c r="I834" s="36" t="n">
        <x:v>0</x:v>
      </x:c>
      <x:c r="J834" s="36" t="n">
        <x:v>0</x:v>
      </x:c>
      <x:c r="K834" s="36" t="n">
        <x:v>28920000</x:v>
      </x:c>
      <x:c r="L834" s="36" t="n">
        <x:v>0</x:v>
      </x:c>
      <x:c r="M834" s="38" t="n">
        <x:v>1.4976043805612593</x:v>
      </x:c>
      <x:c r="N834" s="36" t="n">
        <x:v>28920000</x:v>
      </x:c>
    </x:row>
    <x:row r="835" ht="20" customHeight="1">
      <x:c r="C835" s="1" t="n">
        <x:v>2</x:v>
      </x:c>
      <x:c r="D835" s="1" t="n">
        <x:v>6</x:v>
      </x:c>
      <x:c r="E835" s="1" t="n">
        <x:v>19</x:v>
      </x:c>
      <x:c r="F835" s="32" t="n">
        <x:v>46860</x:v>
      </x:c>
      <x:c r="G835" s="36" t="n">
        <x:v>28920000</x:v>
      </x:c>
      <x:c r="H835" s="36" t="n">
        <x:v>119536</x:v>
      </x:c>
      <x:c r="I835" s="36" t="n">
        <x:v>0</x:v>
      </x:c>
      <x:c r="J835" s="36" t="n">
        <x:v>0</x:v>
      </x:c>
      <x:c r="K835" s="36" t="n">
        <x:v>28920000</x:v>
      </x:c>
      <x:c r="L835" s="36" t="n">
        <x:v>0</x:v>
      </x:c>
      <x:c r="M835" s="38" t="n">
        <x:v>1.5879534565366187</x:v>
      </x:c>
      <x:c r="N835" s="36" t="n">
        <x:v>28920000</x:v>
      </x:c>
    </x:row>
    <x:row r="836" ht="20" customHeight="1">
      <x:c r="C836" s="1" t="n">
        <x:v>2</x:v>
      </x:c>
      <x:c r="D836" s="1" t="n">
        <x:v>6</x:v>
      </x:c>
      <x:c r="E836" s="1" t="n">
        <x:v>20</x:v>
      </x:c>
      <x:c r="F836" s="32" t="n">
        <x:v>46888</x:v>
      </x:c>
      <x:c r="G836" s="36" t="n">
        <x:v>28920000</x:v>
      </x:c>
      <x:c r="H836" s="36" t="n">
        <x:v>119536</x:v>
      </x:c>
      <x:c r="I836" s="36" t="n">
        <x:v>0</x:v>
      </x:c>
      <x:c r="J836" s="36" t="n">
        <x:v>0</x:v>
      </x:c>
      <x:c r="K836" s="36" t="n">
        <x:v>28920000</x:v>
      </x:c>
      <x:c r="L836" s="36" t="n">
        <x:v>0</x:v>
      </x:c>
      <x:c r="M836" s="38" t="n">
        <x:v>1.6646132785763177</x:v>
      </x:c>
      <x:c r="N836" s="36" t="n">
        <x:v>28920000</x:v>
      </x:c>
    </x:row>
    <x:row r="837" ht="20" customHeight="1">
      <x:c r="C837" s="1" t="n">
        <x:v>2</x:v>
      </x:c>
      <x:c r="D837" s="1" t="n">
        <x:v>6</x:v>
      </x:c>
      <x:c r="E837" s="1" t="n">
        <x:v>21</x:v>
      </x:c>
      <x:c r="F837" s="32" t="n">
        <x:v>46919</x:v>
      </x:c>
      <x:c r="G837" s="36" t="n">
        <x:v>28920000</x:v>
      </x:c>
      <x:c r="H837" s="36" t="n">
        <x:v>119536</x:v>
      </x:c>
      <x:c r="I837" s="36" t="n">
        <x:v>0</x:v>
      </x:c>
      <x:c r="J837" s="36" t="n">
        <x:v>0</x:v>
      </x:c>
      <x:c r="K837" s="36" t="n">
        <x:v>28920000</x:v>
      </x:c>
      <x:c r="L837" s="36" t="n">
        <x:v>0</x:v>
      </x:c>
      <x:c r="M837" s="38" t="n">
        <x:v>1.7494866529774127</x:v>
      </x:c>
      <x:c r="N837" s="36" t="n">
        <x:v>28920000</x:v>
      </x:c>
    </x:row>
    <x:row r="838" ht="20" customHeight="1">
      <x:c r="C838" s="1" t="n">
        <x:v>2</x:v>
      </x:c>
      <x:c r="D838" s="1" t="n">
        <x:v>6</x:v>
      </x:c>
      <x:c r="E838" s="1" t="n">
        <x:v>22</x:v>
      </x:c>
      <x:c r="F838" s="32" t="n">
        <x:v>46951</x:v>
      </x:c>
      <x:c r="G838" s="36" t="n">
        <x:v>28920000</x:v>
      </x:c>
      <x:c r="H838" s="36" t="n">
        <x:v>119536</x:v>
      </x:c>
      <x:c r="I838" s="36" t="n">
        <x:v>0</x:v>
      </x:c>
      <x:c r="J838" s="36" t="n">
        <x:v>0</x:v>
      </x:c>
      <x:c r="K838" s="36" t="n">
        <x:v>28920000</x:v>
      </x:c>
      <x:c r="L838" s="36" t="n">
        <x:v>0</x:v>
      </x:c>
      <x:c r="M838" s="38" t="n">
        <x:v>1.83709787816564</x:v>
      </x:c>
      <x:c r="N838" s="36" t="n">
        <x:v>28920000</x:v>
      </x:c>
    </x:row>
    <x:row r="839" ht="20" customHeight="1">
      <x:c r="C839" s="1" t="n">
        <x:v>2</x:v>
      </x:c>
      <x:c r="D839" s="1" t="n">
        <x:v>6</x:v>
      </x:c>
      <x:c r="E839" s="1" t="n">
        <x:v>23</x:v>
      </x:c>
      <x:c r="F839" s="32" t="n">
        <x:v>46980</x:v>
      </x:c>
      <x:c r="G839" s="36" t="n">
        <x:v>28920000</x:v>
      </x:c>
      <x:c r="H839" s="36" t="n">
        <x:v>119536</x:v>
      </x:c>
      <x:c r="I839" s="36" t="n">
        <x:v>0</x:v>
      </x:c>
      <x:c r="J839" s="36" t="n">
        <x:v>0</x:v>
      </x:c>
      <x:c r="K839" s="36" t="n">
        <x:v>28920000</x:v>
      </x:c>
      <x:c r="L839" s="36" t="n">
        <x:v>0</x:v>
      </x:c>
      <x:c r="M839" s="38" t="n">
        <x:v>1.9164955509924708</x:v>
      </x:c>
      <x:c r="N839" s="36" t="n">
        <x:v>28920000</x:v>
      </x:c>
    </x:row>
    <x:row r="840" ht="20" customHeight="1">
      <x:c r="C840" s="1" t="n">
        <x:v>2</x:v>
      </x:c>
      <x:c r="D840" s="1" t="n">
        <x:v>6</x:v>
      </x:c>
      <x:c r="E840" s="1" t="n">
        <x:v>24</x:v>
      </x:c>
      <x:c r="F840" s="32" t="n">
        <x:v>47011</x:v>
      </x:c>
      <x:c r="G840" s="36" t="n">
        <x:v>28920000</x:v>
      </x:c>
      <x:c r="H840" s="36" t="n">
        <x:v>119536</x:v>
      </x:c>
      <x:c r="I840" s="36" t="n">
        <x:v>0</x:v>
      </x:c>
      <x:c r="J840" s="36" t="n">
        <x:v>0</x:v>
      </x:c>
      <x:c r="K840" s="36" t="n">
        <x:v>28920000</x:v>
      </x:c>
      <x:c r="L840" s="36" t="n">
        <x:v>0</x:v>
      </x:c>
      <x:c r="M840" s="38" t="n">
        <x:v>2.001368925393566</x:v>
      </x:c>
      <x:c r="N840" s="36" t="n">
        <x:v>28920000</x:v>
      </x:c>
    </x:row>
    <x:row r="841" ht="20" customHeight="1">
      <x:c r="C841" s="1" t="n">
        <x:v>2</x:v>
      </x:c>
      <x:c r="D841" s="1" t="n">
        <x:v>6</x:v>
      </x:c>
      <x:c r="E841" s="1" t="n">
        <x:v>25</x:v>
      </x:c>
      <x:c r="F841" s="32" t="n">
        <x:v>47042</x:v>
      </x:c>
      <x:c r="G841" s="36" t="n">
        <x:v>28920000</x:v>
      </x:c>
      <x:c r="H841" s="36" t="n">
        <x:v>119536</x:v>
      </x:c>
      <x:c r="I841" s="36" t="n">
        <x:v>0</x:v>
      </x:c>
      <x:c r="J841" s="36" t="n">
        <x:v>0</x:v>
      </x:c>
      <x:c r="K841" s="36" t="n">
        <x:v>28920000</x:v>
      </x:c>
      <x:c r="L841" s="36" t="n">
        <x:v>0</x:v>
      </x:c>
      <x:c r="M841" s="38" t="n">
        <x:v>2.086242299794661</x:v>
      </x:c>
      <x:c r="N841" s="36" t="n">
        <x:v>28920000</x:v>
      </x:c>
    </x:row>
    <x:row r="842" ht="20" customHeight="1">
      <x:c r="C842" s="1" t="n">
        <x:v>2</x:v>
      </x:c>
      <x:c r="D842" s="1" t="n">
        <x:v>6</x:v>
      </x:c>
      <x:c r="E842" s="1" t="n">
        <x:v>26</x:v>
      </x:c>
      <x:c r="F842" s="32" t="n">
        <x:v>47072</x:v>
      </x:c>
      <x:c r="G842" s="36" t="n">
        <x:v>28920000</x:v>
      </x:c>
      <x:c r="H842" s="36" t="n">
        <x:v>119536</x:v>
      </x:c>
      <x:c r="I842" s="36" t="n">
        <x:v>0</x:v>
      </x:c>
      <x:c r="J842" s="36" t="n">
        <x:v>0</x:v>
      </x:c>
      <x:c r="K842" s="36" t="n">
        <x:v>28920000</x:v>
      </x:c>
      <x:c r="L842" s="36" t="n">
        <x:v>0</x:v>
      </x:c>
      <x:c r="M842" s="38" t="n">
        <x:v>2.1683778234086244</x:v>
      </x:c>
      <x:c r="N842" s="36" t="n">
        <x:v>28920000</x:v>
      </x:c>
    </x:row>
    <x:row r="843" ht="20" customHeight="1">
      <x:c r="C843" s="1" t="n">
        <x:v>2</x:v>
      </x:c>
      <x:c r="D843" s="1" t="n">
        <x:v>6</x:v>
      </x:c>
      <x:c r="E843" s="1" t="n">
        <x:v>27</x:v>
      </x:c>
      <x:c r="F843" s="32" t="n">
        <x:v>47102</x:v>
      </x:c>
      <x:c r="G843" s="36" t="n">
        <x:v>28920000</x:v>
      </x:c>
      <x:c r="H843" s="36" t="n">
        <x:v>119536</x:v>
      </x:c>
      <x:c r="I843" s="36" t="n">
        <x:v>0</x:v>
      </x:c>
      <x:c r="J843" s="36" t="n">
        <x:v>0</x:v>
      </x:c>
      <x:c r="K843" s="36" t="n">
        <x:v>28920000</x:v>
      </x:c>
      <x:c r="L843" s="36" t="n">
        <x:v>0</x:v>
      </x:c>
      <x:c r="M843" s="38" t="n">
        <x:v>2.2505133470225873</x:v>
      </x:c>
      <x:c r="N843" s="36" t="n">
        <x:v>28920000</x:v>
      </x:c>
    </x:row>
    <x:row r="844" ht="20" customHeight="1">
      <x:c r="C844" s="1" t="n">
        <x:v>2</x:v>
      </x:c>
      <x:c r="D844" s="1" t="n">
        <x:v>6</x:v>
      </x:c>
      <x:c r="E844" s="1" t="n">
        <x:v>28</x:v>
      </x:c>
      <x:c r="F844" s="32" t="n">
        <x:v>47134</x:v>
      </x:c>
      <x:c r="G844" s="36" t="n">
        <x:v>28920000</x:v>
      </x:c>
      <x:c r="H844" s="36" t="n">
        <x:v>119536</x:v>
      </x:c>
      <x:c r="I844" s="36" t="n">
        <x:v>0</x:v>
      </x:c>
      <x:c r="J844" s="36" t="n">
        <x:v>0</x:v>
      </x:c>
      <x:c r="K844" s="36" t="n">
        <x:v>28920000</x:v>
      </x:c>
      <x:c r="L844" s="36" t="n">
        <x:v>0</x:v>
      </x:c>
      <x:c r="M844" s="38" t="n">
        <x:v>2.3381245722108144</x:v>
      </x:c>
      <x:c r="N844" s="36" t="n">
        <x:v>28920000</x:v>
      </x:c>
    </x:row>
    <x:row r="845" ht="20" customHeight="1">
      <x:c r="C845" s="1" t="n">
        <x:v>2</x:v>
      </x:c>
      <x:c r="D845" s="1" t="n">
        <x:v>6</x:v>
      </x:c>
      <x:c r="E845" s="1" t="n">
        <x:v>29</x:v>
      </x:c>
      <x:c r="F845" s="32" t="n">
        <x:v>47164</x:v>
      </x:c>
      <x:c r="G845" s="36" t="n">
        <x:v>28920000</x:v>
      </x:c>
      <x:c r="H845" s="36" t="n">
        <x:v>119536</x:v>
      </x:c>
      <x:c r="I845" s="36" t="n">
        <x:v>0</x:v>
      </x:c>
      <x:c r="J845" s="36" t="n">
        <x:v>0</x:v>
      </x:c>
      <x:c r="K845" s="36" t="n">
        <x:v>28920000</x:v>
      </x:c>
      <x:c r="L845" s="36" t="n">
        <x:v>0</x:v>
      </x:c>
      <x:c r="M845" s="38" t="n">
        <x:v>2.4202600958247777</x:v>
      </x:c>
      <x:c r="N845" s="36" t="n">
        <x:v>28920000</x:v>
      </x:c>
    </x:row>
    <x:row r="846" ht="20" customHeight="1">
      <x:c r="C846" s="1" t="n">
        <x:v>2</x:v>
      </x:c>
      <x:c r="D846" s="1" t="n">
        <x:v>6</x:v>
      </x:c>
      <x:c r="E846" s="1" t="n">
        <x:v>30</x:v>
      </x:c>
      <x:c r="F846" s="32" t="n">
        <x:v>47192</x:v>
      </x:c>
      <x:c r="G846" s="36" t="n">
        <x:v>28920000</x:v>
      </x:c>
      <x:c r="H846" s="36" t="n">
        <x:v>119536</x:v>
      </x:c>
      <x:c r="I846" s="36" t="n">
        <x:v>0</x:v>
      </x:c>
      <x:c r="J846" s="36" t="n">
        <x:v>0</x:v>
      </x:c>
      <x:c r="K846" s="36" t="n">
        <x:v>28920000</x:v>
      </x:c>
      <x:c r="L846" s="36" t="n">
        <x:v>0</x:v>
      </x:c>
      <x:c r="M846" s="38" t="n">
        <x:v>2.4969199178644765</x:v>
      </x:c>
      <x:c r="N846" s="36" t="n">
        <x:v>28920000</x:v>
      </x:c>
    </x:row>
    <x:row r="847" ht="20" customHeight="1">
      <x:c r="C847" s="1" t="n">
        <x:v>2</x:v>
      </x:c>
      <x:c r="D847" s="1" t="n">
        <x:v>6</x:v>
      </x:c>
      <x:c r="E847" s="1" t="n">
        <x:v>31</x:v>
      </x:c>
      <x:c r="F847" s="32" t="n">
        <x:v>47224</x:v>
      </x:c>
      <x:c r="G847" s="36" t="n">
        <x:v>28920000</x:v>
      </x:c>
      <x:c r="H847" s="36" t="n">
        <x:v>119536</x:v>
      </x:c>
      <x:c r="I847" s="36" t="n">
        <x:v>0</x:v>
      </x:c>
      <x:c r="J847" s="36" t="n">
        <x:v>0</x:v>
      </x:c>
      <x:c r="K847" s="36" t="n">
        <x:v>28920000</x:v>
      </x:c>
      <x:c r="L847" s="36" t="n">
        <x:v>0</x:v>
      </x:c>
      <x:c r="M847" s="38" t="n">
        <x:v>2.5845311430527036</x:v>
      </x:c>
      <x:c r="N847" s="36" t="n">
        <x:v>28920000</x:v>
      </x:c>
    </x:row>
    <x:row r="848" ht="20" customHeight="1">
      <x:c r="C848" s="1" t="n">
        <x:v>2</x:v>
      </x:c>
      <x:c r="D848" s="1" t="n">
        <x:v>6</x:v>
      </x:c>
      <x:c r="E848" s="1" t="n">
        <x:v>32</x:v>
      </x:c>
      <x:c r="F848" s="32" t="n">
        <x:v>47253</x:v>
      </x:c>
      <x:c r="G848" s="36" t="n">
        <x:v>28920000</x:v>
      </x:c>
      <x:c r="H848" s="36" t="n">
        <x:v>119536</x:v>
      </x:c>
      <x:c r="I848" s="36" t="n">
        <x:v>0</x:v>
      </x:c>
      <x:c r="J848" s="36" t="n">
        <x:v>0</x:v>
      </x:c>
      <x:c r="K848" s="36" t="n">
        <x:v>28920000</x:v>
      </x:c>
      <x:c r="L848" s="36" t="n">
        <x:v>0</x:v>
      </x:c>
      <x:c r="M848" s="38" t="n">
        <x:v>2.6639288158795345</x:v>
      </x:c>
      <x:c r="N848" s="36" t="n">
        <x:v>28920000</x:v>
      </x:c>
    </x:row>
    <x:row r="849" ht="20" customHeight="1">
      <x:c r="C849" s="1" t="n">
        <x:v>2</x:v>
      </x:c>
      <x:c r="D849" s="1" t="n">
        <x:v>6</x:v>
      </x:c>
      <x:c r="E849" s="1" t="n">
        <x:v>33</x:v>
      </x:c>
      <x:c r="F849" s="32" t="n">
        <x:v>47284</x:v>
      </x:c>
      <x:c r="G849" s="36" t="n">
        <x:v>28920000</x:v>
      </x:c>
      <x:c r="H849" s="36" t="n">
        <x:v>119536</x:v>
      </x:c>
      <x:c r="I849" s="36" t="n">
        <x:v>0</x:v>
      </x:c>
      <x:c r="J849" s="36" t="n">
        <x:v>0</x:v>
      </x:c>
      <x:c r="K849" s="36" t="n">
        <x:v>28920000</x:v>
      </x:c>
      <x:c r="L849" s="36" t="n">
        <x:v>0</x:v>
      </x:c>
      <x:c r="M849" s="38" t="n">
        <x:v>2.74880219028063</x:v>
      </x:c>
      <x:c r="N849" s="36" t="n">
        <x:v>28920000</x:v>
      </x:c>
    </x:row>
    <x:row r="850" ht="20" customHeight="1">
      <x:c r="C850" s="1" t="n">
        <x:v>2</x:v>
      </x:c>
      <x:c r="D850" s="1" t="n">
        <x:v>6</x:v>
      </x:c>
      <x:c r="E850" s="1" t="n">
        <x:v>34</x:v>
      </x:c>
      <x:c r="F850" s="32" t="n">
        <x:v>47315</x:v>
      </x:c>
      <x:c r="G850" s="36" t="n">
        <x:v>28920000</x:v>
      </x:c>
      <x:c r="H850" s="36" t="n">
        <x:v>119536</x:v>
      </x:c>
      <x:c r="I850" s="36" t="n">
        <x:v>0</x:v>
      </x:c>
      <x:c r="J850" s="36" t="n">
        <x:v>0</x:v>
      </x:c>
      <x:c r="K850" s="36" t="n">
        <x:v>28920000</x:v>
      </x:c>
      <x:c r="L850" s="36" t="n">
        <x:v>0</x:v>
      </x:c>
      <x:c r="M850" s="38" t="n">
        <x:v>2.833675564681725</x:v>
      </x:c>
      <x:c r="N850" s="36" t="n">
        <x:v>28920000</x:v>
      </x:c>
    </x:row>
    <x:row r="851" ht="20" customHeight="1">
      <x:c r="C851" s="1" t="n">
        <x:v>2</x:v>
      </x:c>
      <x:c r="D851" s="1" t="n">
        <x:v>6</x:v>
      </x:c>
      <x:c r="E851" s="1" t="n">
        <x:v>35</x:v>
      </x:c>
      <x:c r="F851" s="32" t="n">
        <x:v>47345</x:v>
      </x:c>
      <x:c r="G851" s="36" t="n">
        <x:v>28920000</x:v>
      </x:c>
      <x:c r="H851" s="36" t="n">
        <x:v>119536</x:v>
      </x:c>
      <x:c r="I851" s="36" t="n">
        <x:v>0</x:v>
      </x:c>
      <x:c r="J851" s="36" t="n">
        <x:v>0</x:v>
      </x:c>
      <x:c r="K851" s="36" t="n">
        <x:v>28920000</x:v>
      </x:c>
      <x:c r="L851" s="36" t="n">
        <x:v>0</x:v>
      </x:c>
      <x:c r="M851" s="38" t="n">
        <x:v>2.915811088295688</x:v>
      </x:c>
      <x:c r="N851" s="36" t="n">
        <x:v>28920000</x:v>
      </x:c>
    </x:row>
    <x:row r="852" ht="20" customHeight="1">
      <x:c r="C852" s="1" t="n">
        <x:v>2</x:v>
      </x:c>
      <x:c r="D852" s="1" t="n">
        <x:v>6</x:v>
      </x:c>
      <x:c r="E852" s="1" t="n">
        <x:v>36</x:v>
      </x:c>
      <x:c r="F852" s="32" t="n">
        <x:v>47378</x:v>
      </x:c>
      <x:c r="G852" s="36" t="n">
        <x:v>28920000</x:v>
      </x:c>
      <x:c r="H852" s="36" t="n">
        <x:v>119536</x:v>
      </x:c>
      <x:c r="I852" s="36" t="n">
        <x:v>0</x:v>
      </x:c>
      <x:c r="J852" s="36" t="n">
        <x:v>0</x:v>
      </x:c>
      <x:c r="K852" s="36" t="n">
        <x:v>28920000</x:v>
      </x:c>
      <x:c r="L852" s="36" t="n">
        <x:v>0</x:v>
      </x:c>
      <x:c r="M852" s="38" t="n">
        <x:v>3.0061601642710474</x:v>
      </x:c>
      <x:c r="N852" s="36" t="n">
        <x:v>28920000</x:v>
      </x:c>
    </x:row>
    <x:row r="853" ht="20" customHeight="1">
      <x:c r="C853" s="1" t="n">
        <x:v>2</x:v>
      </x:c>
      <x:c r="D853" s="1" t="n">
        <x:v>6</x:v>
      </x:c>
      <x:c r="E853" s="1" t="n">
        <x:v>37</x:v>
      </x:c>
      <x:c r="F853" s="32" t="n">
        <x:v>47406</x:v>
      </x:c>
      <x:c r="G853" s="36" t="n">
        <x:v>28920000</x:v>
      </x:c>
      <x:c r="H853" s="36" t="n">
        <x:v>119536</x:v>
      </x:c>
      <x:c r="I853" s="36" t="n">
        <x:v>0</x:v>
      </x:c>
      <x:c r="J853" s="36" t="n">
        <x:v>0</x:v>
      </x:c>
      <x:c r="K853" s="36" t="n">
        <x:v>28920000</x:v>
      </x:c>
      <x:c r="L853" s="36" t="n">
        <x:v>0</x:v>
      </x:c>
      <x:c r="M853" s="38" t="n">
        <x:v>3.082819986310746</x:v>
      </x:c>
      <x:c r="N853" s="36" t="n">
        <x:v>28920000</x:v>
      </x:c>
    </x:row>
    <x:row r="854" ht="20" customHeight="1">
      <x:c r="C854" s="1" t="n">
        <x:v>2</x:v>
      </x:c>
      <x:c r="D854" s="1" t="n">
        <x:v>6</x:v>
      </x:c>
      <x:c r="E854" s="1" t="n">
        <x:v>38</x:v>
      </x:c>
      <x:c r="F854" s="32" t="n">
        <x:v>47437</x:v>
      </x:c>
      <x:c r="G854" s="36" t="n">
        <x:v>28920000</x:v>
      </x:c>
      <x:c r="H854" s="36" t="n">
        <x:v>119536</x:v>
      </x:c>
      <x:c r="I854" s="36" t="n">
        <x:v>0</x:v>
      </x:c>
      <x:c r="J854" s="36" t="n">
        <x:v>0</x:v>
      </x:c>
      <x:c r="K854" s="36" t="n">
        <x:v>28920000</x:v>
      </x:c>
      <x:c r="L854" s="36" t="n">
        <x:v>0</x:v>
      </x:c>
      <x:c r="M854" s="38" t="n">
        <x:v>3.167693360711841</x:v>
      </x:c>
      <x:c r="N854" s="36" t="n">
        <x:v>28920000</x:v>
      </x:c>
    </x:row>
    <x:row r="855" ht="20" customHeight="1">
      <x:c r="C855" s="1" t="n">
        <x:v>2</x:v>
      </x:c>
      <x:c r="D855" s="1" t="n">
        <x:v>6</x:v>
      </x:c>
      <x:c r="E855" s="1" t="n">
        <x:v>39</x:v>
      </x:c>
      <x:c r="F855" s="32" t="n">
        <x:v>47469</x:v>
      </x:c>
      <x:c r="G855" s="36" t="n">
        <x:v>28920000</x:v>
      </x:c>
      <x:c r="H855" s="36" t="n">
        <x:v>119536</x:v>
      </x:c>
      <x:c r="I855" s="36" t="n">
        <x:v>0</x:v>
      </x:c>
      <x:c r="J855" s="36" t="n">
        <x:v>0</x:v>
      </x:c>
      <x:c r="K855" s="36" t="n">
        <x:v>28920000</x:v>
      </x:c>
      <x:c r="L855" s="36" t="n">
        <x:v>0</x:v>
      </x:c>
      <x:c r="M855" s="38" t="n">
        <x:v>3.2553045859000687</x:v>
      </x:c>
      <x:c r="N855" s="36" t="n">
        <x:v>28920000</x:v>
      </x:c>
    </x:row>
    <x:row r="856" ht="20" customHeight="1">
      <x:c r="C856" s="1" t="n">
        <x:v>2</x:v>
      </x:c>
      <x:c r="D856" s="1" t="n">
        <x:v>6</x:v>
      </x:c>
      <x:c r="E856" s="1" t="n">
        <x:v>40</x:v>
      </x:c>
      <x:c r="F856" s="32" t="n">
        <x:v>47498</x:v>
      </x:c>
      <x:c r="G856" s="36" t="n">
        <x:v>28920000</x:v>
      </x:c>
      <x:c r="H856" s="36" t="n">
        <x:v>119536</x:v>
      </x:c>
      <x:c r="I856" s="36" t="n">
        <x:v>4924345.82</x:v>
      </x:c>
      <x:c r="J856" s="36" t="n">
        <x:v>0</x:v>
      </x:c>
      <x:c r="K856" s="36" t="n">
        <x:v>23995654.18</x:v>
      </x:c>
      <x:c r="L856" s="36" t="n">
        <x:v>0</x:v>
      </x:c>
      <x:c r="M856" s="38" t="n">
        <x:v>3.3347022587268995</x:v>
      </x:c>
      <x:c r="N856" s="36" t="n">
        <x:v>23995654.18</x:v>
      </x:c>
    </x:row>
    <x:row r="857" ht="20" customHeight="1">
      <x:c r="C857" s="1" t="n">
        <x:v>2</x:v>
      </x:c>
      <x:c r="D857" s="1" t="n">
        <x:v>6</x:v>
      </x:c>
      <x:c r="E857" s="1" t="n">
        <x:v>41</x:v>
      </x:c>
      <x:c r="F857" s="32" t="n">
        <x:v>47529</x:v>
      </x:c>
      <x:c r="G857" s="36" t="n">
        <x:v>23995654.18</x:v>
      </x:c>
      <x:c r="H857" s="36" t="n">
        <x:v>99182.04</x:v>
      </x:c>
      <x:c r="I857" s="36" t="n">
        <x:v>8761641.48</x:v>
      </x:c>
      <x:c r="J857" s="36" t="n">
        <x:v>0</x:v>
      </x:c>
      <x:c r="K857" s="36" t="n">
        <x:v>15234012.7</x:v>
      </x:c>
      <x:c r="L857" s="36" t="n">
        <x:v>0</x:v>
      </x:c>
      <x:c r="M857" s="38" t="n">
        <x:v>3.4195756331279945</x:v>
      </x:c>
      <x:c r="N857" s="36" t="n">
        <x:v>15234012.7</x:v>
      </x:c>
    </x:row>
    <x:row r="858" ht="20" customHeight="1">
      <x:c r="C858" s="1" t="n">
        <x:v>2</x:v>
      </x:c>
      <x:c r="D858" s="1" t="n">
        <x:v>6</x:v>
      </x:c>
      <x:c r="E858" s="1" t="n">
        <x:v>42</x:v>
      </x:c>
      <x:c r="F858" s="32" t="n">
        <x:v>47557</x:v>
      </x:c>
      <x:c r="G858" s="36" t="n">
        <x:v>15234012.7</x:v>
      </x:c>
      <x:c r="H858" s="36" t="n">
        <x:v>62967.25</x:v>
      </x:c>
      <x:c r="I858" s="36" t="n">
        <x:v>7942967.09</x:v>
      </x:c>
      <x:c r="J858" s="36" t="n">
        <x:v>0</x:v>
      </x:c>
      <x:c r="K858" s="36" t="n">
        <x:v>7291045.61</x:v>
      </x:c>
      <x:c r="L858" s="36" t="n">
        <x:v>0</x:v>
      </x:c>
      <x:c r="M858" s="38" t="n">
        <x:v>3.4962354551676933</x:v>
      </x:c>
      <x:c r="N858" s="36" t="n">
        <x:v>7291045.61</x:v>
      </x:c>
    </x:row>
    <x:row r="859" ht="20" customHeight="1">
      <x:c r="C859" s="1" t="n">
        <x:v>2</x:v>
      </x:c>
      <x:c r="D859" s="1" t="n">
        <x:v>6</x:v>
      </x:c>
      <x:c r="E859" s="1" t="n">
        <x:v>43</x:v>
      </x:c>
      <x:c r="F859" s="32" t="n">
        <x:v>47588</x:v>
      </x:c>
      <x:c r="G859" s="36" t="n">
        <x:v>7291045.61</x:v>
      </x:c>
      <x:c r="H859" s="36" t="n">
        <x:v>30136.32</x:v>
      </x:c>
      <x:c r="I859" s="36" t="n">
        <x:v>7085891.83</x:v>
      </x:c>
      <x:c r="J859" s="36" t="n">
        <x:v>0</x:v>
      </x:c>
      <x:c r="K859" s="36" t="n">
        <x:v>205153.78</x:v>
      </x:c>
      <x:c r="L859" s="36" t="n">
        <x:v>0</x:v>
      </x:c>
      <x:c r="M859" s="38" t="n">
        <x:v>3.5811088295687883</x:v>
      </x:c>
      <x:c r="N859" s="36" t="n">
        <x:v>205153.78</x:v>
      </x:c>
    </x:row>
    <x:row r="860" ht="20" customHeight="1">
      <x:c r="C860" s="1" t="n">
        <x:v>2</x:v>
      </x:c>
      <x:c r="D860" s="1" t="n">
        <x:v>6</x:v>
      </x:c>
      <x:c r="E860" s="1" t="n">
        <x:v>44</x:v>
      </x:c>
      <x:c r="F860" s="32" t="n">
        <x:v>47618</x:v>
      </x:c>
      <x:c r="G860" s="36" t="n">
        <x:v>205153.78</x:v>
      </x:c>
      <x:c r="H860" s="36" t="n">
        <x:v>847.97</x:v>
      </x:c>
      <x:c r="I860" s="36" t="n">
        <x:v>205153.78</x:v>
      </x:c>
      <x:c r="J860" s="36" t="n">
        <x:v>0</x:v>
      </x:c>
      <x:c r="K860" s="36" t="n">
        <x:v>0</x:v>
      </x:c>
      <x:c r="L860" s="36" t="n">
        <x:v>0</x:v>
      </x:c>
      <x:c r="M860" s="38" t="n">
        <x:v>3.6632443531827517</x:v>
      </x:c>
      <x:c r="N860" s="36" t="n">
        <x:v>0</x:v>
      </x:c>
    </x:row>
    <x:row r="861" ht="20" customHeight="1">
      <x:c r="C861" s="1" t="n">
        <x:v>2</x:v>
      </x:c>
      <x:c r="D861" s="1" t="n">
        <x:v>6</x:v>
      </x:c>
      <x:c r="E861" s="1" t="n">
        <x:v>45</x:v>
      </x:c>
      <x:c r="F861" s="32" t="n">
        <x:v>47651</x:v>
      </x:c>
      <x:c r="G861" s="36" t="n">
        <x:v>0</x:v>
      </x:c>
      <x:c r="H861" s="36" t="n">
        <x:v>0</x:v>
      </x:c>
      <x:c r="I861" s="36" t="n">
        <x:v>0</x:v>
      </x:c>
      <x:c r="J861" s="36" t="n">
        <x:v>0</x:v>
      </x:c>
      <x:c r="K861" s="36" t="n">
        <x:v>0</x:v>
      </x:c>
      <x:c r="L861" s="36" t="n">
        <x:v>0</x:v>
      </x:c>
      <x:c r="M861" s="38" t="n">
        <x:v>3.753593429158111</x:v>
      </x:c>
      <x:c r="N861" s="36" t="n">
        <x:v>0</x:v>
      </x:c>
    </x:row>
    <x:row r="862" ht="20" customHeight="1">
      <x:c r="C862" s="1" t="n">
        <x:v>2</x:v>
      </x:c>
      <x:c r="D862" s="1" t="n">
        <x:v>6</x:v>
      </x:c>
      <x:c r="E862" s="1" t="n">
        <x:v>46</x:v>
      </x:c>
      <x:c r="F862" s="32" t="n">
        <x:v>47679</x:v>
      </x:c>
      <x:c r="G862" s="36" t="n">
        <x:v>0</x:v>
      </x:c>
      <x:c r="H862" s="36" t="n">
        <x:v>0</x:v>
      </x:c>
      <x:c r="I862" s="36" t="n">
        <x:v>0</x:v>
      </x:c>
      <x:c r="J862" s="36" t="n">
        <x:v>0</x:v>
      </x:c>
      <x:c r="K862" s="36" t="n">
        <x:v>0</x:v>
      </x:c>
      <x:c r="L862" s="36" t="n">
        <x:v>0</x:v>
      </x:c>
      <x:c r="M862" s="38" t="n">
        <x:v>3.8302532511978096</x:v>
      </x:c>
      <x:c r="N862" s="36" t="n">
        <x:v>0</x:v>
      </x:c>
    </x:row>
    <x:row r="863" ht="20" customHeight="1">
      <x:c r="C863" s="1" t="n">
        <x:v>2</x:v>
      </x:c>
      <x:c r="D863" s="1" t="n">
        <x:v>6</x:v>
      </x:c>
      <x:c r="E863" s="1" t="n">
        <x:v>47</x:v>
      </x:c>
      <x:c r="F863" s="32" t="n">
        <x:v>47710</x:v>
      </x:c>
      <x:c r="G863" s="36" t="n">
        <x:v>0</x:v>
      </x:c>
      <x:c r="H863" s="36" t="n">
        <x:v>0</x:v>
      </x:c>
      <x:c r="I863" s="36" t="n">
        <x:v>0</x:v>
      </x:c>
      <x:c r="J863" s="36" t="n">
        <x:v>0</x:v>
      </x:c>
      <x:c r="K863" s="36" t="n">
        <x:v>0</x:v>
      </x:c>
      <x:c r="L863" s="36" t="n">
        <x:v>0</x:v>
      </x:c>
      <x:c r="M863" s="38" t="n">
        <x:v>3.915126625598905</x:v>
      </x:c>
      <x:c r="N863" s="36" t="n">
        <x:v>0</x:v>
      </x:c>
    </x:row>
    <x:row r="864" ht="20" customHeight="1">
      <x:c r="C864" s="1" t="n">
        <x:v>2</x:v>
      </x:c>
      <x:c r="D864" s="1" t="n">
        <x:v>6</x:v>
      </x:c>
      <x:c r="E864" s="1" t="n">
        <x:v>48</x:v>
      </x:c>
      <x:c r="F864" s="32" t="n">
        <x:v>47742</x:v>
      </x:c>
      <x:c r="G864" s="36" t="n">
        <x:v>0</x:v>
      </x:c>
      <x:c r="H864" s="36" t="n">
        <x:v>0</x:v>
      </x:c>
      <x:c r="I864" s="36" t="n">
        <x:v>0</x:v>
      </x:c>
      <x:c r="J864" s="36" t="n">
        <x:v>0</x:v>
      </x:c>
      <x:c r="K864" s="36" t="n">
        <x:v>0</x:v>
      </x:c>
      <x:c r="L864" s="36" t="n">
        <x:v>0</x:v>
      </x:c>
      <x:c r="M864" s="38" t="n">
        <x:v>4.002737850787132</x:v>
      </x:c>
      <x:c r="N864" s="36" t="n">
        <x:v>0</x:v>
      </x:c>
    </x:row>
    <x:row r="865" ht="20" customHeight="1">
      <x:c r="C865" s="1" t="n">
        <x:v>2</x:v>
      </x:c>
      <x:c r="D865" s="1" t="n">
        <x:v>6</x:v>
      </x:c>
      <x:c r="E865" s="1" t="n">
        <x:v>49</x:v>
      </x:c>
      <x:c r="F865" s="32" t="n">
        <x:v>47771</x:v>
      </x:c>
      <x:c r="G865" s="36" t="n">
        <x:v>0</x:v>
      </x:c>
      <x:c r="H865" s="36" t="n">
        <x:v>0</x:v>
      </x:c>
      <x:c r="I865" s="36" t="n">
        <x:v>0</x:v>
      </x:c>
      <x:c r="J865" s="36" t="n">
        <x:v>0</x:v>
      </x:c>
      <x:c r="K865" s="36" t="n">
        <x:v>0</x:v>
      </x:c>
      <x:c r="L865" s="36" t="n">
        <x:v>0</x:v>
      </x:c>
      <x:c r="M865" s="38" t="n">
        <x:v>4.082135523613963</x:v>
      </x:c>
      <x:c r="N865" s="36" t="n">
        <x:v>0</x:v>
      </x:c>
    </x:row>
    <x:row r="866" ht="20" customHeight="1">
      <x:c r="C866" s="1" t="n">
        <x:v>2</x:v>
      </x:c>
      <x:c r="D866" s="1" t="n">
        <x:v>6</x:v>
      </x:c>
      <x:c r="E866" s="1" t="n">
        <x:v>50</x:v>
      </x:c>
      <x:c r="F866" s="32" t="n">
        <x:v>47802</x:v>
      </x:c>
      <x:c r="G866" s="36" t="n">
        <x:v>0</x:v>
      </x:c>
      <x:c r="H866" s="36" t="n">
        <x:v>0</x:v>
      </x:c>
      <x:c r="I866" s="36" t="n">
        <x:v>0</x:v>
      </x:c>
      <x:c r="J866" s="36" t="n">
        <x:v>0</x:v>
      </x:c>
      <x:c r="K866" s="36" t="n">
        <x:v>0</x:v>
      </x:c>
      <x:c r="L866" s="36" t="n">
        <x:v>0</x:v>
      </x:c>
      <x:c r="M866" s="38" t="n">
        <x:v>4.167008898015058</x:v>
      </x:c>
      <x:c r="N866" s="36" t="n">
        <x:v>0</x:v>
      </x:c>
    </x:row>
    <x:row r="867" ht="20" customHeight="1">
      <x:c r="C867" s="1" t="n">
        <x:v>2</x:v>
      </x:c>
      <x:c r="D867" s="1" t="n">
        <x:v>6</x:v>
      </x:c>
      <x:c r="E867" s="1" t="n">
        <x:v>51</x:v>
      </x:c>
      <x:c r="F867" s="32" t="n">
        <x:v>47833</x:v>
      </x:c>
      <x:c r="G867" s="36" t="n">
        <x:v>0</x:v>
      </x:c>
      <x:c r="H867" s="36" t="n">
        <x:v>0</x:v>
      </x:c>
      <x:c r="I867" s="36" t="n">
        <x:v>0</x:v>
      </x:c>
      <x:c r="J867" s="36" t="n">
        <x:v>0</x:v>
      </x:c>
      <x:c r="K867" s="36" t="n">
        <x:v>0</x:v>
      </x:c>
      <x:c r="L867" s="36" t="n">
        <x:v>0</x:v>
      </x:c>
      <x:c r="M867" s="38" t="n">
        <x:v>4.251882272416153</x:v>
      </x:c>
      <x:c r="N867" s="36" t="n">
        <x:v>0</x:v>
      </x:c>
    </x:row>
    <x:row r="868" ht="20" customHeight="1">
      <x:c r="C868" s="1" t="n">
        <x:v>2</x:v>
      </x:c>
      <x:c r="D868" s="1" t="n">
        <x:v>6</x:v>
      </x:c>
      <x:c r="E868" s="1" t="n">
        <x:v>52</x:v>
      </x:c>
      <x:c r="F868" s="32" t="n">
        <x:v>47863</x:v>
      </x:c>
      <x:c r="G868" s="36" t="n">
        <x:v>0</x:v>
      </x:c>
      <x:c r="H868" s="36" t="n">
        <x:v>0</x:v>
      </x:c>
      <x:c r="I868" s="36" t="n">
        <x:v>0</x:v>
      </x:c>
      <x:c r="J868" s="36" t="n">
        <x:v>0</x:v>
      </x:c>
      <x:c r="K868" s="36" t="n">
        <x:v>0</x:v>
      </x:c>
      <x:c r="L868" s="36" t="n">
        <x:v>0</x:v>
      </x:c>
      <x:c r="M868" s="38" t="n">
        <x:v>4.334017796030117</x:v>
      </x:c>
      <x:c r="N868" s="36" t="n">
        <x:v>0</x:v>
      </x:c>
    </x:row>
    <x:row r="869" ht="20" customHeight="1">
      <x:c r="C869" s="1" t="n">
        <x:v>2</x:v>
      </x:c>
      <x:c r="D869" s="1" t="n">
        <x:v>6</x:v>
      </x:c>
      <x:c r="E869" s="1" t="n">
        <x:v>53</x:v>
      </x:c>
      <x:c r="F869" s="32" t="n">
        <x:v>47897</x:v>
      </x:c>
      <x:c r="G869" s="36" t="n">
        <x:v>0</x:v>
      </x:c>
      <x:c r="H869" s="36" t="n">
        <x:v>0</x:v>
      </x:c>
      <x:c r="I869" s="36" t="n">
        <x:v>0</x:v>
      </x:c>
      <x:c r="J869" s="36" t="n">
        <x:v>0</x:v>
      </x:c>
      <x:c r="K869" s="36" t="n">
        <x:v>0</x:v>
      </x:c>
      <x:c r="L869" s="36" t="n">
        <x:v>0</x:v>
      </x:c>
      <x:c r="M869" s="38" t="n">
        <x:v>4.427104722792608</x:v>
      </x:c>
      <x:c r="N869" s="36" t="n">
        <x:v>0</x:v>
      </x:c>
    </x:row>
    <x:row r="870" ht="20" customHeight="1">
      <x:c r="C870" s="1" t="n">
        <x:v>2</x:v>
      </x:c>
      <x:c r="D870" s="1" t="n">
        <x:v>6</x:v>
      </x:c>
      <x:c r="E870" s="1" t="n">
        <x:v>54</x:v>
      </x:c>
      <x:c r="F870" s="32" t="n">
        <x:v>47924</x:v>
      </x:c>
      <x:c r="G870" s="36" t="n">
        <x:v>0</x:v>
      </x:c>
      <x:c r="H870" s="36" t="n">
        <x:v>0</x:v>
      </x:c>
      <x:c r="I870" s="36" t="n">
        <x:v>0</x:v>
      </x:c>
      <x:c r="J870" s="36" t="n">
        <x:v>0</x:v>
      </x:c>
      <x:c r="K870" s="36" t="n">
        <x:v>0</x:v>
      </x:c>
      <x:c r="L870" s="36" t="n">
        <x:v>0</x:v>
      </x:c>
      <x:c r="M870" s="38" t="n">
        <x:v>4.501026694045175</x:v>
      </x:c>
      <x:c r="N870" s="36" t="n">
        <x:v>0</x:v>
      </x:c>
    </x:row>
    <x:row r="871" ht="20" customHeight="1">
      <x:c r="C871" s="1" t="n">
        <x:v>2</x:v>
      </x:c>
      <x:c r="D871" s="1" t="n">
        <x:v>6</x:v>
      </x:c>
      <x:c r="E871" s="1" t="n">
        <x:v>55</x:v>
      </x:c>
      <x:c r="F871" s="32" t="n">
        <x:v>47953</x:v>
      </x:c>
      <x:c r="G871" s="36" t="n">
        <x:v>0</x:v>
      </x:c>
      <x:c r="H871" s="36" t="n">
        <x:v>0</x:v>
      </x:c>
      <x:c r="I871" s="36" t="n">
        <x:v>0</x:v>
      </x:c>
      <x:c r="J871" s="36" t="n">
        <x:v>0</x:v>
      </x:c>
      <x:c r="K871" s="36" t="n">
        <x:v>0</x:v>
      </x:c>
      <x:c r="L871" s="36" t="n">
        <x:v>0</x:v>
      </x:c>
      <x:c r="M871" s="38" t="n">
        <x:v>4.5804243668720055</x:v>
      </x:c>
      <x:c r="N871" s="36" t="n">
        <x:v>0</x:v>
      </x:c>
    </x:row>
    <x:row r="872" ht="20" customHeight="1">
      <x:c r="C872" s="1" t="n">
        <x:v>2</x:v>
      </x:c>
      <x:c r="D872" s="1" t="n">
        <x:v>6</x:v>
      </x:c>
      <x:c r="E872" s="1" t="n">
        <x:v>56</x:v>
      </x:c>
      <x:c r="F872" s="32" t="n">
        <x:v>47983</x:v>
      </x:c>
      <x:c r="G872" s="36" t="n">
        <x:v>0</x:v>
      </x:c>
      <x:c r="H872" s="36" t="n">
        <x:v>0</x:v>
      </x:c>
      <x:c r="I872" s="36" t="n">
        <x:v>0</x:v>
      </x:c>
      <x:c r="J872" s="36" t="n">
        <x:v>0</x:v>
      </x:c>
      <x:c r="K872" s="36" t="n">
        <x:v>0</x:v>
      </x:c>
      <x:c r="L872" s="36" t="n">
        <x:v>0</x:v>
      </x:c>
      <x:c r="M872" s="38" t="n">
        <x:v>4.662559890485968</x:v>
      </x:c>
      <x:c r="N872" s="36" t="n">
        <x:v>0</x:v>
      </x:c>
    </x:row>
    <x:row r="873" ht="20" customHeight="1">
      <x:c r="C873" s="1" t="n">
        <x:v>2</x:v>
      </x:c>
      <x:c r="D873" s="1" t="n">
        <x:v>6</x:v>
      </x:c>
      <x:c r="E873" s="1" t="n">
        <x:v>57</x:v>
      </x:c>
      <x:c r="F873" s="32" t="n">
        <x:v>48015</x:v>
      </x:c>
      <x:c r="G873" s="36" t="n">
        <x:v>0</x:v>
      </x:c>
      <x:c r="H873" s="36" t="n">
        <x:v>0</x:v>
      </x:c>
      <x:c r="I873" s="36" t="n">
        <x:v>0</x:v>
      </x:c>
      <x:c r="J873" s="36" t="n">
        <x:v>0</x:v>
      </x:c>
      <x:c r="K873" s="36" t="n">
        <x:v>0</x:v>
      </x:c>
      <x:c r="L873" s="36" t="n">
        <x:v>0</x:v>
      </x:c>
      <x:c r="M873" s="38" t="n">
        <x:v>4.7501711156741955</x:v>
      </x:c>
      <x:c r="N873" s="36" t="n">
        <x:v>0</x:v>
      </x:c>
    </x:row>
    <x:row r="874" ht="20" customHeight="1">
      <x:c r="C874" s="1" t="n">
        <x:v>2</x:v>
      </x:c>
      <x:c r="D874" s="1" t="n">
        <x:v>6</x:v>
      </x:c>
      <x:c r="E874" s="1" t="n">
        <x:v>58</x:v>
      </x:c>
      <x:c r="F874" s="32" t="n">
        <x:v>48044</x:v>
      </x:c>
      <x:c r="G874" s="36" t="n">
        <x:v>0</x:v>
      </x:c>
      <x:c r="H874" s="36" t="n">
        <x:v>0</x:v>
      </x:c>
      <x:c r="I874" s="36" t="n">
        <x:v>0</x:v>
      </x:c>
      <x:c r="J874" s="36" t="n">
        <x:v>0</x:v>
      </x:c>
      <x:c r="K874" s="36" t="n">
        <x:v>0</x:v>
      </x:c>
      <x:c r="L874" s="36" t="n">
        <x:v>0</x:v>
      </x:c>
      <x:c r="M874" s="38" t="n">
        <x:v>4.829568788501026</x:v>
      </x:c>
      <x:c r="N874" s="36" t="n">
        <x:v>0</x:v>
      </x:c>
    </x:row>
    <x:row r="875" ht="20" customHeight="1">
      <x:c r="C875" s="1" t="n">
        <x:v>2</x:v>
      </x:c>
      <x:c r="D875" s="1" t="n">
        <x:v>6</x:v>
      </x:c>
      <x:c r="E875" s="1" t="n">
        <x:v>59</x:v>
      </x:c>
      <x:c r="F875" s="32" t="n">
        <x:v>48075</x:v>
      </x:c>
      <x:c r="G875" s="36" t="n">
        <x:v>0</x:v>
      </x:c>
      <x:c r="H875" s="36" t="n">
        <x:v>0</x:v>
      </x:c>
      <x:c r="I875" s="36" t="n">
        <x:v>0</x:v>
      </x:c>
      <x:c r="J875" s="36" t="n">
        <x:v>0</x:v>
      </x:c>
      <x:c r="K875" s="36" t="n">
        <x:v>0</x:v>
      </x:c>
      <x:c r="L875" s="36" t="n">
        <x:v>0</x:v>
      </x:c>
      <x:c r="M875" s="38" t="n">
        <x:v>4.914442162902122</x:v>
      </x:c>
      <x:c r="N875" s="36" t="n">
        <x:v>0</x:v>
      </x:c>
    </x:row>
    <x:row r="876" ht="20" customHeight="1">
      <x:c r="C876" s="1" t="n">
        <x:v>2</x:v>
      </x:c>
      <x:c r="D876" s="1" t="n">
        <x:v>6</x:v>
      </x:c>
      <x:c r="E876" s="1" t="n">
        <x:v>60</x:v>
      </x:c>
      <x:c r="F876" s="32" t="n">
        <x:v>48106</x:v>
      </x:c>
      <x:c r="G876" s="36" t="n">
        <x:v>0</x:v>
      </x:c>
      <x:c r="H876" s="36" t="n">
        <x:v>0</x:v>
      </x:c>
      <x:c r="I876" s="36" t="n">
        <x:v>0</x:v>
      </x:c>
      <x:c r="J876" s="36" t="n">
        <x:v>0</x:v>
      </x:c>
      <x:c r="K876" s="36" t="n">
        <x:v>0</x:v>
      </x:c>
      <x:c r="L876" s="36" t="n">
        <x:v>0</x:v>
      </x:c>
      <x:c r="M876" s="38" t="n">
        <x:v>4.999315537303217</x:v>
      </x:c>
      <x:c r="N876" s="36" t="n">
        <x:v>0</x:v>
      </x:c>
    </x:row>
    <x:row r="877" ht="20" customHeight="1">
      <x:c r="C877" s="1" t="n">
        <x:v>2</x:v>
      </x:c>
      <x:c r="D877" s="1" t="n">
        <x:v>6</x:v>
      </x:c>
      <x:c r="E877" s="1" t="n">
        <x:v>61</x:v>
      </x:c>
      <x:c r="F877" s="32" t="n">
        <x:v>48136</x:v>
      </x:c>
      <x:c r="G877" s="36" t="n">
        <x:v>0</x:v>
      </x:c>
      <x:c r="H877" s="36" t="n">
        <x:v>0</x:v>
      </x:c>
      <x:c r="I877" s="36" t="n">
        <x:v>0</x:v>
      </x:c>
      <x:c r="J877" s="36" t="n">
        <x:v>0</x:v>
      </x:c>
      <x:c r="K877" s="36" t="n">
        <x:v>0</x:v>
      </x:c>
      <x:c r="L877" s="36" t="n">
        <x:v>0</x:v>
      </x:c>
      <x:c r="M877" s="38" t="n">
        <x:v>5.08145106091718</x:v>
      </x:c>
      <x:c r="N877" s="36" t="n">
        <x:v>0</x:v>
      </x:c>
    </x:row>
    <x:row r="878" ht="20" customHeight="1">
      <x:c r="C878" s="1" t="n">
        <x:v>2</x:v>
      </x:c>
      <x:c r="D878" s="1" t="n">
        <x:v>6</x:v>
      </x:c>
      <x:c r="E878" s="1" t="n">
        <x:v>62</x:v>
      </x:c>
      <x:c r="F878" s="32" t="n">
        <x:v>48169</x:v>
      </x:c>
      <x:c r="G878" s="36" t="n">
        <x:v>0</x:v>
      </x:c>
      <x:c r="H878" s="36" t="n">
        <x:v>0</x:v>
      </x:c>
      <x:c r="I878" s="36" t="n">
        <x:v>0</x:v>
      </x:c>
      <x:c r="J878" s="36" t="n">
        <x:v>0</x:v>
      </x:c>
      <x:c r="K878" s="36" t="n">
        <x:v>0</x:v>
      </x:c>
      <x:c r="L878" s="36" t="n">
        <x:v>0</x:v>
      </x:c>
      <x:c r="M878" s="38" t="n">
        <x:v>5.171800136892539</x:v>
      </x:c>
      <x:c r="N878" s="36" t="n">
        <x:v>0</x:v>
      </x:c>
    </x:row>
    <x:row r="879" ht="20" customHeight="1">
      <x:c r="C879" s="1" t="n">
        <x:v>2</x:v>
      </x:c>
      <x:c r="D879" s="1" t="n">
        <x:v>6</x:v>
      </x:c>
      <x:c r="E879" s="1" t="n">
        <x:v>63</x:v>
      </x:c>
      <x:c r="F879" s="32" t="n">
        <x:v>48197</x:v>
      </x:c>
      <x:c r="G879" s="36" t="n">
        <x:v>0</x:v>
      </x:c>
      <x:c r="H879" s="36" t="n">
        <x:v>0</x:v>
      </x:c>
      <x:c r="I879" s="36" t="n">
        <x:v>0</x:v>
      </x:c>
      <x:c r="J879" s="36" t="n">
        <x:v>0</x:v>
      </x:c>
      <x:c r="K879" s="36" t="n">
        <x:v>0</x:v>
      </x:c>
      <x:c r="L879" s="36" t="n">
        <x:v>0</x:v>
      </x:c>
      <x:c r="M879" s="38" t="n">
        <x:v>5.248459958932238</x:v>
      </x:c>
      <x:c r="N879" s="36" t="n">
        <x:v>0</x:v>
      </x:c>
    </x:row>
    <x:row r="880" ht="20" customHeight="1">
      <x:c r="C880" s="1" t="n">
        <x:v>2</x:v>
      </x:c>
      <x:c r="D880" s="1" t="n">
        <x:v>6</x:v>
      </x:c>
      <x:c r="E880" s="1" t="n">
        <x:v>64</x:v>
      </x:c>
      <x:c r="F880" s="32" t="n">
        <x:v>48228</x:v>
      </x:c>
      <x:c r="G880" s="36" t="n">
        <x:v>0</x:v>
      </x:c>
      <x:c r="H880" s="36" t="n">
        <x:v>0</x:v>
      </x:c>
      <x:c r="I880" s="36" t="n">
        <x:v>0</x:v>
      </x:c>
      <x:c r="J880" s="36" t="n">
        <x:v>0</x:v>
      </x:c>
      <x:c r="K880" s="36" t="n">
        <x:v>0</x:v>
      </x:c>
      <x:c r="L880" s="36" t="n">
        <x:v>0</x:v>
      </x:c>
      <x:c r="M880" s="38" t="n">
        <x:v>5.333333333333333</x:v>
      </x:c>
      <x:c r="N880" s="36" t="n">
        <x:v>0</x:v>
      </x:c>
    </x:row>
    <x:row r="881" ht="20" customHeight="1">
      <x:c r="C881" s="1" t="n">
        <x:v>2</x:v>
      </x:c>
      <x:c r="D881" s="1" t="n">
        <x:v>7</x:v>
      </x:c>
      <x:c r="E881" s="1" t="n">
        <x:v>1</x:v>
      </x:c>
      <x:c r="F881" s="32" t="n">
        <x:v>46310</x:v>
      </x:c>
      <x:c r="G881" s="36" t="n">
        <x:v>21160000</x:v>
      </x:c>
      <x:c r="H881" s="36" t="n">
        <x:v>90988</x:v>
      </x:c>
      <x:c r="I881" s="36" t="n">
        <x:v>0</x:v>
      </x:c>
      <x:c r="J881" s="36" t="n">
        <x:v>0</x:v>
      </x:c>
      <x:c r="K881" s="36" t="n">
        <x:v>21160000</x:v>
      </x:c>
      <x:c r="L881" s="36" t="n">
        <x:v>0</x:v>
      </x:c>
      <x:c r="M881" s="38" t="n">
        <x:v>0.08213552361396304</x:v>
      </x:c>
      <x:c r="N881" s="36" t="n">
        <x:v>21160000</x:v>
      </x:c>
    </x:row>
    <x:row r="882" ht="20" customHeight="1">
      <x:c r="C882" s="1" t="n">
        <x:v>2</x:v>
      </x:c>
      <x:c r="D882" s="1" t="n">
        <x:v>7</x:v>
      </x:c>
      <x:c r="E882" s="1" t="n">
        <x:v>2</x:v>
      </x:c>
      <x:c r="F882" s="32" t="n">
        <x:v>46342</x:v>
      </x:c>
      <x:c r="G882" s="36" t="n">
        <x:v>21160000</x:v>
      </x:c>
      <x:c r="H882" s="36" t="n">
        <x:v>90988</x:v>
      </x:c>
      <x:c r="I882" s="36" t="n">
        <x:v>0</x:v>
      </x:c>
      <x:c r="J882" s="36" t="n">
        <x:v>0</x:v>
      </x:c>
      <x:c r="K882" s="36" t="n">
        <x:v>21160000</x:v>
      </x:c>
      <x:c r="L882" s="36" t="n">
        <x:v>0</x:v>
      </x:c>
      <x:c r="M882" s="38" t="n">
        <x:v>0.1697467488021903</x:v>
      </x:c>
      <x:c r="N882" s="36" t="n">
        <x:v>21160000</x:v>
      </x:c>
    </x:row>
    <x:row r="883" ht="20" customHeight="1">
      <x:c r="C883" s="1" t="n">
        <x:v>2</x:v>
      </x:c>
      <x:c r="D883" s="1" t="n">
        <x:v>7</x:v>
      </x:c>
      <x:c r="E883" s="1" t="n">
        <x:v>3</x:v>
      </x:c>
      <x:c r="F883" s="32" t="n">
        <x:v>46371</x:v>
      </x:c>
      <x:c r="G883" s="36" t="n">
        <x:v>21160000</x:v>
      </x:c>
      <x:c r="H883" s="36" t="n">
        <x:v>90988</x:v>
      </x:c>
      <x:c r="I883" s="36" t="n">
        <x:v>0</x:v>
      </x:c>
      <x:c r="J883" s="36" t="n">
        <x:v>0</x:v>
      </x:c>
      <x:c r="K883" s="36" t="n">
        <x:v>21160000</x:v>
      </x:c>
      <x:c r="L883" s="36" t="n">
        <x:v>0</x:v>
      </x:c>
      <x:c r="M883" s="38" t="n">
        <x:v>0.24914442162902123</x:v>
      </x:c>
      <x:c r="N883" s="36" t="n">
        <x:v>21160000</x:v>
      </x:c>
    </x:row>
    <x:row r="884" ht="20" customHeight="1">
      <x:c r="C884" s="1" t="n">
        <x:v>2</x:v>
      </x:c>
      <x:c r="D884" s="1" t="n">
        <x:v>7</x:v>
      </x:c>
      <x:c r="E884" s="1" t="n">
        <x:v>4</x:v>
      </x:c>
      <x:c r="F884" s="32" t="n">
        <x:v>46402</x:v>
      </x:c>
      <x:c r="G884" s="36" t="n">
        <x:v>21160000</x:v>
      </x:c>
      <x:c r="H884" s="36" t="n">
        <x:v>90988</x:v>
      </x:c>
      <x:c r="I884" s="36" t="n">
        <x:v>0</x:v>
      </x:c>
      <x:c r="J884" s="36" t="n">
        <x:v>0</x:v>
      </x:c>
      <x:c r="K884" s="36" t="n">
        <x:v>21160000</x:v>
      </x:c>
      <x:c r="L884" s="36" t="n">
        <x:v>0</x:v>
      </x:c>
      <x:c r="M884" s="38" t="n">
        <x:v>0.33401779603011633</x:v>
      </x:c>
      <x:c r="N884" s="36" t="n">
        <x:v>21160000</x:v>
      </x:c>
    </x:row>
    <x:row r="885" ht="20" customHeight="1">
      <x:c r="C885" s="1" t="n">
        <x:v>2</x:v>
      </x:c>
      <x:c r="D885" s="1" t="n">
        <x:v>7</x:v>
      </x:c>
      <x:c r="E885" s="1" t="n">
        <x:v>5</x:v>
      </x:c>
      <x:c r="F885" s="32" t="n">
        <x:v>46434</x:v>
      </x:c>
      <x:c r="G885" s="36" t="n">
        <x:v>21160000</x:v>
      </x:c>
      <x:c r="H885" s="36" t="n">
        <x:v>90988</x:v>
      </x:c>
      <x:c r="I885" s="36" t="n">
        <x:v>0</x:v>
      </x:c>
      <x:c r="J885" s="36" t="n">
        <x:v>0</x:v>
      </x:c>
      <x:c r="K885" s="36" t="n">
        <x:v>21160000</x:v>
      </x:c>
      <x:c r="L885" s="36" t="n">
        <x:v>0</x:v>
      </x:c>
      <x:c r="M885" s="38" t="n">
        <x:v>0.4216290212183436</x:v>
      </x:c>
      <x:c r="N885" s="36" t="n">
        <x:v>21160000</x:v>
      </x:c>
    </x:row>
    <x:row r="886" ht="20" customHeight="1">
      <x:c r="C886" s="1" t="n">
        <x:v>2</x:v>
      </x:c>
      <x:c r="D886" s="1" t="n">
        <x:v>7</x:v>
      </x:c>
      <x:c r="E886" s="1" t="n">
        <x:v>6</x:v>
      </x:c>
      <x:c r="F886" s="32" t="n">
        <x:v>46461</x:v>
      </x:c>
      <x:c r="G886" s="36" t="n">
        <x:v>21160000</x:v>
      </x:c>
      <x:c r="H886" s="36" t="n">
        <x:v>90988</x:v>
      </x:c>
      <x:c r="I886" s="36" t="n">
        <x:v>0</x:v>
      </x:c>
      <x:c r="J886" s="36" t="n">
        <x:v>0</x:v>
      </x:c>
      <x:c r="K886" s="36" t="n">
        <x:v>21160000</x:v>
      </x:c>
      <x:c r="L886" s="36" t="n">
        <x:v>0</x:v>
      </x:c>
      <x:c r="M886" s="38" t="n">
        <x:v>0.49555099247091033</x:v>
      </x:c>
      <x:c r="N886" s="36" t="n">
        <x:v>21160000</x:v>
      </x:c>
    </x:row>
    <x:row r="887" ht="20" customHeight="1">
      <x:c r="C887" s="1" t="n">
        <x:v>2</x:v>
      </x:c>
      <x:c r="D887" s="1" t="n">
        <x:v>7</x:v>
      </x:c>
      <x:c r="E887" s="1" t="n">
        <x:v>7</x:v>
      </x:c>
      <x:c r="F887" s="32" t="n">
        <x:v>46492</x:v>
      </x:c>
      <x:c r="G887" s="36" t="n">
        <x:v>21160000</x:v>
      </x:c>
      <x:c r="H887" s="36" t="n">
        <x:v>90988</x:v>
      </x:c>
      <x:c r="I887" s="36" t="n">
        <x:v>0</x:v>
      </x:c>
      <x:c r="J887" s="36" t="n">
        <x:v>0</x:v>
      </x:c>
      <x:c r="K887" s="36" t="n">
        <x:v>21160000</x:v>
      </x:c>
      <x:c r="L887" s="36" t="n">
        <x:v>0</x:v>
      </x:c>
      <x:c r="M887" s="38" t="n">
        <x:v>0.5804243668720055</x:v>
      </x:c>
      <x:c r="N887" s="36" t="n">
        <x:v>21160000</x:v>
      </x:c>
    </x:row>
    <x:row r="888" ht="20" customHeight="1">
      <x:c r="C888" s="1" t="n">
        <x:v>2</x:v>
      </x:c>
      <x:c r="D888" s="1" t="n">
        <x:v>7</x:v>
      </x:c>
      <x:c r="E888" s="1" t="n">
        <x:v>8</x:v>
      </x:c>
      <x:c r="F888" s="32" t="n">
        <x:v>46524</x:v>
      </x:c>
      <x:c r="G888" s="36" t="n">
        <x:v>21160000</x:v>
      </x:c>
      <x:c r="H888" s="36" t="n">
        <x:v>90988</x:v>
      </x:c>
      <x:c r="I888" s="36" t="n">
        <x:v>0</x:v>
      </x:c>
      <x:c r="J888" s="36" t="n">
        <x:v>0</x:v>
      </x:c>
      <x:c r="K888" s="36" t="n">
        <x:v>21160000</x:v>
      </x:c>
      <x:c r="L888" s="36" t="n">
        <x:v>0</x:v>
      </x:c>
      <x:c r="M888" s="38" t="n">
        <x:v>0.6680355920602327</x:v>
      </x:c>
      <x:c r="N888" s="36" t="n">
        <x:v>21160000</x:v>
      </x:c>
    </x:row>
    <x:row r="889" ht="20" customHeight="1">
      <x:c r="C889" s="1" t="n">
        <x:v>2</x:v>
      </x:c>
      <x:c r="D889" s="1" t="n">
        <x:v>7</x:v>
      </x:c>
      <x:c r="E889" s="1" t="n">
        <x:v>9</x:v>
      </x:c>
      <x:c r="F889" s="32" t="n">
        <x:v>46553</x:v>
      </x:c>
      <x:c r="G889" s="36" t="n">
        <x:v>21160000</x:v>
      </x:c>
      <x:c r="H889" s="36" t="n">
        <x:v>90988</x:v>
      </x:c>
      <x:c r="I889" s="36" t="n">
        <x:v>0</x:v>
      </x:c>
      <x:c r="J889" s="36" t="n">
        <x:v>0</x:v>
      </x:c>
      <x:c r="K889" s="36" t="n">
        <x:v>21160000</x:v>
      </x:c>
      <x:c r="L889" s="36" t="n">
        <x:v>0</x:v>
      </x:c>
      <x:c r="M889" s="38" t="n">
        <x:v>0.7474332648870636</x:v>
      </x:c>
      <x:c r="N889" s="36" t="n">
        <x:v>21160000</x:v>
      </x:c>
    </x:row>
    <x:row r="890" ht="20" customHeight="1">
      <x:c r="C890" s="1" t="n">
        <x:v>2</x:v>
      </x:c>
      <x:c r="D890" s="1" t="n">
        <x:v>7</x:v>
      </x:c>
      <x:c r="E890" s="1" t="n">
        <x:v>10</x:v>
      </x:c>
      <x:c r="F890" s="32" t="n">
        <x:v>46583</x:v>
      </x:c>
      <x:c r="G890" s="36" t="n">
        <x:v>21160000</x:v>
      </x:c>
      <x:c r="H890" s="36" t="n">
        <x:v>90988</x:v>
      </x:c>
      <x:c r="I890" s="36" t="n">
        <x:v>0</x:v>
      </x:c>
      <x:c r="J890" s="36" t="n">
        <x:v>0</x:v>
      </x:c>
      <x:c r="K890" s="36" t="n">
        <x:v>21160000</x:v>
      </x:c>
      <x:c r="L890" s="36" t="n">
        <x:v>0</x:v>
      </x:c>
      <x:c r="M890" s="38" t="n">
        <x:v>0.8295687885010267</x:v>
      </x:c>
      <x:c r="N890" s="36" t="n">
        <x:v>21160000</x:v>
      </x:c>
    </x:row>
    <x:row r="891" ht="20" customHeight="1">
      <x:c r="C891" s="1" t="n">
        <x:v>2</x:v>
      </x:c>
      <x:c r="D891" s="1" t="n">
        <x:v>7</x:v>
      </x:c>
      <x:c r="E891" s="1" t="n">
        <x:v>11</x:v>
      </x:c>
      <x:c r="F891" s="32" t="n">
        <x:v>46615</x:v>
      </x:c>
      <x:c r="G891" s="36" t="n">
        <x:v>21160000</x:v>
      </x:c>
      <x:c r="H891" s="36" t="n">
        <x:v>90988</x:v>
      </x:c>
      <x:c r="I891" s="36" t="n">
        <x:v>0</x:v>
      </x:c>
      <x:c r="J891" s="36" t="n">
        <x:v>0</x:v>
      </x:c>
      <x:c r="K891" s="36" t="n">
        <x:v>21160000</x:v>
      </x:c>
      <x:c r="L891" s="36" t="n">
        <x:v>0</x:v>
      </x:c>
      <x:c r="M891" s="38" t="n">
        <x:v>0.917180013689254</x:v>
      </x:c>
      <x:c r="N891" s="36" t="n">
        <x:v>21160000</x:v>
      </x:c>
    </x:row>
    <x:row r="892" ht="20" customHeight="1">
      <x:c r="C892" s="1" t="n">
        <x:v>2</x:v>
      </x:c>
      <x:c r="D892" s="1" t="n">
        <x:v>7</x:v>
      </x:c>
      <x:c r="E892" s="1" t="n">
        <x:v>12</x:v>
      </x:c>
      <x:c r="F892" s="32" t="n">
        <x:v>46645</x:v>
      </x:c>
      <x:c r="G892" s="36" t="n">
        <x:v>21160000</x:v>
      </x:c>
      <x:c r="H892" s="36" t="n">
        <x:v>90988</x:v>
      </x:c>
      <x:c r="I892" s="36" t="n">
        <x:v>0</x:v>
      </x:c>
      <x:c r="J892" s="36" t="n">
        <x:v>0</x:v>
      </x:c>
      <x:c r="K892" s="36" t="n">
        <x:v>21160000</x:v>
      </x:c>
      <x:c r="L892" s="36" t="n">
        <x:v>0</x:v>
      </x:c>
      <x:c r="M892" s="38" t="n">
        <x:v>0.999315537303217</x:v>
      </x:c>
      <x:c r="N892" s="36" t="n">
        <x:v>21160000</x:v>
      </x:c>
    </x:row>
    <x:row r="893" ht="20" customHeight="1">
      <x:c r="C893" s="1" t="n">
        <x:v>2</x:v>
      </x:c>
      <x:c r="D893" s="1" t="n">
        <x:v>7</x:v>
      </x:c>
      <x:c r="E893" s="1" t="n">
        <x:v>13</x:v>
      </x:c>
      <x:c r="F893" s="32" t="n">
        <x:v>46675</x:v>
      </x:c>
      <x:c r="G893" s="36" t="n">
        <x:v>21160000</x:v>
      </x:c>
      <x:c r="H893" s="36" t="n">
        <x:v>90988</x:v>
      </x:c>
      <x:c r="I893" s="36" t="n">
        <x:v>0</x:v>
      </x:c>
      <x:c r="J893" s="36" t="n">
        <x:v>0</x:v>
      </x:c>
      <x:c r="K893" s="36" t="n">
        <x:v>21160000</x:v>
      </x:c>
      <x:c r="L893" s="36" t="n">
        <x:v>0</x:v>
      </x:c>
      <x:c r="M893" s="38" t="n">
        <x:v>1.08145106091718</x:v>
      </x:c>
      <x:c r="N893" s="36" t="n">
        <x:v>21160000</x:v>
      </x:c>
    </x:row>
    <x:row r="894" ht="20" customHeight="1">
      <x:c r="C894" s="1" t="n">
        <x:v>2</x:v>
      </x:c>
      <x:c r="D894" s="1" t="n">
        <x:v>7</x:v>
      </x:c>
      <x:c r="E894" s="1" t="n">
        <x:v>14</x:v>
      </x:c>
      <x:c r="F894" s="32" t="n">
        <x:v>46706</x:v>
      </x:c>
      <x:c r="G894" s="36" t="n">
        <x:v>21160000</x:v>
      </x:c>
      <x:c r="H894" s="36" t="n">
        <x:v>90988</x:v>
      </x:c>
      <x:c r="I894" s="36" t="n">
        <x:v>0</x:v>
      </x:c>
      <x:c r="J894" s="36" t="n">
        <x:v>0</x:v>
      </x:c>
      <x:c r="K894" s="36" t="n">
        <x:v>21160000</x:v>
      </x:c>
      <x:c r="L894" s="36" t="n">
        <x:v>0</x:v>
      </x:c>
      <x:c r="M894" s="38" t="n">
        <x:v>1.1663244353182751</x:v>
      </x:c>
      <x:c r="N894" s="36" t="n">
        <x:v>21160000</x:v>
      </x:c>
    </x:row>
    <x:row r="895" ht="20" customHeight="1">
      <x:c r="C895" s="1" t="n">
        <x:v>2</x:v>
      </x:c>
      <x:c r="D895" s="1" t="n">
        <x:v>7</x:v>
      </x:c>
      <x:c r="E895" s="1" t="n">
        <x:v>15</x:v>
      </x:c>
      <x:c r="F895" s="32" t="n">
        <x:v>46736</x:v>
      </x:c>
      <x:c r="G895" s="36" t="n">
        <x:v>21160000</x:v>
      </x:c>
      <x:c r="H895" s="36" t="n">
        <x:v>90988</x:v>
      </x:c>
      <x:c r="I895" s="36" t="n">
        <x:v>0</x:v>
      </x:c>
      <x:c r="J895" s="36" t="n">
        <x:v>0</x:v>
      </x:c>
      <x:c r="K895" s="36" t="n">
        <x:v>21160000</x:v>
      </x:c>
      <x:c r="L895" s="36" t="n">
        <x:v>0</x:v>
      </x:c>
      <x:c r="M895" s="38" t="n">
        <x:v>1.2484599589322383</x:v>
      </x:c>
      <x:c r="N895" s="36" t="n">
        <x:v>21160000</x:v>
      </x:c>
    </x:row>
    <x:row r="896" ht="20" customHeight="1">
      <x:c r="C896" s="1" t="n">
        <x:v>2</x:v>
      </x:c>
      <x:c r="D896" s="1" t="n">
        <x:v>7</x:v>
      </x:c>
      <x:c r="E896" s="1" t="n">
        <x:v>16</x:v>
      </x:c>
      <x:c r="F896" s="32" t="n">
        <x:v>46770</x:v>
      </x:c>
      <x:c r="G896" s="36" t="n">
        <x:v>21160000</x:v>
      </x:c>
      <x:c r="H896" s="36" t="n">
        <x:v>90988</x:v>
      </x:c>
      <x:c r="I896" s="36" t="n">
        <x:v>0</x:v>
      </x:c>
      <x:c r="J896" s="36" t="n">
        <x:v>0</x:v>
      </x:c>
      <x:c r="K896" s="36" t="n">
        <x:v>21160000</x:v>
      </x:c>
      <x:c r="L896" s="36" t="n">
        <x:v>0</x:v>
      </x:c>
      <x:c r="M896" s="38" t="n">
        <x:v>1.3415468856947297</x:v>
      </x:c>
      <x:c r="N896" s="36" t="n">
        <x:v>21160000</x:v>
      </x:c>
    </x:row>
    <x:row r="897" ht="20" customHeight="1">
      <x:c r="C897" s="1" t="n">
        <x:v>2</x:v>
      </x:c>
      <x:c r="D897" s="1" t="n">
        <x:v>7</x:v>
      </x:c>
      <x:c r="E897" s="1" t="n">
        <x:v>17</x:v>
      </x:c>
      <x:c r="F897" s="32" t="n">
        <x:v>46798</x:v>
      </x:c>
      <x:c r="G897" s="36" t="n">
        <x:v>21160000</x:v>
      </x:c>
      <x:c r="H897" s="36" t="n">
        <x:v>90988</x:v>
      </x:c>
      <x:c r="I897" s="36" t="n">
        <x:v>0</x:v>
      </x:c>
      <x:c r="J897" s="36" t="n">
        <x:v>0</x:v>
      </x:c>
      <x:c r="K897" s="36" t="n">
        <x:v>21160000</x:v>
      </x:c>
      <x:c r="L897" s="36" t="n">
        <x:v>0</x:v>
      </x:c>
      <x:c r="M897" s="38" t="n">
        <x:v>1.4182067077344285</x:v>
      </x:c>
      <x:c r="N897" s="36" t="n">
        <x:v>21160000</x:v>
      </x:c>
    </x:row>
    <x:row r="898" ht="20" customHeight="1">
      <x:c r="C898" s="1" t="n">
        <x:v>2</x:v>
      </x:c>
      <x:c r="D898" s="1" t="n">
        <x:v>7</x:v>
      </x:c>
      <x:c r="E898" s="1" t="n">
        <x:v>18</x:v>
      </x:c>
      <x:c r="F898" s="32" t="n">
        <x:v>46827</x:v>
      </x:c>
      <x:c r="G898" s="36" t="n">
        <x:v>21160000</x:v>
      </x:c>
      <x:c r="H898" s="36" t="n">
        <x:v>90988</x:v>
      </x:c>
      <x:c r="I898" s="36" t="n">
        <x:v>0</x:v>
      </x:c>
      <x:c r="J898" s="36" t="n">
        <x:v>0</x:v>
      </x:c>
      <x:c r="K898" s="36" t="n">
        <x:v>21160000</x:v>
      </x:c>
      <x:c r="L898" s="36" t="n">
        <x:v>0</x:v>
      </x:c>
      <x:c r="M898" s="38" t="n">
        <x:v>1.4976043805612593</x:v>
      </x:c>
      <x:c r="N898" s="36" t="n">
        <x:v>21160000</x:v>
      </x:c>
    </x:row>
    <x:row r="899" ht="20" customHeight="1">
      <x:c r="C899" s="1" t="n">
        <x:v>2</x:v>
      </x:c>
      <x:c r="D899" s="1" t="n">
        <x:v>7</x:v>
      </x:c>
      <x:c r="E899" s="1" t="n">
        <x:v>19</x:v>
      </x:c>
      <x:c r="F899" s="32" t="n">
        <x:v>46860</x:v>
      </x:c>
      <x:c r="G899" s="36" t="n">
        <x:v>21160000</x:v>
      </x:c>
      <x:c r="H899" s="36" t="n">
        <x:v>90988</x:v>
      </x:c>
      <x:c r="I899" s="36" t="n">
        <x:v>0</x:v>
      </x:c>
      <x:c r="J899" s="36" t="n">
        <x:v>0</x:v>
      </x:c>
      <x:c r="K899" s="36" t="n">
        <x:v>21160000</x:v>
      </x:c>
      <x:c r="L899" s="36" t="n">
        <x:v>0</x:v>
      </x:c>
      <x:c r="M899" s="38" t="n">
        <x:v>1.5879534565366187</x:v>
      </x:c>
      <x:c r="N899" s="36" t="n">
        <x:v>21160000</x:v>
      </x:c>
    </x:row>
    <x:row r="900" ht="20" customHeight="1">
      <x:c r="C900" s="1" t="n">
        <x:v>2</x:v>
      </x:c>
      <x:c r="D900" s="1" t="n">
        <x:v>7</x:v>
      </x:c>
      <x:c r="E900" s="1" t="n">
        <x:v>20</x:v>
      </x:c>
      <x:c r="F900" s="32" t="n">
        <x:v>46888</x:v>
      </x:c>
      <x:c r="G900" s="36" t="n">
        <x:v>21160000</x:v>
      </x:c>
      <x:c r="H900" s="36" t="n">
        <x:v>90988</x:v>
      </x:c>
      <x:c r="I900" s="36" t="n">
        <x:v>0</x:v>
      </x:c>
      <x:c r="J900" s="36" t="n">
        <x:v>0</x:v>
      </x:c>
      <x:c r="K900" s="36" t="n">
        <x:v>21160000</x:v>
      </x:c>
      <x:c r="L900" s="36" t="n">
        <x:v>0</x:v>
      </x:c>
      <x:c r="M900" s="38" t="n">
        <x:v>1.6646132785763177</x:v>
      </x:c>
      <x:c r="N900" s="36" t="n">
        <x:v>21160000</x:v>
      </x:c>
    </x:row>
    <x:row r="901" ht="20" customHeight="1">
      <x:c r="C901" s="1" t="n">
        <x:v>2</x:v>
      </x:c>
      <x:c r="D901" s="1" t="n">
        <x:v>7</x:v>
      </x:c>
      <x:c r="E901" s="1" t="n">
        <x:v>21</x:v>
      </x:c>
      <x:c r="F901" s="32" t="n">
        <x:v>46919</x:v>
      </x:c>
      <x:c r="G901" s="36" t="n">
        <x:v>21160000</x:v>
      </x:c>
      <x:c r="H901" s="36" t="n">
        <x:v>90988</x:v>
      </x:c>
      <x:c r="I901" s="36" t="n">
        <x:v>0</x:v>
      </x:c>
      <x:c r="J901" s="36" t="n">
        <x:v>0</x:v>
      </x:c>
      <x:c r="K901" s="36" t="n">
        <x:v>21160000</x:v>
      </x:c>
      <x:c r="L901" s="36" t="n">
        <x:v>0</x:v>
      </x:c>
      <x:c r="M901" s="38" t="n">
        <x:v>1.7494866529774127</x:v>
      </x:c>
      <x:c r="N901" s="36" t="n">
        <x:v>21160000</x:v>
      </x:c>
    </x:row>
    <x:row r="902" ht="20" customHeight="1">
      <x:c r="C902" s="1" t="n">
        <x:v>2</x:v>
      </x:c>
      <x:c r="D902" s="1" t="n">
        <x:v>7</x:v>
      </x:c>
      <x:c r="E902" s="1" t="n">
        <x:v>22</x:v>
      </x:c>
      <x:c r="F902" s="32" t="n">
        <x:v>46951</x:v>
      </x:c>
      <x:c r="G902" s="36" t="n">
        <x:v>21160000</x:v>
      </x:c>
      <x:c r="H902" s="36" t="n">
        <x:v>90988</x:v>
      </x:c>
      <x:c r="I902" s="36" t="n">
        <x:v>0</x:v>
      </x:c>
      <x:c r="J902" s="36" t="n">
        <x:v>0</x:v>
      </x:c>
      <x:c r="K902" s="36" t="n">
        <x:v>21160000</x:v>
      </x:c>
      <x:c r="L902" s="36" t="n">
        <x:v>0</x:v>
      </x:c>
      <x:c r="M902" s="38" t="n">
        <x:v>1.83709787816564</x:v>
      </x:c>
      <x:c r="N902" s="36" t="n">
        <x:v>21160000</x:v>
      </x:c>
    </x:row>
    <x:row r="903" ht="20" customHeight="1">
      <x:c r="C903" s="1" t="n">
        <x:v>2</x:v>
      </x:c>
      <x:c r="D903" s="1" t="n">
        <x:v>7</x:v>
      </x:c>
      <x:c r="E903" s="1" t="n">
        <x:v>23</x:v>
      </x:c>
      <x:c r="F903" s="32" t="n">
        <x:v>46980</x:v>
      </x:c>
      <x:c r="G903" s="36" t="n">
        <x:v>21160000</x:v>
      </x:c>
      <x:c r="H903" s="36" t="n">
        <x:v>90988</x:v>
      </x:c>
      <x:c r="I903" s="36" t="n">
        <x:v>0</x:v>
      </x:c>
      <x:c r="J903" s="36" t="n">
        <x:v>0</x:v>
      </x:c>
      <x:c r="K903" s="36" t="n">
        <x:v>21160000</x:v>
      </x:c>
      <x:c r="L903" s="36" t="n">
        <x:v>0</x:v>
      </x:c>
      <x:c r="M903" s="38" t="n">
        <x:v>1.9164955509924708</x:v>
      </x:c>
      <x:c r="N903" s="36" t="n">
        <x:v>21160000</x:v>
      </x:c>
    </x:row>
    <x:row r="904" ht="20" customHeight="1">
      <x:c r="C904" s="1" t="n">
        <x:v>2</x:v>
      </x:c>
      <x:c r="D904" s="1" t="n">
        <x:v>7</x:v>
      </x:c>
      <x:c r="E904" s="1" t="n">
        <x:v>24</x:v>
      </x:c>
      <x:c r="F904" s="32" t="n">
        <x:v>47011</x:v>
      </x:c>
      <x:c r="G904" s="36" t="n">
        <x:v>21160000</x:v>
      </x:c>
      <x:c r="H904" s="36" t="n">
        <x:v>90988</x:v>
      </x:c>
      <x:c r="I904" s="36" t="n">
        <x:v>0</x:v>
      </x:c>
      <x:c r="J904" s="36" t="n">
        <x:v>0</x:v>
      </x:c>
      <x:c r="K904" s="36" t="n">
        <x:v>21160000</x:v>
      </x:c>
      <x:c r="L904" s="36" t="n">
        <x:v>0</x:v>
      </x:c>
      <x:c r="M904" s="38" t="n">
        <x:v>2.001368925393566</x:v>
      </x:c>
      <x:c r="N904" s="36" t="n">
        <x:v>21160000</x:v>
      </x:c>
    </x:row>
    <x:row r="905" ht="20" customHeight="1">
      <x:c r="C905" s="1" t="n">
        <x:v>2</x:v>
      </x:c>
      <x:c r="D905" s="1" t="n">
        <x:v>7</x:v>
      </x:c>
      <x:c r="E905" s="1" t="n">
        <x:v>25</x:v>
      </x:c>
      <x:c r="F905" s="32" t="n">
        <x:v>47042</x:v>
      </x:c>
      <x:c r="G905" s="36" t="n">
        <x:v>21160000</x:v>
      </x:c>
      <x:c r="H905" s="36" t="n">
        <x:v>90988</x:v>
      </x:c>
      <x:c r="I905" s="36" t="n">
        <x:v>0</x:v>
      </x:c>
      <x:c r="J905" s="36" t="n">
        <x:v>0</x:v>
      </x:c>
      <x:c r="K905" s="36" t="n">
        <x:v>21160000</x:v>
      </x:c>
      <x:c r="L905" s="36" t="n">
        <x:v>0</x:v>
      </x:c>
      <x:c r="M905" s="38" t="n">
        <x:v>2.086242299794661</x:v>
      </x:c>
      <x:c r="N905" s="36" t="n">
        <x:v>21160000</x:v>
      </x:c>
    </x:row>
    <x:row r="906" ht="20" customHeight="1">
      <x:c r="C906" s="1" t="n">
        <x:v>2</x:v>
      </x:c>
      <x:c r="D906" s="1" t="n">
        <x:v>7</x:v>
      </x:c>
      <x:c r="E906" s="1" t="n">
        <x:v>26</x:v>
      </x:c>
      <x:c r="F906" s="32" t="n">
        <x:v>47072</x:v>
      </x:c>
      <x:c r="G906" s="36" t="n">
        <x:v>21160000</x:v>
      </x:c>
      <x:c r="H906" s="36" t="n">
        <x:v>90988</x:v>
      </x:c>
      <x:c r="I906" s="36" t="n">
        <x:v>0</x:v>
      </x:c>
      <x:c r="J906" s="36" t="n">
        <x:v>0</x:v>
      </x:c>
      <x:c r="K906" s="36" t="n">
        <x:v>21160000</x:v>
      </x:c>
      <x:c r="L906" s="36" t="n">
        <x:v>0</x:v>
      </x:c>
      <x:c r="M906" s="38" t="n">
        <x:v>2.1683778234086244</x:v>
      </x:c>
      <x:c r="N906" s="36" t="n">
        <x:v>21160000</x:v>
      </x:c>
    </x:row>
    <x:row r="907" ht="20" customHeight="1">
      <x:c r="C907" s="1" t="n">
        <x:v>2</x:v>
      </x:c>
      <x:c r="D907" s="1" t="n">
        <x:v>7</x:v>
      </x:c>
      <x:c r="E907" s="1" t="n">
        <x:v>27</x:v>
      </x:c>
      <x:c r="F907" s="32" t="n">
        <x:v>47102</x:v>
      </x:c>
      <x:c r="G907" s="36" t="n">
        <x:v>21160000</x:v>
      </x:c>
      <x:c r="H907" s="36" t="n">
        <x:v>90988</x:v>
      </x:c>
      <x:c r="I907" s="36" t="n">
        <x:v>0</x:v>
      </x:c>
      <x:c r="J907" s="36" t="n">
        <x:v>0</x:v>
      </x:c>
      <x:c r="K907" s="36" t="n">
        <x:v>21160000</x:v>
      </x:c>
      <x:c r="L907" s="36" t="n">
        <x:v>0</x:v>
      </x:c>
      <x:c r="M907" s="38" t="n">
        <x:v>2.2505133470225873</x:v>
      </x:c>
      <x:c r="N907" s="36" t="n">
        <x:v>21160000</x:v>
      </x:c>
    </x:row>
    <x:row r="908" ht="20" customHeight="1">
      <x:c r="C908" s="1" t="n">
        <x:v>2</x:v>
      </x:c>
      <x:c r="D908" s="1" t="n">
        <x:v>7</x:v>
      </x:c>
      <x:c r="E908" s="1" t="n">
        <x:v>28</x:v>
      </x:c>
      <x:c r="F908" s="32" t="n">
        <x:v>47134</x:v>
      </x:c>
      <x:c r="G908" s="36" t="n">
        <x:v>21160000</x:v>
      </x:c>
      <x:c r="H908" s="36" t="n">
        <x:v>90988</x:v>
      </x:c>
      <x:c r="I908" s="36" t="n">
        <x:v>0</x:v>
      </x:c>
      <x:c r="J908" s="36" t="n">
        <x:v>0</x:v>
      </x:c>
      <x:c r="K908" s="36" t="n">
        <x:v>21160000</x:v>
      </x:c>
      <x:c r="L908" s="36" t="n">
        <x:v>0</x:v>
      </x:c>
      <x:c r="M908" s="38" t="n">
        <x:v>2.3381245722108144</x:v>
      </x:c>
      <x:c r="N908" s="36" t="n">
        <x:v>21160000</x:v>
      </x:c>
    </x:row>
    <x:row r="909" ht="20" customHeight="1">
      <x:c r="C909" s="1" t="n">
        <x:v>2</x:v>
      </x:c>
      <x:c r="D909" s="1" t="n">
        <x:v>7</x:v>
      </x:c>
      <x:c r="E909" s="1" t="n">
        <x:v>29</x:v>
      </x:c>
      <x:c r="F909" s="32" t="n">
        <x:v>47164</x:v>
      </x:c>
      <x:c r="G909" s="36" t="n">
        <x:v>21160000</x:v>
      </x:c>
      <x:c r="H909" s="36" t="n">
        <x:v>90988</x:v>
      </x:c>
      <x:c r="I909" s="36" t="n">
        <x:v>0</x:v>
      </x:c>
      <x:c r="J909" s="36" t="n">
        <x:v>0</x:v>
      </x:c>
      <x:c r="K909" s="36" t="n">
        <x:v>21160000</x:v>
      </x:c>
      <x:c r="L909" s="36" t="n">
        <x:v>0</x:v>
      </x:c>
      <x:c r="M909" s="38" t="n">
        <x:v>2.4202600958247777</x:v>
      </x:c>
      <x:c r="N909" s="36" t="n">
        <x:v>21160000</x:v>
      </x:c>
    </x:row>
    <x:row r="910" ht="20" customHeight="1">
      <x:c r="C910" s="1" t="n">
        <x:v>2</x:v>
      </x:c>
      <x:c r="D910" s="1" t="n">
        <x:v>7</x:v>
      </x:c>
      <x:c r="E910" s="1" t="n">
        <x:v>30</x:v>
      </x:c>
      <x:c r="F910" s="32" t="n">
        <x:v>47192</x:v>
      </x:c>
      <x:c r="G910" s="36" t="n">
        <x:v>21160000</x:v>
      </x:c>
      <x:c r="H910" s="36" t="n">
        <x:v>90988</x:v>
      </x:c>
      <x:c r="I910" s="36" t="n">
        <x:v>0</x:v>
      </x:c>
      <x:c r="J910" s="36" t="n">
        <x:v>0</x:v>
      </x:c>
      <x:c r="K910" s="36" t="n">
        <x:v>21160000</x:v>
      </x:c>
      <x:c r="L910" s="36" t="n">
        <x:v>0</x:v>
      </x:c>
      <x:c r="M910" s="38" t="n">
        <x:v>2.4969199178644765</x:v>
      </x:c>
      <x:c r="N910" s="36" t="n">
        <x:v>21160000</x:v>
      </x:c>
    </x:row>
    <x:row r="911" ht="20" customHeight="1">
      <x:c r="C911" s="1" t="n">
        <x:v>2</x:v>
      </x:c>
      <x:c r="D911" s="1" t="n">
        <x:v>7</x:v>
      </x:c>
      <x:c r="E911" s="1" t="n">
        <x:v>31</x:v>
      </x:c>
      <x:c r="F911" s="32" t="n">
        <x:v>47224</x:v>
      </x:c>
      <x:c r="G911" s="36" t="n">
        <x:v>21160000</x:v>
      </x:c>
      <x:c r="H911" s="36" t="n">
        <x:v>90988</x:v>
      </x:c>
      <x:c r="I911" s="36" t="n">
        <x:v>0</x:v>
      </x:c>
      <x:c r="J911" s="36" t="n">
        <x:v>0</x:v>
      </x:c>
      <x:c r="K911" s="36" t="n">
        <x:v>21160000</x:v>
      </x:c>
      <x:c r="L911" s="36" t="n">
        <x:v>0</x:v>
      </x:c>
      <x:c r="M911" s="38" t="n">
        <x:v>2.5845311430527036</x:v>
      </x:c>
      <x:c r="N911" s="36" t="n">
        <x:v>21160000</x:v>
      </x:c>
    </x:row>
    <x:row r="912" ht="20" customHeight="1">
      <x:c r="C912" s="1" t="n">
        <x:v>2</x:v>
      </x:c>
      <x:c r="D912" s="1" t="n">
        <x:v>7</x:v>
      </x:c>
      <x:c r="E912" s="1" t="n">
        <x:v>32</x:v>
      </x:c>
      <x:c r="F912" s="32" t="n">
        <x:v>47253</x:v>
      </x:c>
      <x:c r="G912" s="36" t="n">
        <x:v>21160000</x:v>
      </x:c>
      <x:c r="H912" s="36" t="n">
        <x:v>90988</x:v>
      </x:c>
      <x:c r="I912" s="36" t="n">
        <x:v>0</x:v>
      </x:c>
      <x:c r="J912" s="36" t="n">
        <x:v>0</x:v>
      </x:c>
      <x:c r="K912" s="36" t="n">
        <x:v>21160000</x:v>
      </x:c>
      <x:c r="L912" s="36" t="n">
        <x:v>0</x:v>
      </x:c>
      <x:c r="M912" s="38" t="n">
        <x:v>2.6639288158795345</x:v>
      </x:c>
      <x:c r="N912" s="36" t="n">
        <x:v>21160000</x:v>
      </x:c>
    </x:row>
    <x:row r="913" ht="20" customHeight="1">
      <x:c r="C913" s="1" t="n">
        <x:v>2</x:v>
      </x:c>
      <x:c r="D913" s="1" t="n">
        <x:v>7</x:v>
      </x:c>
      <x:c r="E913" s="1" t="n">
        <x:v>33</x:v>
      </x:c>
      <x:c r="F913" s="32" t="n">
        <x:v>47284</x:v>
      </x:c>
      <x:c r="G913" s="36" t="n">
        <x:v>21160000</x:v>
      </x:c>
      <x:c r="H913" s="36" t="n">
        <x:v>90988</x:v>
      </x:c>
      <x:c r="I913" s="36" t="n">
        <x:v>0</x:v>
      </x:c>
      <x:c r="J913" s="36" t="n">
        <x:v>0</x:v>
      </x:c>
      <x:c r="K913" s="36" t="n">
        <x:v>21160000</x:v>
      </x:c>
      <x:c r="L913" s="36" t="n">
        <x:v>0</x:v>
      </x:c>
      <x:c r="M913" s="38" t="n">
        <x:v>2.74880219028063</x:v>
      </x:c>
      <x:c r="N913" s="36" t="n">
        <x:v>21160000</x:v>
      </x:c>
    </x:row>
    <x:row r="914" ht="20" customHeight="1">
      <x:c r="C914" s="1" t="n">
        <x:v>2</x:v>
      </x:c>
      <x:c r="D914" s="1" t="n">
        <x:v>7</x:v>
      </x:c>
      <x:c r="E914" s="1" t="n">
        <x:v>34</x:v>
      </x:c>
      <x:c r="F914" s="32" t="n">
        <x:v>47315</x:v>
      </x:c>
      <x:c r="G914" s="36" t="n">
        <x:v>21160000</x:v>
      </x:c>
      <x:c r="H914" s="36" t="n">
        <x:v>90988</x:v>
      </x:c>
      <x:c r="I914" s="36" t="n">
        <x:v>0</x:v>
      </x:c>
      <x:c r="J914" s="36" t="n">
        <x:v>0</x:v>
      </x:c>
      <x:c r="K914" s="36" t="n">
        <x:v>21160000</x:v>
      </x:c>
      <x:c r="L914" s="36" t="n">
        <x:v>0</x:v>
      </x:c>
      <x:c r="M914" s="38" t="n">
        <x:v>2.833675564681725</x:v>
      </x:c>
      <x:c r="N914" s="36" t="n">
        <x:v>21160000</x:v>
      </x:c>
    </x:row>
    <x:row r="915" ht="20" customHeight="1">
      <x:c r="C915" s="1" t="n">
        <x:v>2</x:v>
      </x:c>
      <x:c r="D915" s="1" t="n">
        <x:v>7</x:v>
      </x:c>
      <x:c r="E915" s="1" t="n">
        <x:v>35</x:v>
      </x:c>
      <x:c r="F915" s="32" t="n">
        <x:v>47345</x:v>
      </x:c>
      <x:c r="G915" s="36" t="n">
        <x:v>21160000</x:v>
      </x:c>
      <x:c r="H915" s="36" t="n">
        <x:v>90988</x:v>
      </x:c>
      <x:c r="I915" s="36" t="n">
        <x:v>0</x:v>
      </x:c>
      <x:c r="J915" s="36" t="n">
        <x:v>0</x:v>
      </x:c>
      <x:c r="K915" s="36" t="n">
        <x:v>21160000</x:v>
      </x:c>
      <x:c r="L915" s="36" t="n">
        <x:v>0</x:v>
      </x:c>
      <x:c r="M915" s="38" t="n">
        <x:v>2.915811088295688</x:v>
      </x:c>
      <x:c r="N915" s="36" t="n">
        <x:v>21160000</x:v>
      </x:c>
    </x:row>
    <x:row r="916" ht="20" customHeight="1">
      <x:c r="C916" s="1" t="n">
        <x:v>2</x:v>
      </x:c>
      <x:c r="D916" s="1" t="n">
        <x:v>7</x:v>
      </x:c>
      <x:c r="E916" s="1" t="n">
        <x:v>36</x:v>
      </x:c>
      <x:c r="F916" s="32" t="n">
        <x:v>47378</x:v>
      </x:c>
      <x:c r="G916" s="36" t="n">
        <x:v>21160000</x:v>
      </x:c>
      <x:c r="H916" s="36" t="n">
        <x:v>90988</x:v>
      </x:c>
      <x:c r="I916" s="36" t="n">
        <x:v>0</x:v>
      </x:c>
      <x:c r="J916" s="36" t="n">
        <x:v>0</x:v>
      </x:c>
      <x:c r="K916" s="36" t="n">
        <x:v>21160000</x:v>
      </x:c>
      <x:c r="L916" s="36" t="n">
        <x:v>0</x:v>
      </x:c>
      <x:c r="M916" s="38" t="n">
        <x:v>3.0061601642710474</x:v>
      </x:c>
      <x:c r="N916" s="36" t="n">
        <x:v>21160000</x:v>
      </x:c>
    </x:row>
    <x:row r="917" ht="20" customHeight="1">
      <x:c r="C917" s="1" t="n">
        <x:v>2</x:v>
      </x:c>
      <x:c r="D917" s="1" t="n">
        <x:v>7</x:v>
      </x:c>
      <x:c r="E917" s="1" t="n">
        <x:v>37</x:v>
      </x:c>
      <x:c r="F917" s="32" t="n">
        <x:v>47406</x:v>
      </x:c>
      <x:c r="G917" s="36" t="n">
        <x:v>21160000</x:v>
      </x:c>
      <x:c r="H917" s="36" t="n">
        <x:v>90988</x:v>
      </x:c>
      <x:c r="I917" s="36" t="n">
        <x:v>0</x:v>
      </x:c>
      <x:c r="J917" s="36" t="n">
        <x:v>0</x:v>
      </x:c>
      <x:c r="K917" s="36" t="n">
        <x:v>21160000</x:v>
      </x:c>
      <x:c r="L917" s="36" t="n">
        <x:v>0</x:v>
      </x:c>
      <x:c r="M917" s="38" t="n">
        <x:v>3.082819986310746</x:v>
      </x:c>
      <x:c r="N917" s="36" t="n">
        <x:v>21160000</x:v>
      </x:c>
    </x:row>
    <x:row r="918" ht="20" customHeight="1">
      <x:c r="C918" s="1" t="n">
        <x:v>2</x:v>
      </x:c>
      <x:c r="D918" s="1" t="n">
        <x:v>7</x:v>
      </x:c>
      <x:c r="E918" s="1" t="n">
        <x:v>38</x:v>
      </x:c>
      <x:c r="F918" s="32" t="n">
        <x:v>47437</x:v>
      </x:c>
      <x:c r="G918" s="36" t="n">
        <x:v>21160000</x:v>
      </x:c>
      <x:c r="H918" s="36" t="n">
        <x:v>90988</x:v>
      </x:c>
      <x:c r="I918" s="36" t="n">
        <x:v>0</x:v>
      </x:c>
      <x:c r="J918" s="36" t="n">
        <x:v>0</x:v>
      </x:c>
      <x:c r="K918" s="36" t="n">
        <x:v>21160000</x:v>
      </x:c>
      <x:c r="L918" s="36" t="n">
        <x:v>0</x:v>
      </x:c>
      <x:c r="M918" s="38" t="n">
        <x:v>3.167693360711841</x:v>
      </x:c>
      <x:c r="N918" s="36" t="n">
        <x:v>21160000</x:v>
      </x:c>
    </x:row>
    <x:row r="919" ht="20" customHeight="1">
      <x:c r="C919" s="1" t="n">
        <x:v>2</x:v>
      </x:c>
      <x:c r="D919" s="1" t="n">
        <x:v>7</x:v>
      </x:c>
      <x:c r="E919" s="1" t="n">
        <x:v>39</x:v>
      </x:c>
      <x:c r="F919" s="32" t="n">
        <x:v>47469</x:v>
      </x:c>
      <x:c r="G919" s="36" t="n">
        <x:v>21160000</x:v>
      </x:c>
      <x:c r="H919" s="36" t="n">
        <x:v>90988</x:v>
      </x:c>
      <x:c r="I919" s="36" t="n">
        <x:v>0</x:v>
      </x:c>
      <x:c r="J919" s="36" t="n">
        <x:v>0</x:v>
      </x:c>
      <x:c r="K919" s="36" t="n">
        <x:v>21160000</x:v>
      </x:c>
      <x:c r="L919" s="36" t="n">
        <x:v>0</x:v>
      </x:c>
      <x:c r="M919" s="38" t="n">
        <x:v>3.2553045859000687</x:v>
      </x:c>
      <x:c r="N919" s="36" t="n">
        <x:v>21160000</x:v>
      </x:c>
    </x:row>
    <x:row r="920" ht="20" customHeight="1">
      <x:c r="C920" s="1" t="n">
        <x:v>2</x:v>
      </x:c>
      <x:c r="D920" s="1" t="n">
        <x:v>7</x:v>
      </x:c>
      <x:c r="E920" s="1" t="n">
        <x:v>40</x:v>
      </x:c>
      <x:c r="F920" s="32" t="n">
        <x:v>47498</x:v>
      </x:c>
      <x:c r="G920" s="36" t="n">
        <x:v>21160000</x:v>
      </x:c>
      <x:c r="H920" s="36" t="n">
        <x:v>90988</x:v>
      </x:c>
      <x:c r="I920" s="36" t="n">
        <x:v>0</x:v>
      </x:c>
      <x:c r="J920" s="36" t="n">
        <x:v>0</x:v>
      </x:c>
      <x:c r="K920" s="36" t="n">
        <x:v>21160000</x:v>
      </x:c>
      <x:c r="L920" s="36" t="n">
        <x:v>0</x:v>
      </x:c>
      <x:c r="M920" s="38" t="n">
        <x:v>3.3347022587268995</x:v>
      </x:c>
      <x:c r="N920" s="36" t="n">
        <x:v>21160000</x:v>
      </x:c>
    </x:row>
    <x:row r="921" ht="20" customHeight="1">
      <x:c r="C921" s="1" t="n">
        <x:v>2</x:v>
      </x:c>
      <x:c r="D921" s="1" t="n">
        <x:v>7</x:v>
      </x:c>
      <x:c r="E921" s="1" t="n">
        <x:v>41</x:v>
      </x:c>
      <x:c r="F921" s="32" t="n">
        <x:v>47529</x:v>
      </x:c>
      <x:c r="G921" s="36" t="n">
        <x:v>21160000</x:v>
      </x:c>
      <x:c r="H921" s="36" t="n">
        <x:v>90988</x:v>
      </x:c>
      <x:c r="I921" s="36" t="n">
        <x:v>0</x:v>
      </x:c>
      <x:c r="J921" s="36" t="n">
        <x:v>0</x:v>
      </x:c>
      <x:c r="K921" s="36" t="n">
        <x:v>21160000</x:v>
      </x:c>
      <x:c r="L921" s="36" t="n">
        <x:v>0</x:v>
      </x:c>
      <x:c r="M921" s="38" t="n">
        <x:v>3.4195756331279945</x:v>
      </x:c>
      <x:c r="N921" s="36" t="n">
        <x:v>21160000</x:v>
      </x:c>
    </x:row>
    <x:row r="922" ht="20" customHeight="1">
      <x:c r="C922" s="1" t="n">
        <x:v>2</x:v>
      </x:c>
      <x:c r="D922" s="1" t="n">
        <x:v>7</x:v>
      </x:c>
      <x:c r="E922" s="1" t="n">
        <x:v>42</x:v>
      </x:c>
      <x:c r="F922" s="32" t="n">
        <x:v>47557</x:v>
      </x:c>
      <x:c r="G922" s="36" t="n">
        <x:v>21160000</x:v>
      </x:c>
      <x:c r="H922" s="36" t="n">
        <x:v>90988</x:v>
      </x:c>
      <x:c r="I922" s="36" t="n">
        <x:v>0</x:v>
      </x:c>
      <x:c r="J922" s="36" t="n">
        <x:v>0</x:v>
      </x:c>
      <x:c r="K922" s="36" t="n">
        <x:v>21160000</x:v>
      </x:c>
      <x:c r="L922" s="36" t="n">
        <x:v>0</x:v>
      </x:c>
      <x:c r="M922" s="38" t="n">
        <x:v>3.4962354551676933</x:v>
      </x:c>
      <x:c r="N922" s="36" t="n">
        <x:v>21160000</x:v>
      </x:c>
    </x:row>
    <x:row r="923" ht="20" customHeight="1">
      <x:c r="C923" s="1" t="n">
        <x:v>2</x:v>
      </x:c>
      <x:c r="D923" s="1" t="n">
        <x:v>7</x:v>
      </x:c>
      <x:c r="E923" s="1" t="n">
        <x:v>43</x:v>
      </x:c>
      <x:c r="F923" s="32" t="n">
        <x:v>47588</x:v>
      </x:c>
      <x:c r="G923" s="36" t="n">
        <x:v>21160000</x:v>
      </x:c>
      <x:c r="H923" s="36" t="n">
        <x:v>90988</x:v>
      </x:c>
      <x:c r="I923" s="36" t="n">
        <x:v>0</x:v>
      </x:c>
      <x:c r="J923" s="36" t="n">
        <x:v>0</x:v>
      </x:c>
      <x:c r="K923" s="36" t="n">
        <x:v>21160000</x:v>
      </x:c>
      <x:c r="L923" s="36" t="n">
        <x:v>0</x:v>
      </x:c>
      <x:c r="M923" s="38" t="n">
        <x:v>3.5811088295687883</x:v>
      </x:c>
      <x:c r="N923" s="36" t="n">
        <x:v>21160000</x:v>
      </x:c>
    </x:row>
    <x:row r="924" ht="20" customHeight="1">
      <x:c r="C924" s="1" t="n">
        <x:v>2</x:v>
      </x:c>
      <x:c r="D924" s="1" t="n">
        <x:v>7</x:v>
      </x:c>
      <x:c r="E924" s="1" t="n">
        <x:v>44</x:v>
      </x:c>
      <x:c r="F924" s="32" t="n">
        <x:v>47618</x:v>
      </x:c>
      <x:c r="G924" s="36" t="n">
        <x:v>21160000</x:v>
      </x:c>
      <x:c r="H924" s="36" t="n">
        <x:v>90988</x:v>
      </x:c>
      <x:c r="I924" s="36" t="n">
        <x:v>6441330.5</x:v>
      </x:c>
      <x:c r="J924" s="36" t="n">
        <x:v>0</x:v>
      </x:c>
      <x:c r="K924" s="36" t="n">
        <x:v>14718669.5</x:v>
      </x:c>
      <x:c r="L924" s="36" t="n">
        <x:v>0</x:v>
      </x:c>
      <x:c r="M924" s="38" t="n">
        <x:v>3.6632443531827517</x:v>
      </x:c>
      <x:c r="N924" s="36" t="n">
        <x:v>14718669.5</x:v>
      </x:c>
    </x:row>
    <x:row r="925" ht="20" customHeight="1">
      <x:c r="C925" s="1" t="n">
        <x:v>2</x:v>
      </x:c>
      <x:c r="D925" s="1" t="n">
        <x:v>7</x:v>
      </x:c>
      <x:c r="E925" s="1" t="n">
        <x:v>45</x:v>
      </x:c>
      <x:c r="F925" s="32" t="n">
        <x:v>47651</x:v>
      </x:c>
      <x:c r="G925" s="36" t="n">
        <x:v>14718669.5</x:v>
      </x:c>
      <x:c r="H925" s="36" t="n">
        <x:v>63290.28</x:v>
      </x:c>
      <x:c r="I925" s="36" t="n">
        <x:v>6288688.15</x:v>
      </x:c>
      <x:c r="J925" s="36" t="n">
        <x:v>0</x:v>
      </x:c>
      <x:c r="K925" s="36" t="n">
        <x:v>8429981.35</x:v>
      </x:c>
      <x:c r="L925" s="36" t="n">
        <x:v>0</x:v>
      </x:c>
      <x:c r="M925" s="38" t="n">
        <x:v>3.753593429158111</x:v>
      </x:c>
      <x:c r="N925" s="36" t="n">
        <x:v>8429981.35</x:v>
      </x:c>
    </x:row>
    <x:row r="926" ht="20" customHeight="1">
      <x:c r="C926" s="1" t="n">
        <x:v>2</x:v>
      </x:c>
      <x:c r="D926" s="1" t="n">
        <x:v>7</x:v>
      </x:c>
      <x:c r="E926" s="1" t="n">
        <x:v>46</x:v>
      </x:c>
      <x:c r="F926" s="32" t="n">
        <x:v>47679</x:v>
      </x:c>
      <x:c r="G926" s="36" t="n">
        <x:v>8429981.35</x:v>
      </x:c>
      <x:c r="H926" s="36" t="n">
        <x:v>36248.92</x:v>
      </x:c>
      <x:c r="I926" s="36" t="n">
        <x:v>5860884.01</x:v>
      </x:c>
      <x:c r="J926" s="36" t="n">
        <x:v>0</x:v>
      </x:c>
      <x:c r="K926" s="36" t="n">
        <x:v>2569097.34</x:v>
      </x:c>
      <x:c r="L926" s="36" t="n">
        <x:v>0</x:v>
      </x:c>
      <x:c r="M926" s="38" t="n">
        <x:v>3.8302532511978096</x:v>
      </x:c>
      <x:c r="N926" s="36" t="n">
        <x:v>2569097.34</x:v>
      </x:c>
    </x:row>
    <x:row r="927" ht="20" customHeight="1">
      <x:c r="C927" s="1" t="n">
        <x:v>2</x:v>
      </x:c>
      <x:c r="D927" s="1" t="n">
        <x:v>7</x:v>
      </x:c>
      <x:c r="E927" s="1" t="n">
        <x:v>47</x:v>
      </x:c>
      <x:c r="F927" s="32" t="n">
        <x:v>47710</x:v>
      </x:c>
      <x:c r="G927" s="36" t="n">
        <x:v>2569097.34</x:v>
      </x:c>
      <x:c r="H927" s="36" t="n">
        <x:v>11047.12</x:v>
      </x:c>
      <x:c r="I927" s="36" t="n">
        <x:v>2569097.34</x:v>
      </x:c>
      <x:c r="J927" s="36" t="n">
        <x:v>0</x:v>
      </x:c>
      <x:c r="K927" s="36" t="n">
        <x:v>0</x:v>
      </x:c>
      <x:c r="L927" s="36" t="n">
        <x:v>0</x:v>
      </x:c>
      <x:c r="M927" s="38" t="n">
        <x:v>3.915126625598905</x:v>
      </x:c>
      <x:c r="N927" s="36" t="n">
        <x:v>0</x:v>
      </x:c>
    </x:row>
    <x:row r="928" ht="20" customHeight="1">
      <x:c r="C928" s="1" t="n">
        <x:v>2</x:v>
      </x:c>
      <x:c r="D928" s="1" t="n">
        <x:v>7</x:v>
      </x:c>
      <x:c r="E928" s="1" t="n">
        <x:v>48</x:v>
      </x:c>
      <x:c r="F928" s="32" t="n">
        <x:v>47742</x:v>
      </x:c>
      <x:c r="G928" s="36" t="n">
        <x:v>0</x:v>
      </x:c>
      <x:c r="H928" s="36" t="n">
        <x:v>0</x:v>
      </x:c>
      <x:c r="I928" s="36" t="n">
        <x:v>0</x:v>
      </x:c>
      <x:c r="J928" s="36" t="n">
        <x:v>0</x:v>
      </x:c>
      <x:c r="K928" s="36" t="n">
        <x:v>0</x:v>
      </x:c>
      <x:c r="L928" s="36" t="n">
        <x:v>0</x:v>
      </x:c>
      <x:c r="M928" s="38" t="n">
        <x:v>4.002737850787132</x:v>
      </x:c>
      <x:c r="N928" s="36" t="n">
        <x:v>0</x:v>
      </x:c>
    </x:row>
    <x:row r="929" ht="20" customHeight="1">
      <x:c r="C929" s="1" t="n">
        <x:v>2</x:v>
      </x:c>
      <x:c r="D929" s="1" t="n">
        <x:v>7</x:v>
      </x:c>
      <x:c r="E929" s="1" t="n">
        <x:v>49</x:v>
      </x:c>
      <x:c r="F929" s="32" t="n">
        <x:v>47771</x:v>
      </x:c>
      <x:c r="G929" s="36" t="n">
        <x:v>0</x:v>
      </x:c>
      <x:c r="H929" s="36" t="n">
        <x:v>0</x:v>
      </x:c>
      <x:c r="I929" s="36" t="n">
        <x:v>0</x:v>
      </x:c>
      <x:c r="J929" s="36" t="n">
        <x:v>0</x:v>
      </x:c>
      <x:c r="K929" s="36" t="n">
        <x:v>0</x:v>
      </x:c>
      <x:c r="L929" s="36" t="n">
        <x:v>0</x:v>
      </x:c>
      <x:c r="M929" s="38" t="n">
        <x:v>4.082135523613963</x:v>
      </x:c>
      <x:c r="N929" s="36" t="n">
        <x:v>0</x:v>
      </x:c>
    </x:row>
    <x:row r="930" ht="20" customHeight="1">
      <x:c r="C930" s="1" t="n">
        <x:v>2</x:v>
      </x:c>
      <x:c r="D930" s="1" t="n">
        <x:v>7</x:v>
      </x:c>
      <x:c r="E930" s="1" t="n">
        <x:v>50</x:v>
      </x:c>
      <x:c r="F930" s="32" t="n">
        <x:v>47802</x:v>
      </x:c>
      <x:c r="G930" s="36" t="n">
        <x:v>0</x:v>
      </x:c>
      <x:c r="H930" s="36" t="n">
        <x:v>0</x:v>
      </x:c>
      <x:c r="I930" s="36" t="n">
        <x:v>0</x:v>
      </x:c>
      <x:c r="J930" s="36" t="n">
        <x:v>0</x:v>
      </x:c>
      <x:c r="K930" s="36" t="n">
        <x:v>0</x:v>
      </x:c>
      <x:c r="L930" s="36" t="n">
        <x:v>0</x:v>
      </x:c>
      <x:c r="M930" s="38" t="n">
        <x:v>4.167008898015058</x:v>
      </x:c>
      <x:c r="N930" s="36" t="n">
        <x:v>0</x:v>
      </x:c>
    </x:row>
    <x:row r="931" ht="20" customHeight="1">
      <x:c r="C931" s="1" t="n">
        <x:v>2</x:v>
      </x:c>
      <x:c r="D931" s="1" t="n">
        <x:v>7</x:v>
      </x:c>
      <x:c r="E931" s="1" t="n">
        <x:v>51</x:v>
      </x:c>
      <x:c r="F931" s="32" t="n">
        <x:v>47833</x:v>
      </x:c>
      <x:c r="G931" s="36" t="n">
        <x:v>0</x:v>
      </x:c>
      <x:c r="H931" s="36" t="n">
        <x:v>0</x:v>
      </x:c>
      <x:c r="I931" s="36" t="n">
        <x:v>0</x:v>
      </x:c>
      <x:c r="J931" s="36" t="n">
        <x:v>0</x:v>
      </x:c>
      <x:c r="K931" s="36" t="n">
        <x:v>0</x:v>
      </x:c>
      <x:c r="L931" s="36" t="n">
        <x:v>0</x:v>
      </x:c>
      <x:c r="M931" s="38" t="n">
        <x:v>4.251882272416153</x:v>
      </x:c>
      <x:c r="N931" s="36" t="n">
        <x:v>0</x:v>
      </x:c>
    </x:row>
    <x:row r="932" ht="20" customHeight="1">
      <x:c r="C932" s="1" t="n">
        <x:v>2</x:v>
      </x:c>
      <x:c r="D932" s="1" t="n">
        <x:v>7</x:v>
      </x:c>
      <x:c r="E932" s="1" t="n">
        <x:v>52</x:v>
      </x:c>
      <x:c r="F932" s="32" t="n">
        <x:v>47863</x:v>
      </x:c>
      <x:c r="G932" s="36" t="n">
        <x:v>0</x:v>
      </x:c>
      <x:c r="H932" s="36" t="n">
        <x:v>0</x:v>
      </x:c>
      <x:c r="I932" s="36" t="n">
        <x:v>0</x:v>
      </x:c>
      <x:c r="J932" s="36" t="n">
        <x:v>0</x:v>
      </x:c>
      <x:c r="K932" s="36" t="n">
        <x:v>0</x:v>
      </x:c>
      <x:c r="L932" s="36" t="n">
        <x:v>0</x:v>
      </x:c>
      <x:c r="M932" s="38" t="n">
        <x:v>4.334017796030117</x:v>
      </x:c>
      <x:c r="N932" s="36" t="n">
        <x:v>0</x:v>
      </x:c>
    </x:row>
    <x:row r="933" ht="20" customHeight="1">
      <x:c r="C933" s="1" t="n">
        <x:v>2</x:v>
      </x:c>
      <x:c r="D933" s="1" t="n">
        <x:v>7</x:v>
      </x:c>
      <x:c r="E933" s="1" t="n">
        <x:v>53</x:v>
      </x:c>
      <x:c r="F933" s="32" t="n">
        <x:v>47897</x:v>
      </x:c>
      <x:c r="G933" s="36" t="n">
        <x:v>0</x:v>
      </x:c>
      <x:c r="H933" s="36" t="n">
        <x:v>0</x:v>
      </x:c>
      <x:c r="I933" s="36" t="n">
        <x:v>0</x:v>
      </x:c>
      <x:c r="J933" s="36" t="n">
        <x:v>0</x:v>
      </x:c>
      <x:c r="K933" s="36" t="n">
        <x:v>0</x:v>
      </x:c>
      <x:c r="L933" s="36" t="n">
        <x:v>0</x:v>
      </x:c>
      <x:c r="M933" s="38" t="n">
        <x:v>4.427104722792608</x:v>
      </x:c>
      <x:c r="N933" s="36" t="n">
        <x:v>0</x:v>
      </x:c>
    </x:row>
    <x:row r="934" ht="20" customHeight="1">
      <x:c r="C934" s="1" t="n">
        <x:v>2</x:v>
      </x:c>
      <x:c r="D934" s="1" t="n">
        <x:v>7</x:v>
      </x:c>
      <x:c r="E934" s="1" t="n">
        <x:v>54</x:v>
      </x:c>
      <x:c r="F934" s="32" t="n">
        <x:v>47924</x:v>
      </x:c>
      <x:c r="G934" s="36" t="n">
        <x:v>0</x:v>
      </x:c>
      <x:c r="H934" s="36" t="n">
        <x:v>0</x:v>
      </x:c>
      <x:c r="I934" s="36" t="n">
        <x:v>0</x:v>
      </x:c>
      <x:c r="J934" s="36" t="n">
        <x:v>0</x:v>
      </x:c>
      <x:c r="K934" s="36" t="n">
        <x:v>0</x:v>
      </x:c>
      <x:c r="L934" s="36" t="n">
        <x:v>0</x:v>
      </x:c>
      <x:c r="M934" s="38" t="n">
        <x:v>4.501026694045175</x:v>
      </x:c>
      <x:c r="N934" s="36" t="n">
        <x:v>0</x:v>
      </x:c>
    </x:row>
    <x:row r="935" ht="20" customHeight="1">
      <x:c r="C935" s="1" t="n">
        <x:v>2</x:v>
      </x:c>
      <x:c r="D935" s="1" t="n">
        <x:v>7</x:v>
      </x:c>
      <x:c r="E935" s="1" t="n">
        <x:v>55</x:v>
      </x:c>
      <x:c r="F935" s="32" t="n">
        <x:v>47953</x:v>
      </x:c>
      <x:c r="G935" s="36" t="n">
        <x:v>0</x:v>
      </x:c>
      <x:c r="H935" s="36" t="n">
        <x:v>0</x:v>
      </x:c>
      <x:c r="I935" s="36" t="n">
        <x:v>0</x:v>
      </x:c>
      <x:c r="J935" s="36" t="n">
        <x:v>0</x:v>
      </x:c>
      <x:c r="K935" s="36" t="n">
        <x:v>0</x:v>
      </x:c>
      <x:c r="L935" s="36" t="n">
        <x:v>0</x:v>
      </x:c>
      <x:c r="M935" s="38" t="n">
        <x:v>4.5804243668720055</x:v>
      </x:c>
      <x:c r="N935" s="36" t="n">
        <x:v>0</x:v>
      </x:c>
    </x:row>
    <x:row r="936" ht="20" customHeight="1">
      <x:c r="C936" s="1" t="n">
        <x:v>2</x:v>
      </x:c>
      <x:c r="D936" s="1" t="n">
        <x:v>7</x:v>
      </x:c>
      <x:c r="E936" s="1" t="n">
        <x:v>56</x:v>
      </x:c>
      <x:c r="F936" s="32" t="n">
        <x:v>47983</x:v>
      </x:c>
      <x:c r="G936" s="36" t="n">
        <x:v>0</x:v>
      </x:c>
      <x:c r="H936" s="36" t="n">
        <x:v>0</x:v>
      </x:c>
      <x:c r="I936" s="36" t="n">
        <x:v>0</x:v>
      </x:c>
      <x:c r="J936" s="36" t="n">
        <x:v>0</x:v>
      </x:c>
      <x:c r="K936" s="36" t="n">
        <x:v>0</x:v>
      </x:c>
      <x:c r="L936" s="36" t="n">
        <x:v>0</x:v>
      </x:c>
      <x:c r="M936" s="38" t="n">
        <x:v>4.662559890485968</x:v>
      </x:c>
      <x:c r="N936" s="36" t="n">
        <x:v>0</x:v>
      </x:c>
    </x:row>
    <x:row r="937" ht="20" customHeight="1">
      <x:c r="C937" s="1" t="n">
        <x:v>2</x:v>
      </x:c>
      <x:c r="D937" s="1" t="n">
        <x:v>7</x:v>
      </x:c>
      <x:c r="E937" s="1" t="n">
        <x:v>57</x:v>
      </x:c>
      <x:c r="F937" s="32" t="n">
        <x:v>48015</x:v>
      </x:c>
      <x:c r="G937" s="36" t="n">
        <x:v>0</x:v>
      </x:c>
      <x:c r="H937" s="36" t="n">
        <x:v>0</x:v>
      </x:c>
      <x:c r="I937" s="36" t="n">
        <x:v>0</x:v>
      </x:c>
      <x:c r="J937" s="36" t="n">
        <x:v>0</x:v>
      </x:c>
      <x:c r="K937" s="36" t="n">
        <x:v>0</x:v>
      </x:c>
      <x:c r="L937" s="36" t="n">
        <x:v>0</x:v>
      </x:c>
      <x:c r="M937" s="38" t="n">
        <x:v>4.7501711156741955</x:v>
      </x:c>
      <x:c r="N937" s="36" t="n">
        <x:v>0</x:v>
      </x:c>
    </x:row>
    <x:row r="938" ht="20" customHeight="1">
      <x:c r="C938" s="1" t="n">
        <x:v>2</x:v>
      </x:c>
      <x:c r="D938" s="1" t="n">
        <x:v>7</x:v>
      </x:c>
      <x:c r="E938" s="1" t="n">
        <x:v>58</x:v>
      </x:c>
      <x:c r="F938" s="32" t="n">
        <x:v>48044</x:v>
      </x:c>
      <x:c r="G938" s="36" t="n">
        <x:v>0</x:v>
      </x:c>
      <x:c r="H938" s="36" t="n">
        <x:v>0</x:v>
      </x:c>
      <x:c r="I938" s="36" t="n">
        <x:v>0</x:v>
      </x:c>
      <x:c r="J938" s="36" t="n">
        <x:v>0</x:v>
      </x:c>
      <x:c r="K938" s="36" t="n">
        <x:v>0</x:v>
      </x:c>
      <x:c r="L938" s="36" t="n">
        <x:v>0</x:v>
      </x:c>
      <x:c r="M938" s="38" t="n">
        <x:v>4.829568788501026</x:v>
      </x:c>
      <x:c r="N938" s="36" t="n">
        <x:v>0</x:v>
      </x:c>
    </x:row>
    <x:row r="939" ht="20" customHeight="1">
      <x:c r="C939" s="1" t="n">
        <x:v>2</x:v>
      </x:c>
      <x:c r="D939" s="1" t="n">
        <x:v>7</x:v>
      </x:c>
      <x:c r="E939" s="1" t="n">
        <x:v>59</x:v>
      </x:c>
      <x:c r="F939" s="32" t="n">
        <x:v>48075</x:v>
      </x:c>
      <x:c r="G939" s="36" t="n">
        <x:v>0</x:v>
      </x:c>
      <x:c r="H939" s="36" t="n">
        <x:v>0</x:v>
      </x:c>
      <x:c r="I939" s="36" t="n">
        <x:v>0</x:v>
      </x:c>
      <x:c r="J939" s="36" t="n">
        <x:v>0</x:v>
      </x:c>
      <x:c r="K939" s="36" t="n">
        <x:v>0</x:v>
      </x:c>
      <x:c r="L939" s="36" t="n">
        <x:v>0</x:v>
      </x:c>
      <x:c r="M939" s="38" t="n">
        <x:v>4.914442162902122</x:v>
      </x:c>
      <x:c r="N939" s="36" t="n">
        <x:v>0</x:v>
      </x:c>
    </x:row>
    <x:row r="940" ht="20" customHeight="1">
      <x:c r="C940" s="1" t="n">
        <x:v>2</x:v>
      </x:c>
      <x:c r="D940" s="1" t="n">
        <x:v>7</x:v>
      </x:c>
      <x:c r="E940" s="1" t="n">
        <x:v>60</x:v>
      </x:c>
      <x:c r="F940" s="32" t="n">
        <x:v>48106</x:v>
      </x:c>
      <x:c r="G940" s="36" t="n">
        <x:v>0</x:v>
      </x:c>
      <x:c r="H940" s="36" t="n">
        <x:v>0</x:v>
      </x:c>
      <x:c r="I940" s="36" t="n">
        <x:v>0</x:v>
      </x:c>
      <x:c r="J940" s="36" t="n">
        <x:v>0</x:v>
      </x:c>
      <x:c r="K940" s="36" t="n">
        <x:v>0</x:v>
      </x:c>
      <x:c r="L940" s="36" t="n">
        <x:v>0</x:v>
      </x:c>
      <x:c r="M940" s="38" t="n">
        <x:v>4.999315537303217</x:v>
      </x:c>
      <x:c r="N940" s="36" t="n">
        <x:v>0</x:v>
      </x:c>
    </x:row>
    <x:row r="941" ht="20" customHeight="1">
      <x:c r="C941" s="1" t="n">
        <x:v>2</x:v>
      </x:c>
      <x:c r="D941" s="1" t="n">
        <x:v>7</x:v>
      </x:c>
      <x:c r="E941" s="1" t="n">
        <x:v>61</x:v>
      </x:c>
      <x:c r="F941" s="32" t="n">
        <x:v>48136</x:v>
      </x:c>
      <x:c r="G941" s="36" t="n">
        <x:v>0</x:v>
      </x:c>
      <x:c r="H941" s="36" t="n">
        <x:v>0</x:v>
      </x:c>
      <x:c r="I941" s="36" t="n">
        <x:v>0</x:v>
      </x:c>
      <x:c r="J941" s="36" t="n">
        <x:v>0</x:v>
      </x:c>
      <x:c r="K941" s="36" t="n">
        <x:v>0</x:v>
      </x:c>
      <x:c r="L941" s="36" t="n">
        <x:v>0</x:v>
      </x:c>
      <x:c r="M941" s="38" t="n">
        <x:v>5.08145106091718</x:v>
      </x:c>
      <x:c r="N941" s="36" t="n">
        <x:v>0</x:v>
      </x:c>
    </x:row>
    <x:row r="942" ht="20" customHeight="1">
      <x:c r="C942" s="1" t="n">
        <x:v>2</x:v>
      </x:c>
      <x:c r="D942" s="1" t="n">
        <x:v>7</x:v>
      </x:c>
      <x:c r="E942" s="1" t="n">
        <x:v>62</x:v>
      </x:c>
      <x:c r="F942" s="32" t="n">
        <x:v>48169</x:v>
      </x:c>
      <x:c r="G942" s="36" t="n">
        <x:v>0</x:v>
      </x:c>
      <x:c r="H942" s="36" t="n">
        <x:v>0</x:v>
      </x:c>
      <x:c r="I942" s="36" t="n">
        <x:v>0</x:v>
      </x:c>
      <x:c r="J942" s="36" t="n">
        <x:v>0</x:v>
      </x:c>
      <x:c r="K942" s="36" t="n">
        <x:v>0</x:v>
      </x:c>
      <x:c r="L942" s="36" t="n">
        <x:v>0</x:v>
      </x:c>
      <x:c r="M942" s="38" t="n">
        <x:v>5.171800136892539</x:v>
      </x:c>
      <x:c r="N942" s="36" t="n">
        <x:v>0</x:v>
      </x:c>
    </x:row>
    <x:row r="943" ht="20" customHeight="1">
      <x:c r="C943" s="1" t="n">
        <x:v>2</x:v>
      </x:c>
      <x:c r="D943" s="1" t="n">
        <x:v>7</x:v>
      </x:c>
      <x:c r="E943" s="1" t="n">
        <x:v>63</x:v>
      </x:c>
      <x:c r="F943" s="32" t="n">
        <x:v>48197</x:v>
      </x:c>
      <x:c r="G943" s="36" t="n">
        <x:v>0</x:v>
      </x:c>
      <x:c r="H943" s="36" t="n">
        <x:v>0</x:v>
      </x:c>
      <x:c r="I943" s="36" t="n">
        <x:v>0</x:v>
      </x:c>
      <x:c r="J943" s="36" t="n">
        <x:v>0</x:v>
      </x:c>
      <x:c r="K943" s="36" t="n">
        <x:v>0</x:v>
      </x:c>
      <x:c r="L943" s="36" t="n">
        <x:v>0</x:v>
      </x:c>
      <x:c r="M943" s="38" t="n">
        <x:v>5.248459958932238</x:v>
      </x:c>
      <x:c r="N943" s="36" t="n">
        <x:v>0</x:v>
      </x:c>
    </x:row>
    <x:row r="944" ht="20" customHeight="1">
      <x:c r="C944" s="1" t="n">
        <x:v>2</x:v>
      </x:c>
      <x:c r="D944" s="1" t="n">
        <x:v>7</x:v>
      </x:c>
      <x:c r="E944" s="1" t="n">
        <x:v>64</x:v>
      </x:c>
      <x:c r="F944" s="32" t="n">
        <x:v>48228</x:v>
      </x:c>
      <x:c r="G944" s="36" t="n">
        <x:v>0</x:v>
      </x:c>
      <x:c r="H944" s="36" t="n">
        <x:v>0</x:v>
      </x:c>
      <x:c r="I944" s="36" t="n">
        <x:v>0</x:v>
      </x:c>
      <x:c r="J944" s="36" t="n">
        <x:v>0</x:v>
      </x:c>
      <x:c r="K944" s="36" t="n">
        <x:v>0</x:v>
      </x:c>
      <x:c r="L944" s="36" t="n">
        <x:v>0</x:v>
      </x:c>
      <x:c r="M944" s="38" t="n">
        <x:v>5.333333333333333</x:v>
      </x:c>
      <x:c r="N944" s="36" t="n">
        <x:v>0</x:v>
      </x:c>
    </x:row>
    <x:row r="945" ht="20" customHeight="1">
      <x:c r="C945" s="1" t="n">
        <x:v>2</x:v>
      </x:c>
      <x:c r="D945" s="1" t="n">
        <x:v>8</x:v>
      </x:c>
      <x:c r="E945" s="1" t="n">
        <x:v>1</x:v>
      </x:c>
      <x:c r="F945" s="32" t="n">
        <x:v>46310</x:v>
      </x:c>
      <x:c r="G945" s="36" t="n">
        <x:v>14110000</x:v>
      </x:c>
      <x:c r="H945" s="36" t="n">
        <x:v>67492.83</x:v>
      </x:c>
      <x:c r="I945" s="36" t="n">
        <x:v>0</x:v>
      </x:c>
      <x:c r="J945" s="36" t="n">
        <x:v>0</x:v>
      </x:c>
      <x:c r="K945" s="36" t="n">
        <x:v>14110000</x:v>
      </x:c>
      <x:c r="L945" s="36" t="n">
        <x:v>0</x:v>
      </x:c>
      <x:c r="M945" s="38" t="n">
        <x:v>0.08213552361396304</x:v>
      </x:c>
      <x:c r="N945" s="36" t="n">
        <x:v>14110000</x:v>
      </x:c>
    </x:row>
    <x:row r="946" ht="20" customHeight="1">
      <x:c r="C946" s="1" t="n">
        <x:v>2</x:v>
      </x:c>
      <x:c r="D946" s="1" t="n">
        <x:v>8</x:v>
      </x:c>
      <x:c r="E946" s="1" t="n">
        <x:v>2</x:v>
      </x:c>
      <x:c r="F946" s="32" t="n">
        <x:v>46342</x:v>
      </x:c>
      <x:c r="G946" s="36" t="n">
        <x:v>14110000</x:v>
      </x:c>
      <x:c r="H946" s="36" t="n">
        <x:v>67492.83</x:v>
      </x:c>
      <x:c r="I946" s="36" t="n">
        <x:v>0</x:v>
      </x:c>
      <x:c r="J946" s="36" t="n">
        <x:v>0</x:v>
      </x:c>
      <x:c r="K946" s="36" t="n">
        <x:v>14110000</x:v>
      </x:c>
      <x:c r="L946" s="36" t="n">
        <x:v>0</x:v>
      </x:c>
      <x:c r="M946" s="38" t="n">
        <x:v>0.1697467488021903</x:v>
      </x:c>
      <x:c r="N946" s="36" t="n">
        <x:v>14110000</x:v>
      </x:c>
    </x:row>
    <x:row r="947" ht="20" customHeight="1">
      <x:c r="C947" s="1" t="n">
        <x:v>2</x:v>
      </x:c>
      <x:c r="D947" s="1" t="n">
        <x:v>8</x:v>
      </x:c>
      <x:c r="E947" s="1" t="n">
        <x:v>3</x:v>
      </x:c>
      <x:c r="F947" s="32" t="n">
        <x:v>46371</x:v>
      </x:c>
      <x:c r="G947" s="36" t="n">
        <x:v>14110000</x:v>
      </x:c>
      <x:c r="H947" s="36" t="n">
        <x:v>67492.83</x:v>
      </x:c>
      <x:c r="I947" s="36" t="n">
        <x:v>0</x:v>
      </x:c>
      <x:c r="J947" s="36" t="n">
        <x:v>0</x:v>
      </x:c>
      <x:c r="K947" s="36" t="n">
        <x:v>14110000</x:v>
      </x:c>
      <x:c r="L947" s="36" t="n">
        <x:v>0</x:v>
      </x:c>
      <x:c r="M947" s="38" t="n">
        <x:v>0.24914442162902123</x:v>
      </x:c>
      <x:c r="N947" s="36" t="n">
        <x:v>14110000</x:v>
      </x:c>
    </x:row>
    <x:row r="948" ht="20" customHeight="1">
      <x:c r="C948" s="1" t="n">
        <x:v>2</x:v>
      </x:c>
      <x:c r="D948" s="1" t="n">
        <x:v>8</x:v>
      </x:c>
      <x:c r="E948" s="1" t="n">
        <x:v>4</x:v>
      </x:c>
      <x:c r="F948" s="32" t="n">
        <x:v>46402</x:v>
      </x:c>
      <x:c r="G948" s="36" t="n">
        <x:v>14110000</x:v>
      </x:c>
      <x:c r="H948" s="36" t="n">
        <x:v>67492.83</x:v>
      </x:c>
      <x:c r="I948" s="36" t="n">
        <x:v>0</x:v>
      </x:c>
      <x:c r="J948" s="36" t="n">
        <x:v>0</x:v>
      </x:c>
      <x:c r="K948" s="36" t="n">
        <x:v>14110000</x:v>
      </x:c>
      <x:c r="L948" s="36" t="n">
        <x:v>0</x:v>
      </x:c>
      <x:c r="M948" s="38" t="n">
        <x:v>0.33401779603011633</x:v>
      </x:c>
      <x:c r="N948" s="36" t="n">
        <x:v>14110000</x:v>
      </x:c>
    </x:row>
    <x:row r="949" ht="20" customHeight="1">
      <x:c r="C949" s="1" t="n">
        <x:v>2</x:v>
      </x:c>
      <x:c r="D949" s="1" t="n">
        <x:v>8</x:v>
      </x:c>
      <x:c r="E949" s="1" t="n">
        <x:v>5</x:v>
      </x:c>
      <x:c r="F949" s="32" t="n">
        <x:v>46434</x:v>
      </x:c>
      <x:c r="G949" s="36" t="n">
        <x:v>14110000</x:v>
      </x:c>
      <x:c r="H949" s="36" t="n">
        <x:v>67492.83</x:v>
      </x:c>
      <x:c r="I949" s="36" t="n">
        <x:v>0</x:v>
      </x:c>
      <x:c r="J949" s="36" t="n">
        <x:v>0</x:v>
      </x:c>
      <x:c r="K949" s="36" t="n">
        <x:v>14110000</x:v>
      </x:c>
      <x:c r="L949" s="36" t="n">
        <x:v>0</x:v>
      </x:c>
      <x:c r="M949" s="38" t="n">
        <x:v>0.4216290212183436</x:v>
      </x:c>
      <x:c r="N949" s="36" t="n">
        <x:v>14110000</x:v>
      </x:c>
    </x:row>
    <x:row r="950" ht="20" customHeight="1">
      <x:c r="C950" s="1" t="n">
        <x:v>2</x:v>
      </x:c>
      <x:c r="D950" s="1" t="n">
        <x:v>8</x:v>
      </x:c>
      <x:c r="E950" s="1" t="n">
        <x:v>6</x:v>
      </x:c>
      <x:c r="F950" s="32" t="n">
        <x:v>46461</x:v>
      </x:c>
      <x:c r="G950" s="36" t="n">
        <x:v>14110000</x:v>
      </x:c>
      <x:c r="H950" s="36" t="n">
        <x:v>67492.83</x:v>
      </x:c>
      <x:c r="I950" s="36" t="n">
        <x:v>0</x:v>
      </x:c>
      <x:c r="J950" s="36" t="n">
        <x:v>0</x:v>
      </x:c>
      <x:c r="K950" s="36" t="n">
        <x:v>14110000</x:v>
      </x:c>
      <x:c r="L950" s="36" t="n">
        <x:v>0</x:v>
      </x:c>
      <x:c r="M950" s="38" t="n">
        <x:v>0.49555099247091033</x:v>
      </x:c>
      <x:c r="N950" s="36" t="n">
        <x:v>14110000</x:v>
      </x:c>
    </x:row>
    <x:row r="951" ht="20" customHeight="1">
      <x:c r="C951" s="1" t="n">
        <x:v>2</x:v>
      </x:c>
      <x:c r="D951" s="1" t="n">
        <x:v>8</x:v>
      </x:c>
      <x:c r="E951" s="1" t="n">
        <x:v>7</x:v>
      </x:c>
      <x:c r="F951" s="32" t="n">
        <x:v>46492</x:v>
      </x:c>
      <x:c r="G951" s="36" t="n">
        <x:v>14110000</x:v>
      </x:c>
      <x:c r="H951" s="36" t="n">
        <x:v>67492.83</x:v>
      </x:c>
      <x:c r="I951" s="36" t="n">
        <x:v>0</x:v>
      </x:c>
      <x:c r="J951" s="36" t="n">
        <x:v>0</x:v>
      </x:c>
      <x:c r="K951" s="36" t="n">
        <x:v>14110000</x:v>
      </x:c>
      <x:c r="L951" s="36" t="n">
        <x:v>0</x:v>
      </x:c>
      <x:c r="M951" s="38" t="n">
        <x:v>0.5804243668720055</x:v>
      </x:c>
      <x:c r="N951" s="36" t="n">
        <x:v>14110000</x:v>
      </x:c>
    </x:row>
    <x:row r="952" ht="20" customHeight="1">
      <x:c r="C952" s="1" t="n">
        <x:v>2</x:v>
      </x:c>
      <x:c r="D952" s="1" t="n">
        <x:v>8</x:v>
      </x:c>
      <x:c r="E952" s="1" t="n">
        <x:v>8</x:v>
      </x:c>
      <x:c r="F952" s="32" t="n">
        <x:v>46524</x:v>
      </x:c>
      <x:c r="G952" s="36" t="n">
        <x:v>14110000</x:v>
      </x:c>
      <x:c r="H952" s="36" t="n">
        <x:v>67492.83</x:v>
      </x:c>
      <x:c r="I952" s="36" t="n">
        <x:v>0</x:v>
      </x:c>
      <x:c r="J952" s="36" t="n">
        <x:v>0</x:v>
      </x:c>
      <x:c r="K952" s="36" t="n">
        <x:v>14110000</x:v>
      </x:c>
      <x:c r="L952" s="36" t="n">
        <x:v>0</x:v>
      </x:c>
      <x:c r="M952" s="38" t="n">
        <x:v>0.6680355920602327</x:v>
      </x:c>
      <x:c r="N952" s="36" t="n">
        <x:v>14110000</x:v>
      </x:c>
    </x:row>
    <x:row r="953" ht="20" customHeight="1">
      <x:c r="C953" s="1" t="n">
        <x:v>2</x:v>
      </x:c>
      <x:c r="D953" s="1" t="n">
        <x:v>8</x:v>
      </x:c>
      <x:c r="E953" s="1" t="n">
        <x:v>9</x:v>
      </x:c>
      <x:c r="F953" s="32" t="n">
        <x:v>46553</x:v>
      </x:c>
      <x:c r="G953" s="36" t="n">
        <x:v>14110000</x:v>
      </x:c>
      <x:c r="H953" s="36" t="n">
        <x:v>67492.83</x:v>
      </x:c>
      <x:c r="I953" s="36" t="n">
        <x:v>0</x:v>
      </x:c>
      <x:c r="J953" s="36" t="n">
        <x:v>0</x:v>
      </x:c>
      <x:c r="K953" s="36" t="n">
        <x:v>14110000</x:v>
      </x:c>
      <x:c r="L953" s="36" t="n">
        <x:v>0</x:v>
      </x:c>
      <x:c r="M953" s="38" t="n">
        <x:v>0.7474332648870636</x:v>
      </x:c>
      <x:c r="N953" s="36" t="n">
        <x:v>14110000</x:v>
      </x:c>
    </x:row>
    <x:row r="954" ht="20" customHeight="1">
      <x:c r="C954" s="1" t="n">
        <x:v>2</x:v>
      </x:c>
      <x:c r="D954" s="1" t="n">
        <x:v>8</x:v>
      </x:c>
      <x:c r="E954" s="1" t="n">
        <x:v>10</x:v>
      </x:c>
      <x:c r="F954" s="32" t="n">
        <x:v>46583</x:v>
      </x:c>
      <x:c r="G954" s="36" t="n">
        <x:v>14110000</x:v>
      </x:c>
      <x:c r="H954" s="36" t="n">
        <x:v>67492.83</x:v>
      </x:c>
      <x:c r="I954" s="36" t="n">
        <x:v>0</x:v>
      </x:c>
      <x:c r="J954" s="36" t="n">
        <x:v>0</x:v>
      </x:c>
      <x:c r="K954" s="36" t="n">
        <x:v>14110000</x:v>
      </x:c>
      <x:c r="L954" s="36" t="n">
        <x:v>0</x:v>
      </x:c>
      <x:c r="M954" s="38" t="n">
        <x:v>0.8295687885010267</x:v>
      </x:c>
      <x:c r="N954" s="36" t="n">
        <x:v>14110000</x:v>
      </x:c>
    </x:row>
    <x:row r="955" ht="20" customHeight="1">
      <x:c r="C955" s="1" t="n">
        <x:v>2</x:v>
      </x:c>
      <x:c r="D955" s="1" t="n">
        <x:v>8</x:v>
      </x:c>
      <x:c r="E955" s="1" t="n">
        <x:v>11</x:v>
      </x:c>
      <x:c r="F955" s="32" t="n">
        <x:v>46615</x:v>
      </x:c>
      <x:c r="G955" s="36" t="n">
        <x:v>14110000</x:v>
      </x:c>
      <x:c r="H955" s="36" t="n">
        <x:v>67492.83</x:v>
      </x:c>
      <x:c r="I955" s="36" t="n">
        <x:v>0</x:v>
      </x:c>
      <x:c r="J955" s="36" t="n">
        <x:v>0</x:v>
      </x:c>
      <x:c r="K955" s="36" t="n">
        <x:v>14110000</x:v>
      </x:c>
      <x:c r="L955" s="36" t="n">
        <x:v>0</x:v>
      </x:c>
      <x:c r="M955" s="38" t="n">
        <x:v>0.917180013689254</x:v>
      </x:c>
      <x:c r="N955" s="36" t="n">
        <x:v>14110000</x:v>
      </x:c>
    </x:row>
    <x:row r="956" ht="20" customHeight="1">
      <x:c r="C956" s="1" t="n">
        <x:v>2</x:v>
      </x:c>
      <x:c r="D956" s="1" t="n">
        <x:v>8</x:v>
      </x:c>
      <x:c r="E956" s="1" t="n">
        <x:v>12</x:v>
      </x:c>
      <x:c r="F956" s="32" t="n">
        <x:v>46645</x:v>
      </x:c>
      <x:c r="G956" s="36" t="n">
        <x:v>14110000</x:v>
      </x:c>
      <x:c r="H956" s="36" t="n">
        <x:v>67492.83</x:v>
      </x:c>
      <x:c r="I956" s="36" t="n">
        <x:v>0</x:v>
      </x:c>
      <x:c r="J956" s="36" t="n">
        <x:v>0</x:v>
      </x:c>
      <x:c r="K956" s="36" t="n">
        <x:v>14110000</x:v>
      </x:c>
      <x:c r="L956" s="36" t="n">
        <x:v>0</x:v>
      </x:c>
      <x:c r="M956" s="38" t="n">
        <x:v>0.999315537303217</x:v>
      </x:c>
      <x:c r="N956" s="36" t="n">
        <x:v>14110000</x:v>
      </x:c>
    </x:row>
    <x:row r="957" ht="20" customHeight="1">
      <x:c r="C957" s="1" t="n">
        <x:v>2</x:v>
      </x:c>
      <x:c r="D957" s="1" t="n">
        <x:v>8</x:v>
      </x:c>
      <x:c r="E957" s="1" t="n">
        <x:v>13</x:v>
      </x:c>
      <x:c r="F957" s="32" t="n">
        <x:v>46675</x:v>
      </x:c>
      <x:c r="G957" s="36" t="n">
        <x:v>14110000</x:v>
      </x:c>
      <x:c r="H957" s="36" t="n">
        <x:v>67492.83</x:v>
      </x:c>
      <x:c r="I957" s="36" t="n">
        <x:v>0</x:v>
      </x:c>
      <x:c r="J957" s="36" t="n">
        <x:v>0</x:v>
      </x:c>
      <x:c r="K957" s="36" t="n">
        <x:v>14110000</x:v>
      </x:c>
      <x:c r="L957" s="36" t="n">
        <x:v>0</x:v>
      </x:c>
      <x:c r="M957" s="38" t="n">
        <x:v>1.08145106091718</x:v>
      </x:c>
      <x:c r="N957" s="36" t="n">
        <x:v>14110000</x:v>
      </x:c>
    </x:row>
    <x:row r="958" ht="20" customHeight="1">
      <x:c r="C958" s="1" t="n">
        <x:v>2</x:v>
      </x:c>
      <x:c r="D958" s="1" t="n">
        <x:v>8</x:v>
      </x:c>
      <x:c r="E958" s="1" t="n">
        <x:v>14</x:v>
      </x:c>
      <x:c r="F958" s="32" t="n">
        <x:v>46706</x:v>
      </x:c>
      <x:c r="G958" s="36" t="n">
        <x:v>14110000</x:v>
      </x:c>
      <x:c r="H958" s="36" t="n">
        <x:v>67492.83</x:v>
      </x:c>
      <x:c r="I958" s="36" t="n">
        <x:v>0</x:v>
      </x:c>
      <x:c r="J958" s="36" t="n">
        <x:v>0</x:v>
      </x:c>
      <x:c r="K958" s="36" t="n">
        <x:v>14110000</x:v>
      </x:c>
      <x:c r="L958" s="36" t="n">
        <x:v>0</x:v>
      </x:c>
      <x:c r="M958" s="38" t="n">
        <x:v>1.1663244353182751</x:v>
      </x:c>
      <x:c r="N958" s="36" t="n">
        <x:v>14110000</x:v>
      </x:c>
    </x:row>
    <x:row r="959" ht="20" customHeight="1">
      <x:c r="C959" s="1" t="n">
        <x:v>2</x:v>
      </x:c>
      <x:c r="D959" s="1" t="n">
        <x:v>8</x:v>
      </x:c>
      <x:c r="E959" s="1" t="n">
        <x:v>15</x:v>
      </x:c>
      <x:c r="F959" s="32" t="n">
        <x:v>46736</x:v>
      </x:c>
      <x:c r="G959" s="36" t="n">
        <x:v>14110000</x:v>
      </x:c>
      <x:c r="H959" s="36" t="n">
        <x:v>67492.83</x:v>
      </x:c>
      <x:c r="I959" s="36" t="n">
        <x:v>0</x:v>
      </x:c>
      <x:c r="J959" s="36" t="n">
        <x:v>0</x:v>
      </x:c>
      <x:c r="K959" s="36" t="n">
        <x:v>14110000</x:v>
      </x:c>
      <x:c r="L959" s="36" t="n">
        <x:v>0</x:v>
      </x:c>
      <x:c r="M959" s="38" t="n">
        <x:v>1.2484599589322383</x:v>
      </x:c>
      <x:c r="N959" s="36" t="n">
        <x:v>14110000</x:v>
      </x:c>
    </x:row>
    <x:row r="960" ht="20" customHeight="1">
      <x:c r="C960" s="1" t="n">
        <x:v>2</x:v>
      </x:c>
      <x:c r="D960" s="1" t="n">
        <x:v>8</x:v>
      </x:c>
      <x:c r="E960" s="1" t="n">
        <x:v>16</x:v>
      </x:c>
      <x:c r="F960" s="32" t="n">
        <x:v>46770</x:v>
      </x:c>
      <x:c r="G960" s="36" t="n">
        <x:v>14110000</x:v>
      </x:c>
      <x:c r="H960" s="36" t="n">
        <x:v>67492.83</x:v>
      </x:c>
      <x:c r="I960" s="36" t="n">
        <x:v>0</x:v>
      </x:c>
      <x:c r="J960" s="36" t="n">
        <x:v>0</x:v>
      </x:c>
      <x:c r="K960" s="36" t="n">
        <x:v>14110000</x:v>
      </x:c>
      <x:c r="L960" s="36" t="n">
        <x:v>0</x:v>
      </x:c>
      <x:c r="M960" s="38" t="n">
        <x:v>1.3415468856947297</x:v>
      </x:c>
      <x:c r="N960" s="36" t="n">
        <x:v>14110000</x:v>
      </x:c>
    </x:row>
    <x:row r="961" ht="20" customHeight="1">
      <x:c r="C961" s="1" t="n">
        <x:v>2</x:v>
      </x:c>
      <x:c r="D961" s="1" t="n">
        <x:v>8</x:v>
      </x:c>
      <x:c r="E961" s="1" t="n">
        <x:v>17</x:v>
      </x:c>
      <x:c r="F961" s="32" t="n">
        <x:v>46798</x:v>
      </x:c>
      <x:c r="G961" s="36" t="n">
        <x:v>14110000</x:v>
      </x:c>
      <x:c r="H961" s="36" t="n">
        <x:v>67492.83</x:v>
      </x:c>
      <x:c r="I961" s="36" t="n">
        <x:v>0</x:v>
      </x:c>
      <x:c r="J961" s="36" t="n">
        <x:v>0</x:v>
      </x:c>
      <x:c r="K961" s="36" t="n">
        <x:v>14110000</x:v>
      </x:c>
      <x:c r="L961" s="36" t="n">
        <x:v>0</x:v>
      </x:c>
      <x:c r="M961" s="38" t="n">
        <x:v>1.4182067077344285</x:v>
      </x:c>
      <x:c r="N961" s="36" t="n">
        <x:v>14110000</x:v>
      </x:c>
    </x:row>
    <x:row r="962" ht="20" customHeight="1">
      <x:c r="C962" s="1" t="n">
        <x:v>2</x:v>
      </x:c>
      <x:c r="D962" s="1" t="n">
        <x:v>8</x:v>
      </x:c>
      <x:c r="E962" s="1" t="n">
        <x:v>18</x:v>
      </x:c>
      <x:c r="F962" s="32" t="n">
        <x:v>46827</x:v>
      </x:c>
      <x:c r="G962" s="36" t="n">
        <x:v>14110000</x:v>
      </x:c>
      <x:c r="H962" s="36" t="n">
        <x:v>67492.83</x:v>
      </x:c>
      <x:c r="I962" s="36" t="n">
        <x:v>0</x:v>
      </x:c>
      <x:c r="J962" s="36" t="n">
        <x:v>0</x:v>
      </x:c>
      <x:c r="K962" s="36" t="n">
        <x:v>14110000</x:v>
      </x:c>
      <x:c r="L962" s="36" t="n">
        <x:v>0</x:v>
      </x:c>
      <x:c r="M962" s="38" t="n">
        <x:v>1.4976043805612593</x:v>
      </x:c>
      <x:c r="N962" s="36" t="n">
        <x:v>14110000</x:v>
      </x:c>
    </x:row>
    <x:row r="963" ht="20" customHeight="1">
      <x:c r="C963" s="1" t="n">
        <x:v>2</x:v>
      </x:c>
      <x:c r="D963" s="1" t="n">
        <x:v>8</x:v>
      </x:c>
      <x:c r="E963" s="1" t="n">
        <x:v>19</x:v>
      </x:c>
      <x:c r="F963" s="32" t="n">
        <x:v>46860</x:v>
      </x:c>
      <x:c r="G963" s="36" t="n">
        <x:v>14110000</x:v>
      </x:c>
      <x:c r="H963" s="36" t="n">
        <x:v>67492.83</x:v>
      </x:c>
      <x:c r="I963" s="36" t="n">
        <x:v>0</x:v>
      </x:c>
      <x:c r="J963" s="36" t="n">
        <x:v>0</x:v>
      </x:c>
      <x:c r="K963" s="36" t="n">
        <x:v>14110000</x:v>
      </x:c>
      <x:c r="L963" s="36" t="n">
        <x:v>0</x:v>
      </x:c>
      <x:c r="M963" s="38" t="n">
        <x:v>1.5879534565366187</x:v>
      </x:c>
      <x:c r="N963" s="36" t="n">
        <x:v>14110000</x:v>
      </x:c>
    </x:row>
    <x:row r="964" ht="20" customHeight="1">
      <x:c r="C964" s="1" t="n">
        <x:v>2</x:v>
      </x:c>
      <x:c r="D964" s="1" t="n">
        <x:v>8</x:v>
      </x:c>
      <x:c r="E964" s="1" t="n">
        <x:v>20</x:v>
      </x:c>
      <x:c r="F964" s="32" t="n">
        <x:v>46888</x:v>
      </x:c>
      <x:c r="G964" s="36" t="n">
        <x:v>14110000</x:v>
      </x:c>
      <x:c r="H964" s="36" t="n">
        <x:v>67492.83</x:v>
      </x:c>
      <x:c r="I964" s="36" t="n">
        <x:v>0</x:v>
      </x:c>
      <x:c r="J964" s="36" t="n">
        <x:v>0</x:v>
      </x:c>
      <x:c r="K964" s="36" t="n">
        <x:v>14110000</x:v>
      </x:c>
      <x:c r="L964" s="36" t="n">
        <x:v>0</x:v>
      </x:c>
      <x:c r="M964" s="38" t="n">
        <x:v>1.6646132785763177</x:v>
      </x:c>
      <x:c r="N964" s="36" t="n">
        <x:v>14110000</x:v>
      </x:c>
    </x:row>
    <x:row r="965" ht="20" customHeight="1">
      <x:c r="C965" s="1" t="n">
        <x:v>2</x:v>
      </x:c>
      <x:c r="D965" s="1" t="n">
        <x:v>8</x:v>
      </x:c>
      <x:c r="E965" s="1" t="n">
        <x:v>21</x:v>
      </x:c>
      <x:c r="F965" s="32" t="n">
        <x:v>46919</x:v>
      </x:c>
      <x:c r="G965" s="36" t="n">
        <x:v>14110000</x:v>
      </x:c>
      <x:c r="H965" s="36" t="n">
        <x:v>67492.83</x:v>
      </x:c>
      <x:c r="I965" s="36" t="n">
        <x:v>0</x:v>
      </x:c>
      <x:c r="J965" s="36" t="n">
        <x:v>0</x:v>
      </x:c>
      <x:c r="K965" s="36" t="n">
        <x:v>14110000</x:v>
      </x:c>
      <x:c r="L965" s="36" t="n">
        <x:v>0</x:v>
      </x:c>
      <x:c r="M965" s="38" t="n">
        <x:v>1.7494866529774127</x:v>
      </x:c>
      <x:c r="N965" s="36" t="n">
        <x:v>14110000</x:v>
      </x:c>
    </x:row>
    <x:row r="966" ht="20" customHeight="1">
      <x:c r="C966" s="1" t="n">
        <x:v>2</x:v>
      </x:c>
      <x:c r="D966" s="1" t="n">
        <x:v>8</x:v>
      </x:c>
      <x:c r="E966" s="1" t="n">
        <x:v>22</x:v>
      </x:c>
      <x:c r="F966" s="32" t="n">
        <x:v>46951</x:v>
      </x:c>
      <x:c r="G966" s="36" t="n">
        <x:v>14110000</x:v>
      </x:c>
      <x:c r="H966" s="36" t="n">
        <x:v>67492.83</x:v>
      </x:c>
      <x:c r="I966" s="36" t="n">
        <x:v>0</x:v>
      </x:c>
      <x:c r="J966" s="36" t="n">
        <x:v>0</x:v>
      </x:c>
      <x:c r="K966" s="36" t="n">
        <x:v>14110000</x:v>
      </x:c>
      <x:c r="L966" s="36" t="n">
        <x:v>0</x:v>
      </x:c>
      <x:c r="M966" s="38" t="n">
        <x:v>1.83709787816564</x:v>
      </x:c>
      <x:c r="N966" s="36" t="n">
        <x:v>14110000</x:v>
      </x:c>
    </x:row>
    <x:row r="967" ht="20" customHeight="1">
      <x:c r="C967" s="1" t="n">
        <x:v>2</x:v>
      </x:c>
      <x:c r="D967" s="1" t="n">
        <x:v>8</x:v>
      </x:c>
      <x:c r="E967" s="1" t="n">
        <x:v>23</x:v>
      </x:c>
      <x:c r="F967" s="32" t="n">
        <x:v>46980</x:v>
      </x:c>
      <x:c r="G967" s="36" t="n">
        <x:v>14110000</x:v>
      </x:c>
      <x:c r="H967" s="36" t="n">
        <x:v>67492.83</x:v>
      </x:c>
      <x:c r="I967" s="36" t="n">
        <x:v>0</x:v>
      </x:c>
      <x:c r="J967" s="36" t="n">
        <x:v>0</x:v>
      </x:c>
      <x:c r="K967" s="36" t="n">
        <x:v>14110000</x:v>
      </x:c>
      <x:c r="L967" s="36" t="n">
        <x:v>0</x:v>
      </x:c>
      <x:c r="M967" s="38" t="n">
        <x:v>1.9164955509924708</x:v>
      </x:c>
      <x:c r="N967" s="36" t="n">
        <x:v>14110000</x:v>
      </x:c>
    </x:row>
    <x:row r="968" ht="20" customHeight="1">
      <x:c r="C968" s="1" t="n">
        <x:v>2</x:v>
      </x:c>
      <x:c r="D968" s="1" t="n">
        <x:v>8</x:v>
      </x:c>
      <x:c r="E968" s="1" t="n">
        <x:v>24</x:v>
      </x:c>
      <x:c r="F968" s="32" t="n">
        <x:v>47011</x:v>
      </x:c>
      <x:c r="G968" s="36" t="n">
        <x:v>14110000</x:v>
      </x:c>
      <x:c r="H968" s="36" t="n">
        <x:v>67492.83</x:v>
      </x:c>
      <x:c r="I968" s="36" t="n">
        <x:v>0</x:v>
      </x:c>
      <x:c r="J968" s="36" t="n">
        <x:v>0</x:v>
      </x:c>
      <x:c r="K968" s="36" t="n">
        <x:v>14110000</x:v>
      </x:c>
      <x:c r="L968" s="36" t="n">
        <x:v>0</x:v>
      </x:c>
      <x:c r="M968" s="38" t="n">
        <x:v>2.001368925393566</x:v>
      </x:c>
      <x:c r="N968" s="36" t="n">
        <x:v>14110000</x:v>
      </x:c>
    </x:row>
    <x:row r="969" ht="20" customHeight="1">
      <x:c r="C969" s="1" t="n">
        <x:v>2</x:v>
      </x:c>
      <x:c r="D969" s="1" t="n">
        <x:v>8</x:v>
      </x:c>
      <x:c r="E969" s="1" t="n">
        <x:v>25</x:v>
      </x:c>
      <x:c r="F969" s="32" t="n">
        <x:v>47042</x:v>
      </x:c>
      <x:c r="G969" s="36" t="n">
        <x:v>14110000</x:v>
      </x:c>
      <x:c r="H969" s="36" t="n">
        <x:v>67492.83</x:v>
      </x:c>
      <x:c r="I969" s="36" t="n">
        <x:v>0</x:v>
      </x:c>
      <x:c r="J969" s="36" t="n">
        <x:v>0</x:v>
      </x:c>
      <x:c r="K969" s="36" t="n">
        <x:v>14110000</x:v>
      </x:c>
      <x:c r="L969" s="36" t="n">
        <x:v>0</x:v>
      </x:c>
      <x:c r="M969" s="38" t="n">
        <x:v>2.086242299794661</x:v>
      </x:c>
      <x:c r="N969" s="36" t="n">
        <x:v>14110000</x:v>
      </x:c>
    </x:row>
    <x:row r="970" ht="20" customHeight="1">
      <x:c r="C970" s="1" t="n">
        <x:v>2</x:v>
      </x:c>
      <x:c r="D970" s="1" t="n">
        <x:v>8</x:v>
      </x:c>
      <x:c r="E970" s="1" t="n">
        <x:v>26</x:v>
      </x:c>
      <x:c r="F970" s="32" t="n">
        <x:v>47072</x:v>
      </x:c>
      <x:c r="G970" s="36" t="n">
        <x:v>14110000</x:v>
      </x:c>
      <x:c r="H970" s="36" t="n">
        <x:v>67492.83</x:v>
      </x:c>
      <x:c r="I970" s="36" t="n">
        <x:v>0</x:v>
      </x:c>
      <x:c r="J970" s="36" t="n">
        <x:v>0</x:v>
      </x:c>
      <x:c r="K970" s="36" t="n">
        <x:v>14110000</x:v>
      </x:c>
      <x:c r="L970" s="36" t="n">
        <x:v>0</x:v>
      </x:c>
      <x:c r="M970" s="38" t="n">
        <x:v>2.1683778234086244</x:v>
      </x:c>
      <x:c r="N970" s="36" t="n">
        <x:v>14110000</x:v>
      </x:c>
    </x:row>
    <x:row r="971" ht="20" customHeight="1">
      <x:c r="C971" s="1" t="n">
        <x:v>2</x:v>
      </x:c>
      <x:c r="D971" s="1" t="n">
        <x:v>8</x:v>
      </x:c>
      <x:c r="E971" s="1" t="n">
        <x:v>27</x:v>
      </x:c>
      <x:c r="F971" s="32" t="n">
        <x:v>47102</x:v>
      </x:c>
      <x:c r="G971" s="36" t="n">
        <x:v>14110000</x:v>
      </x:c>
      <x:c r="H971" s="36" t="n">
        <x:v>67492.83</x:v>
      </x:c>
      <x:c r="I971" s="36" t="n">
        <x:v>0</x:v>
      </x:c>
      <x:c r="J971" s="36" t="n">
        <x:v>0</x:v>
      </x:c>
      <x:c r="K971" s="36" t="n">
        <x:v>14110000</x:v>
      </x:c>
      <x:c r="L971" s="36" t="n">
        <x:v>0</x:v>
      </x:c>
      <x:c r="M971" s="38" t="n">
        <x:v>2.2505133470225873</x:v>
      </x:c>
      <x:c r="N971" s="36" t="n">
        <x:v>14110000</x:v>
      </x:c>
    </x:row>
    <x:row r="972" ht="20" customHeight="1">
      <x:c r="C972" s="1" t="n">
        <x:v>2</x:v>
      </x:c>
      <x:c r="D972" s="1" t="n">
        <x:v>8</x:v>
      </x:c>
      <x:c r="E972" s="1" t="n">
        <x:v>28</x:v>
      </x:c>
      <x:c r="F972" s="32" t="n">
        <x:v>47134</x:v>
      </x:c>
      <x:c r="G972" s="36" t="n">
        <x:v>14110000</x:v>
      </x:c>
      <x:c r="H972" s="36" t="n">
        <x:v>67492.83</x:v>
      </x:c>
      <x:c r="I972" s="36" t="n">
        <x:v>0</x:v>
      </x:c>
      <x:c r="J972" s="36" t="n">
        <x:v>0</x:v>
      </x:c>
      <x:c r="K972" s="36" t="n">
        <x:v>14110000</x:v>
      </x:c>
      <x:c r="L972" s="36" t="n">
        <x:v>0</x:v>
      </x:c>
      <x:c r="M972" s="38" t="n">
        <x:v>2.3381245722108144</x:v>
      </x:c>
      <x:c r="N972" s="36" t="n">
        <x:v>14110000</x:v>
      </x:c>
    </x:row>
    <x:row r="973" ht="20" customHeight="1">
      <x:c r="C973" s="1" t="n">
        <x:v>2</x:v>
      </x:c>
      <x:c r="D973" s="1" t="n">
        <x:v>8</x:v>
      </x:c>
      <x:c r="E973" s="1" t="n">
        <x:v>29</x:v>
      </x:c>
      <x:c r="F973" s="32" t="n">
        <x:v>47164</x:v>
      </x:c>
      <x:c r="G973" s="36" t="n">
        <x:v>14110000</x:v>
      </x:c>
      <x:c r="H973" s="36" t="n">
        <x:v>67492.83</x:v>
      </x:c>
      <x:c r="I973" s="36" t="n">
        <x:v>0</x:v>
      </x:c>
      <x:c r="J973" s="36" t="n">
        <x:v>0</x:v>
      </x:c>
      <x:c r="K973" s="36" t="n">
        <x:v>14110000</x:v>
      </x:c>
      <x:c r="L973" s="36" t="n">
        <x:v>0</x:v>
      </x:c>
      <x:c r="M973" s="38" t="n">
        <x:v>2.4202600958247777</x:v>
      </x:c>
      <x:c r="N973" s="36" t="n">
        <x:v>14110000</x:v>
      </x:c>
    </x:row>
    <x:row r="974" ht="20" customHeight="1">
      <x:c r="C974" s="1" t="n">
        <x:v>2</x:v>
      </x:c>
      <x:c r="D974" s="1" t="n">
        <x:v>8</x:v>
      </x:c>
      <x:c r="E974" s="1" t="n">
        <x:v>30</x:v>
      </x:c>
      <x:c r="F974" s="32" t="n">
        <x:v>47192</x:v>
      </x:c>
      <x:c r="G974" s="36" t="n">
        <x:v>14110000</x:v>
      </x:c>
      <x:c r="H974" s="36" t="n">
        <x:v>67492.83</x:v>
      </x:c>
      <x:c r="I974" s="36" t="n">
        <x:v>0</x:v>
      </x:c>
      <x:c r="J974" s="36" t="n">
        <x:v>0</x:v>
      </x:c>
      <x:c r="K974" s="36" t="n">
        <x:v>14110000</x:v>
      </x:c>
      <x:c r="L974" s="36" t="n">
        <x:v>0</x:v>
      </x:c>
      <x:c r="M974" s="38" t="n">
        <x:v>2.4969199178644765</x:v>
      </x:c>
      <x:c r="N974" s="36" t="n">
        <x:v>14110000</x:v>
      </x:c>
    </x:row>
    <x:row r="975" ht="20" customHeight="1">
      <x:c r="C975" s="1" t="n">
        <x:v>2</x:v>
      </x:c>
      <x:c r="D975" s="1" t="n">
        <x:v>8</x:v>
      </x:c>
      <x:c r="E975" s="1" t="n">
        <x:v>31</x:v>
      </x:c>
      <x:c r="F975" s="32" t="n">
        <x:v>47224</x:v>
      </x:c>
      <x:c r="G975" s="36" t="n">
        <x:v>14110000</x:v>
      </x:c>
      <x:c r="H975" s="36" t="n">
        <x:v>67492.83</x:v>
      </x:c>
      <x:c r="I975" s="36" t="n">
        <x:v>0</x:v>
      </x:c>
      <x:c r="J975" s="36" t="n">
        <x:v>0</x:v>
      </x:c>
      <x:c r="K975" s="36" t="n">
        <x:v>14110000</x:v>
      </x:c>
      <x:c r="L975" s="36" t="n">
        <x:v>0</x:v>
      </x:c>
      <x:c r="M975" s="38" t="n">
        <x:v>2.5845311430527036</x:v>
      </x:c>
      <x:c r="N975" s="36" t="n">
        <x:v>14110000</x:v>
      </x:c>
    </x:row>
    <x:row r="976" ht="20" customHeight="1">
      <x:c r="C976" s="1" t="n">
        <x:v>2</x:v>
      </x:c>
      <x:c r="D976" s="1" t="n">
        <x:v>8</x:v>
      </x:c>
      <x:c r="E976" s="1" t="n">
        <x:v>32</x:v>
      </x:c>
      <x:c r="F976" s="32" t="n">
        <x:v>47253</x:v>
      </x:c>
      <x:c r="G976" s="36" t="n">
        <x:v>14110000</x:v>
      </x:c>
      <x:c r="H976" s="36" t="n">
        <x:v>67492.83</x:v>
      </x:c>
      <x:c r="I976" s="36" t="n">
        <x:v>0</x:v>
      </x:c>
      <x:c r="J976" s="36" t="n">
        <x:v>0</x:v>
      </x:c>
      <x:c r="K976" s="36" t="n">
        <x:v>14110000</x:v>
      </x:c>
      <x:c r="L976" s="36" t="n">
        <x:v>0</x:v>
      </x:c>
      <x:c r="M976" s="38" t="n">
        <x:v>2.6639288158795345</x:v>
      </x:c>
      <x:c r="N976" s="36" t="n">
        <x:v>14110000</x:v>
      </x:c>
    </x:row>
    <x:row r="977" ht="20" customHeight="1">
      <x:c r="C977" s="1" t="n">
        <x:v>2</x:v>
      </x:c>
      <x:c r="D977" s="1" t="n">
        <x:v>8</x:v>
      </x:c>
      <x:c r="E977" s="1" t="n">
        <x:v>33</x:v>
      </x:c>
      <x:c r="F977" s="32" t="n">
        <x:v>47284</x:v>
      </x:c>
      <x:c r="G977" s="36" t="n">
        <x:v>14110000</x:v>
      </x:c>
      <x:c r="H977" s="36" t="n">
        <x:v>67492.83</x:v>
      </x:c>
      <x:c r="I977" s="36" t="n">
        <x:v>0</x:v>
      </x:c>
      <x:c r="J977" s="36" t="n">
        <x:v>0</x:v>
      </x:c>
      <x:c r="K977" s="36" t="n">
        <x:v>14110000</x:v>
      </x:c>
      <x:c r="L977" s="36" t="n">
        <x:v>0</x:v>
      </x:c>
      <x:c r="M977" s="38" t="n">
        <x:v>2.74880219028063</x:v>
      </x:c>
      <x:c r="N977" s="36" t="n">
        <x:v>14110000</x:v>
      </x:c>
    </x:row>
    <x:row r="978" ht="20" customHeight="1">
      <x:c r="C978" s="1" t="n">
        <x:v>2</x:v>
      </x:c>
      <x:c r="D978" s="1" t="n">
        <x:v>8</x:v>
      </x:c>
      <x:c r="E978" s="1" t="n">
        <x:v>34</x:v>
      </x:c>
      <x:c r="F978" s="32" t="n">
        <x:v>47315</x:v>
      </x:c>
      <x:c r="G978" s="36" t="n">
        <x:v>14110000</x:v>
      </x:c>
      <x:c r="H978" s="36" t="n">
        <x:v>67492.83</x:v>
      </x:c>
      <x:c r="I978" s="36" t="n">
        <x:v>0</x:v>
      </x:c>
      <x:c r="J978" s="36" t="n">
        <x:v>0</x:v>
      </x:c>
      <x:c r="K978" s="36" t="n">
        <x:v>14110000</x:v>
      </x:c>
      <x:c r="L978" s="36" t="n">
        <x:v>0</x:v>
      </x:c>
      <x:c r="M978" s="38" t="n">
        <x:v>2.833675564681725</x:v>
      </x:c>
      <x:c r="N978" s="36" t="n">
        <x:v>14110000</x:v>
      </x:c>
    </x:row>
    <x:row r="979" ht="20" customHeight="1">
      <x:c r="C979" s="1" t="n">
        <x:v>2</x:v>
      </x:c>
      <x:c r="D979" s="1" t="n">
        <x:v>8</x:v>
      </x:c>
      <x:c r="E979" s="1" t="n">
        <x:v>35</x:v>
      </x:c>
      <x:c r="F979" s="32" t="n">
        <x:v>47345</x:v>
      </x:c>
      <x:c r="G979" s="36" t="n">
        <x:v>14110000</x:v>
      </x:c>
      <x:c r="H979" s="36" t="n">
        <x:v>67492.83</x:v>
      </x:c>
      <x:c r="I979" s="36" t="n">
        <x:v>0</x:v>
      </x:c>
      <x:c r="J979" s="36" t="n">
        <x:v>0</x:v>
      </x:c>
      <x:c r="K979" s="36" t="n">
        <x:v>14110000</x:v>
      </x:c>
      <x:c r="L979" s="36" t="n">
        <x:v>0</x:v>
      </x:c>
      <x:c r="M979" s="38" t="n">
        <x:v>2.915811088295688</x:v>
      </x:c>
      <x:c r="N979" s="36" t="n">
        <x:v>14110000</x:v>
      </x:c>
    </x:row>
    <x:row r="980" ht="20" customHeight="1">
      <x:c r="C980" s="1" t="n">
        <x:v>2</x:v>
      </x:c>
      <x:c r="D980" s="1" t="n">
        <x:v>8</x:v>
      </x:c>
      <x:c r="E980" s="1" t="n">
        <x:v>36</x:v>
      </x:c>
      <x:c r="F980" s="32" t="n">
        <x:v>47378</x:v>
      </x:c>
      <x:c r="G980" s="36" t="n">
        <x:v>14110000</x:v>
      </x:c>
      <x:c r="H980" s="36" t="n">
        <x:v>67492.83</x:v>
      </x:c>
      <x:c r="I980" s="36" t="n">
        <x:v>0</x:v>
      </x:c>
      <x:c r="J980" s="36" t="n">
        <x:v>0</x:v>
      </x:c>
      <x:c r="K980" s="36" t="n">
        <x:v>14110000</x:v>
      </x:c>
      <x:c r="L980" s="36" t="n">
        <x:v>0</x:v>
      </x:c>
      <x:c r="M980" s="38" t="n">
        <x:v>3.0061601642710474</x:v>
      </x:c>
      <x:c r="N980" s="36" t="n">
        <x:v>14110000</x:v>
      </x:c>
    </x:row>
    <x:row r="981" ht="20" customHeight="1">
      <x:c r="C981" s="1" t="n">
        <x:v>2</x:v>
      </x:c>
      <x:c r="D981" s="1" t="n">
        <x:v>8</x:v>
      </x:c>
      <x:c r="E981" s="1" t="n">
        <x:v>37</x:v>
      </x:c>
      <x:c r="F981" s="32" t="n">
        <x:v>47406</x:v>
      </x:c>
      <x:c r="G981" s="36" t="n">
        <x:v>14110000</x:v>
      </x:c>
      <x:c r="H981" s="36" t="n">
        <x:v>67492.83</x:v>
      </x:c>
      <x:c r="I981" s="36" t="n">
        <x:v>0</x:v>
      </x:c>
      <x:c r="J981" s="36" t="n">
        <x:v>0</x:v>
      </x:c>
      <x:c r="K981" s="36" t="n">
        <x:v>14110000</x:v>
      </x:c>
      <x:c r="L981" s="36" t="n">
        <x:v>0</x:v>
      </x:c>
      <x:c r="M981" s="38" t="n">
        <x:v>3.082819986310746</x:v>
      </x:c>
      <x:c r="N981" s="36" t="n">
        <x:v>14110000</x:v>
      </x:c>
    </x:row>
    <x:row r="982" ht="20" customHeight="1">
      <x:c r="C982" s="1" t="n">
        <x:v>2</x:v>
      </x:c>
      <x:c r="D982" s="1" t="n">
        <x:v>8</x:v>
      </x:c>
      <x:c r="E982" s="1" t="n">
        <x:v>38</x:v>
      </x:c>
      <x:c r="F982" s="32" t="n">
        <x:v>47437</x:v>
      </x:c>
      <x:c r="G982" s="36" t="n">
        <x:v>14110000</x:v>
      </x:c>
      <x:c r="H982" s="36" t="n">
        <x:v>67492.83</x:v>
      </x:c>
      <x:c r="I982" s="36" t="n">
        <x:v>0</x:v>
      </x:c>
      <x:c r="J982" s="36" t="n">
        <x:v>0</x:v>
      </x:c>
      <x:c r="K982" s="36" t="n">
        <x:v>14110000</x:v>
      </x:c>
      <x:c r="L982" s="36" t="n">
        <x:v>0</x:v>
      </x:c>
      <x:c r="M982" s="38" t="n">
        <x:v>3.167693360711841</x:v>
      </x:c>
      <x:c r="N982" s="36" t="n">
        <x:v>14110000</x:v>
      </x:c>
    </x:row>
    <x:row r="983" ht="20" customHeight="1">
      <x:c r="C983" s="1" t="n">
        <x:v>2</x:v>
      </x:c>
      <x:c r="D983" s="1" t="n">
        <x:v>8</x:v>
      </x:c>
      <x:c r="E983" s="1" t="n">
        <x:v>39</x:v>
      </x:c>
      <x:c r="F983" s="32" t="n">
        <x:v>47469</x:v>
      </x:c>
      <x:c r="G983" s="36" t="n">
        <x:v>14110000</x:v>
      </x:c>
      <x:c r="H983" s="36" t="n">
        <x:v>67492.83</x:v>
      </x:c>
      <x:c r="I983" s="36" t="n">
        <x:v>0</x:v>
      </x:c>
      <x:c r="J983" s="36" t="n">
        <x:v>0</x:v>
      </x:c>
      <x:c r="K983" s="36" t="n">
        <x:v>14110000</x:v>
      </x:c>
      <x:c r="L983" s="36" t="n">
        <x:v>0</x:v>
      </x:c>
      <x:c r="M983" s="38" t="n">
        <x:v>3.2553045859000687</x:v>
      </x:c>
      <x:c r="N983" s="36" t="n">
        <x:v>14110000</x:v>
      </x:c>
    </x:row>
    <x:row r="984" ht="20" customHeight="1">
      <x:c r="C984" s="1" t="n">
        <x:v>2</x:v>
      </x:c>
      <x:c r="D984" s="1" t="n">
        <x:v>8</x:v>
      </x:c>
      <x:c r="E984" s="1" t="n">
        <x:v>40</x:v>
      </x:c>
      <x:c r="F984" s="32" t="n">
        <x:v>47498</x:v>
      </x:c>
      <x:c r="G984" s="36" t="n">
        <x:v>14110000</x:v>
      </x:c>
      <x:c r="H984" s="36" t="n">
        <x:v>67492.83</x:v>
      </x:c>
      <x:c r="I984" s="36" t="n">
        <x:v>0</x:v>
      </x:c>
      <x:c r="J984" s="36" t="n">
        <x:v>0</x:v>
      </x:c>
      <x:c r="K984" s="36" t="n">
        <x:v>14110000</x:v>
      </x:c>
      <x:c r="L984" s="36" t="n">
        <x:v>0</x:v>
      </x:c>
      <x:c r="M984" s="38" t="n">
        <x:v>3.3347022587268995</x:v>
      </x:c>
      <x:c r="N984" s="36" t="n">
        <x:v>14110000</x:v>
      </x:c>
    </x:row>
    <x:row r="985" ht="20" customHeight="1">
      <x:c r="C985" s="1" t="n">
        <x:v>2</x:v>
      </x:c>
      <x:c r="D985" s="1" t="n">
        <x:v>8</x:v>
      </x:c>
      <x:c r="E985" s="1" t="n">
        <x:v>41</x:v>
      </x:c>
      <x:c r="F985" s="32" t="n">
        <x:v>47529</x:v>
      </x:c>
      <x:c r="G985" s="36" t="n">
        <x:v>14110000</x:v>
      </x:c>
      <x:c r="H985" s="36" t="n">
        <x:v>67492.83</x:v>
      </x:c>
      <x:c r="I985" s="36" t="n">
        <x:v>0</x:v>
      </x:c>
      <x:c r="J985" s="36" t="n">
        <x:v>0</x:v>
      </x:c>
      <x:c r="K985" s="36" t="n">
        <x:v>14110000</x:v>
      </x:c>
      <x:c r="L985" s="36" t="n">
        <x:v>0</x:v>
      </x:c>
      <x:c r="M985" s="38" t="n">
        <x:v>3.4195756331279945</x:v>
      </x:c>
      <x:c r="N985" s="36" t="n">
        <x:v>14110000</x:v>
      </x:c>
    </x:row>
    <x:row r="986" ht="20" customHeight="1">
      <x:c r="C986" s="1" t="n">
        <x:v>2</x:v>
      </x:c>
      <x:c r="D986" s="1" t="n">
        <x:v>8</x:v>
      </x:c>
      <x:c r="E986" s="1" t="n">
        <x:v>42</x:v>
      </x:c>
      <x:c r="F986" s="32" t="n">
        <x:v>47557</x:v>
      </x:c>
      <x:c r="G986" s="36" t="n">
        <x:v>14110000</x:v>
      </x:c>
      <x:c r="H986" s="36" t="n">
        <x:v>67492.83</x:v>
      </x:c>
      <x:c r="I986" s="36" t="n">
        <x:v>0</x:v>
      </x:c>
      <x:c r="J986" s="36" t="n">
        <x:v>0</x:v>
      </x:c>
      <x:c r="K986" s="36" t="n">
        <x:v>14110000</x:v>
      </x:c>
      <x:c r="L986" s="36" t="n">
        <x:v>0</x:v>
      </x:c>
      <x:c r="M986" s="38" t="n">
        <x:v>3.4962354551676933</x:v>
      </x:c>
      <x:c r="N986" s="36" t="n">
        <x:v>14110000</x:v>
      </x:c>
    </x:row>
    <x:row r="987" ht="20" customHeight="1">
      <x:c r="C987" s="1" t="n">
        <x:v>2</x:v>
      </x:c>
      <x:c r="D987" s="1" t="n">
        <x:v>8</x:v>
      </x:c>
      <x:c r="E987" s="1" t="n">
        <x:v>43</x:v>
      </x:c>
      <x:c r="F987" s="32" t="n">
        <x:v>47588</x:v>
      </x:c>
      <x:c r="G987" s="36" t="n">
        <x:v>14110000</x:v>
      </x:c>
      <x:c r="H987" s="36" t="n">
        <x:v>67492.83</x:v>
      </x:c>
      <x:c r="I987" s="36" t="n">
        <x:v>0</x:v>
      </x:c>
      <x:c r="J987" s="36" t="n">
        <x:v>0</x:v>
      </x:c>
      <x:c r="K987" s="36" t="n">
        <x:v>14110000</x:v>
      </x:c>
      <x:c r="L987" s="36" t="n">
        <x:v>0</x:v>
      </x:c>
      <x:c r="M987" s="38" t="n">
        <x:v>3.5811088295687883</x:v>
      </x:c>
      <x:c r="N987" s="36" t="n">
        <x:v>14110000</x:v>
      </x:c>
    </x:row>
    <x:row r="988" ht="20" customHeight="1">
      <x:c r="C988" s="1" t="n">
        <x:v>2</x:v>
      </x:c>
      <x:c r="D988" s="1" t="n">
        <x:v>8</x:v>
      </x:c>
      <x:c r="E988" s="1" t="n">
        <x:v>44</x:v>
      </x:c>
      <x:c r="F988" s="32" t="n">
        <x:v>47618</x:v>
      </x:c>
      <x:c r="G988" s="36" t="n">
        <x:v>14110000</x:v>
      </x:c>
      <x:c r="H988" s="36" t="n">
        <x:v>67492.83</x:v>
      </x:c>
      <x:c r="I988" s="36" t="n">
        <x:v>0</x:v>
      </x:c>
      <x:c r="J988" s="36" t="n">
        <x:v>0</x:v>
      </x:c>
      <x:c r="K988" s="36" t="n">
        <x:v>14110000</x:v>
      </x:c>
      <x:c r="L988" s="36" t="n">
        <x:v>0</x:v>
      </x:c>
      <x:c r="M988" s="38" t="n">
        <x:v>3.6632443531827517</x:v>
      </x:c>
      <x:c r="N988" s="36" t="n">
        <x:v>14110000</x:v>
      </x:c>
    </x:row>
    <x:row r="989" ht="20" customHeight="1">
      <x:c r="C989" s="1" t="n">
        <x:v>2</x:v>
      </x:c>
      <x:c r="D989" s="1" t="n">
        <x:v>8</x:v>
      </x:c>
      <x:c r="E989" s="1" t="n">
        <x:v>45</x:v>
      </x:c>
      <x:c r="F989" s="32" t="n">
        <x:v>47651</x:v>
      </x:c>
      <x:c r="G989" s="36" t="n">
        <x:v>14110000</x:v>
      </x:c>
      <x:c r="H989" s="36" t="n">
        <x:v>67492.83</x:v>
      </x:c>
      <x:c r="I989" s="36" t="n">
        <x:v>0</x:v>
      </x:c>
      <x:c r="J989" s="36" t="n">
        <x:v>0</x:v>
      </x:c>
      <x:c r="K989" s="36" t="n">
        <x:v>14110000</x:v>
      </x:c>
      <x:c r="L989" s="36" t="n">
        <x:v>0</x:v>
      </x:c>
      <x:c r="M989" s="38" t="n">
        <x:v>3.753593429158111</x:v>
      </x:c>
      <x:c r="N989" s="36" t="n">
        <x:v>14110000</x:v>
      </x:c>
    </x:row>
    <x:row r="990" ht="20" customHeight="1">
      <x:c r="C990" s="1" t="n">
        <x:v>2</x:v>
      </x:c>
      <x:c r="D990" s="1" t="n">
        <x:v>8</x:v>
      </x:c>
      <x:c r="E990" s="1" t="n">
        <x:v>46</x:v>
      </x:c>
      <x:c r="F990" s="32" t="n">
        <x:v>47679</x:v>
      </x:c>
      <x:c r="G990" s="36" t="n">
        <x:v>14110000</x:v>
      </x:c>
      <x:c r="H990" s="36" t="n">
        <x:v>67492.83</x:v>
      </x:c>
      <x:c r="I990" s="36" t="n">
        <x:v>0</x:v>
      </x:c>
      <x:c r="J990" s="36" t="n">
        <x:v>0</x:v>
      </x:c>
      <x:c r="K990" s="36" t="n">
        <x:v>14110000</x:v>
      </x:c>
      <x:c r="L990" s="36" t="n">
        <x:v>0</x:v>
      </x:c>
      <x:c r="M990" s="38" t="n">
        <x:v>3.8302532511978096</x:v>
      </x:c>
      <x:c r="N990" s="36" t="n">
        <x:v>14110000</x:v>
      </x:c>
    </x:row>
    <x:row r="991" ht="20" customHeight="1">
      <x:c r="C991" s="1" t="n">
        <x:v>2</x:v>
      </x:c>
      <x:c r="D991" s="1" t="n">
        <x:v>8</x:v>
      </x:c>
      <x:c r="E991" s="1" t="n">
        <x:v>47</x:v>
      </x:c>
      <x:c r="F991" s="32" t="n">
        <x:v>47710</x:v>
      </x:c>
      <x:c r="G991" s="36" t="n">
        <x:v>14110000</x:v>
      </x:c>
      <x:c r="H991" s="36" t="n">
        <x:v>67492.83</x:v>
      </x:c>
      <x:c r="I991" s="36" t="n">
        <x:v>2621981.18</x:v>
      </x:c>
      <x:c r="J991" s="36" t="n">
        <x:v>0</x:v>
      </x:c>
      <x:c r="K991" s="36" t="n">
        <x:v>11488018.82</x:v>
      </x:c>
      <x:c r="L991" s="36" t="n">
        <x:v>0</x:v>
      </x:c>
      <x:c r="M991" s="38" t="n">
        <x:v>3.915126625598905</x:v>
      </x:c>
      <x:c r="N991" s="36" t="n">
        <x:v>11488018.82</x:v>
      </x:c>
    </x:row>
    <x:row r="992" ht="20" customHeight="1">
      <x:c r="C992" s="1" t="n">
        <x:v>2</x:v>
      </x:c>
      <x:c r="D992" s="1" t="n">
        <x:v>8</x:v>
      </x:c>
      <x:c r="E992" s="1" t="n">
        <x:v>48</x:v>
      </x:c>
      <x:c r="F992" s="32" t="n">
        <x:v>47742</x:v>
      </x:c>
      <x:c r="G992" s="36" t="n">
        <x:v>11488018.82</x:v>
      </x:c>
      <x:c r="H992" s="36" t="n">
        <x:v>54951.02</x:v>
      </x:c>
      <x:c r="I992" s="36" t="n">
        <x:v>4549277.49</x:v>
      </x:c>
      <x:c r="J992" s="36" t="n">
        <x:v>0</x:v>
      </x:c>
      <x:c r="K992" s="36" t="n">
        <x:v>6938741.33</x:v>
      </x:c>
      <x:c r="L992" s="36" t="n">
        <x:v>0</x:v>
      </x:c>
      <x:c r="M992" s="38" t="n">
        <x:v>4.002737850787132</x:v>
      </x:c>
      <x:c r="N992" s="36" t="n">
        <x:v>6938741.33</x:v>
      </x:c>
    </x:row>
    <x:row r="993" ht="20" customHeight="1">
      <x:c r="C993" s="1" t="n">
        <x:v>2</x:v>
      </x:c>
      <x:c r="D993" s="1" t="n">
        <x:v>8</x:v>
      </x:c>
      <x:c r="E993" s="1" t="n">
        <x:v>49</x:v>
      </x:c>
      <x:c r="F993" s="32" t="n">
        <x:v>47771</x:v>
      </x:c>
      <x:c r="G993" s="36" t="n">
        <x:v>6938741.33</x:v>
      </x:c>
      <x:c r="H993" s="36" t="n">
        <x:v>33190.31</x:v>
      </x:c>
      <x:c r="I993" s="36" t="n">
        <x:v>6938741.33</x:v>
      </x:c>
      <x:c r="J993" s="36" t="n">
        <x:v>0</x:v>
      </x:c>
      <x:c r="K993" s="36" t="n">
        <x:v>0</x:v>
      </x:c>
      <x:c r="L993" s="36" t="n">
        <x:v>0</x:v>
      </x:c>
      <x:c r="M993" s="38" t="n">
        <x:v>4.082135523613963</x:v>
      </x:c>
      <x:c r="N993" s="36" t="n">
        <x:v>0</x:v>
      </x:c>
    </x:row>
    <x:row r="994" ht="20" customHeight="1">
      <x:c r="C994" s="1" t="n">
        <x:v>2</x:v>
      </x:c>
      <x:c r="D994" s="1" t="n">
        <x:v>8</x:v>
      </x:c>
      <x:c r="E994" s="1" t="n">
        <x:v>50</x:v>
      </x:c>
      <x:c r="F994" s="32" t="n">
        <x:v>47802</x:v>
      </x:c>
      <x:c r="G994" s="36" t="n">
        <x:v>0</x:v>
      </x:c>
      <x:c r="H994" s="36" t="n">
        <x:v>0</x:v>
      </x:c>
      <x:c r="I994" s="36" t="n">
        <x:v>0</x:v>
      </x:c>
      <x:c r="J994" s="36" t="n">
        <x:v>0</x:v>
      </x:c>
      <x:c r="K994" s="36" t="n">
        <x:v>0</x:v>
      </x:c>
      <x:c r="L994" s="36" t="n">
        <x:v>0</x:v>
      </x:c>
      <x:c r="M994" s="38" t="n">
        <x:v>4.167008898015058</x:v>
      </x:c>
      <x:c r="N994" s="36" t="n">
        <x:v>0</x:v>
      </x:c>
    </x:row>
    <x:row r="995" ht="20" customHeight="1">
      <x:c r="C995" s="1" t="n">
        <x:v>2</x:v>
      </x:c>
      <x:c r="D995" s="1" t="n">
        <x:v>8</x:v>
      </x:c>
      <x:c r="E995" s="1" t="n">
        <x:v>51</x:v>
      </x:c>
      <x:c r="F995" s="32" t="n">
        <x:v>47833</x:v>
      </x:c>
      <x:c r="G995" s="36" t="n">
        <x:v>0</x:v>
      </x:c>
      <x:c r="H995" s="36" t="n">
        <x:v>0</x:v>
      </x:c>
      <x:c r="I995" s="36" t="n">
        <x:v>0</x:v>
      </x:c>
      <x:c r="J995" s="36" t="n">
        <x:v>0</x:v>
      </x:c>
      <x:c r="K995" s="36" t="n">
        <x:v>0</x:v>
      </x:c>
      <x:c r="L995" s="36" t="n">
        <x:v>0</x:v>
      </x:c>
      <x:c r="M995" s="38" t="n">
        <x:v>4.251882272416153</x:v>
      </x:c>
      <x:c r="N995" s="36" t="n">
        <x:v>0</x:v>
      </x:c>
    </x:row>
    <x:row r="996" ht="20" customHeight="1">
      <x:c r="C996" s="1" t="n">
        <x:v>2</x:v>
      </x:c>
      <x:c r="D996" s="1" t="n">
        <x:v>8</x:v>
      </x:c>
      <x:c r="E996" s="1" t="n">
        <x:v>52</x:v>
      </x:c>
      <x:c r="F996" s="32" t="n">
        <x:v>47863</x:v>
      </x:c>
      <x:c r="G996" s="36" t="n">
        <x:v>0</x:v>
      </x:c>
      <x:c r="H996" s="36" t="n">
        <x:v>0</x:v>
      </x:c>
      <x:c r="I996" s="36" t="n">
        <x:v>0</x:v>
      </x:c>
      <x:c r="J996" s="36" t="n">
        <x:v>0</x:v>
      </x:c>
      <x:c r="K996" s="36" t="n">
        <x:v>0</x:v>
      </x:c>
      <x:c r="L996" s="36" t="n">
        <x:v>0</x:v>
      </x:c>
      <x:c r="M996" s="38" t="n">
        <x:v>4.334017796030117</x:v>
      </x:c>
      <x:c r="N996" s="36" t="n">
        <x:v>0</x:v>
      </x:c>
    </x:row>
    <x:row r="997" ht="20" customHeight="1">
      <x:c r="C997" s="1" t="n">
        <x:v>2</x:v>
      </x:c>
      <x:c r="D997" s="1" t="n">
        <x:v>8</x:v>
      </x:c>
      <x:c r="E997" s="1" t="n">
        <x:v>53</x:v>
      </x:c>
      <x:c r="F997" s="32" t="n">
        <x:v>47897</x:v>
      </x:c>
      <x:c r="G997" s="36" t="n">
        <x:v>0</x:v>
      </x:c>
      <x:c r="H997" s="36" t="n">
        <x:v>0</x:v>
      </x:c>
      <x:c r="I997" s="36" t="n">
        <x:v>0</x:v>
      </x:c>
      <x:c r="J997" s="36" t="n">
        <x:v>0</x:v>
      </x:c>
      <x:c r="K997" s="36" t="n">
        <x:v>0</x:v>
      </x:c>
      <x:c r="L997" s="36" t="n">
        <x:v>0</x:v>
      </x:c>
      <x:c r="M997" s="38" t="n">
        <x:v>4.427104722792608</x:v>
      </x:c>
      <x:c r="N997" s="36" t="n">
        <x:v>0</x:v>
      </x:c>
    </x:row>
    <x:row r="998" ht="20" customHeight="1">
      <x:c r="C998" s="1" t="n">
        <x:v>2</x:v>
      </x:c>
      <x:c r="D998" s="1" t="n">
        <x:v>8</x:v>
      </x:c>
      <x:c r="E998" s="1" t="n">
        <x:v>54</x:v>
      </x:c>
      <x:c r="F998" s="32" t="n">
        <x:v>47924</x:v>
      </x:c>
      <x:c r="G998" s="36" t="n">
        <x:v>0</x:v>
      </x:c>
      <x:c r="H998" s="36" t="n">
        <x:v>0</x:v>
      </x:c>
      <x:c r="I998" s="36" t="n">
        <x:v>0</x:v>
      </x:c>
      <x:c r="J998" s="36" t="n">
        <x:v>0</x:v>
      </x:c>
      <x:c r="K998" s="36" t="n">
        <x:v>0</x:v>
      </x:c>
      <x:c r="L998" s="36" t="n">
        <x:v>0</x:v>
      </x:c>
      <x:c r="M998" s="38" t="n">
        <x:v>4.501026694045175</x:v>
      </x:c>
      <x:c r="N998" s="36" t="n">
        <x:v>0</x:v>
      </x:c>
    </x:row>
    <x:row r="999" ht="20" customHeight="1">
      <x:c r="C999" s="1" t="n">
        <x:v>2</x:v>
      </x:c>
      <x:c r="D999" s="1" t="n">
        <x:v>8</x:v>
      </x:c>
      <x:c r="E999" s="1" t="n">
        <x:v>55</x:v>
      </x:c>
      <x:c r="F999" s="32" t="n">
        <x:v>47953</x:v>
      </x:c>
      <x:c r="G999" s="36" t="n">
        <x:v>0</x:v>
      </x:c>
      <x:c r="H999" s="36" t="n">
        <x:v>0</x:v>
      </x:c>
      <x:c r="I999" s="36" t="n">
        <x:v>0</x:v>
      </x:c>
      <x:c r="J999" s="36" t="n">
        <x:v>0</x:v>
      </x:c>
      <x:c r="K999" s="36" t="n">
        <x:v>0</x:v>
      </x:c>
      <x:c r="L999" s="36" t="n">
        <x:v>0</x:v>
      </x:c>
      <x:c r="M999" s="38" t="n">
        <x:v>4.5804243668720055</x:v>
      </x:c>
      <x:c r="N999" s="36" t="n">
        <x:v>0</x:v>
      </x:c>
    </x:row>
    <x:row r="1000" ht="20" customHeight="1">
      <x:c r="C1000" s="1" t="n">
        <x:v>2</x:v>
      </x:c>
      <x:c r="D1000" s="1" t="n">
        <x:v>8</x:v>
      </x:c>
      <x:c r="E1000" s="1" t="n">
        <x:v>56</x:v>
      </x:c>
      <x:c r="F1000" s="32" t="n">
        <x:v>47983</x:v>
      </x:c>
      <x:c r="G1000" s="36" t="n">
        <x:v>0</x:v>
      </x:c>
      <x:c r="H1000" s="36" t="n">
        <x:v>0</x:v>
      </x:c>
      <x:c r="I1000" s="36" t="n">
        <x:v>0</x:v>
      </x:c>
      <x:c r="J1000" s="36" t="n">
        <x:v>0</x:v>
      </x:c>
      <x:c r="K1000" s="36" t="n">
        <x:v>0</x:v>
      </x:c>
      <x:c r="L1000" s="36" t="n">
        <x:v>0</x:v>
      </x:c>
      <x:c r="M1000" s="38" t="n">
        <x:v>4.662559890485968</x:v>
      </x:c>
      <x:c r="N1000" s="36" t="n">
        <x:v>0</x:v>
      </x:c>
    </x:row>
    <x:row r="1001" ht="20" customHeight="1">
      <x:c r="C1001" s="1" t="n">
        <x:v>2</x:v>
      </x:c>
      <x:c r="D1001" s="1" t="n">
        <x:v>8</x:v>
      </x:c>
      <x:c r="E1001" s="1" t="n">
        <x:v>57</x:v>
      </x:c>
      <x:c r="F1001" s="32" t="n">
        <x:v>48015</x:v>
      </x:c>
      <x:c r="G1001" s="36" t="n">
        <x:v>0</x:v>
      </x:c>
      <x:c r="H1001" s="36" t="n">
        <x:v>0</x:v>
      </x:c>
      <x:c r="I1001" s="36" t="n">
        <x:v>0</x:v>
      </x:c>
      <x:c r="J1001" s="36" t="n">
        <x:v>0</x:v>
      </x:c>
      <x:c r="K1001" s="36" t="n">
        <x:v>0</x:v>
      </x:c>
      <x:c r="L1001" s="36" t="n">
        <x:v>0</x:v>
      </x:c>
      <x:c r="M1001" s="38" t="n">
        <x:v>4.7501711156741955</x:v>
      </x:c>
      <x:c r="N1001" s="36" t="n">
        <x:v>0</x:v>
      </x:c>
    </x:row>
    <x:row r="1002" ht="20" customHeight="1">
      <x:c r="C1002" s="1" t="n">
        <x:v>2</x:v>
      </x:c>
      <x:c r="D1002" s="1" t="n">
        <x:v>8</x:v>
      </x:c>
      <x:c r="E1002" s="1" t="n">
        <x:v>58</x:v>
      </x:c>
      <x:c r="F1002" s="32" t="n">
        <x:v>48044</x:v>
      </x:c>
      <x:c r="G1002" s="36" t="n">
        <x:v>0</x:v>
      </x:c>
      <x:c r="H1002" s="36" t="n">
        <x:v>0</x:v>
      </x:c>
      <x:c r="I1002" s="36" t="n">
        <x:v>0</x:v>
      </x:c>
      <x:c r="J1002" s="36" t="n">
        <x:v>0</x:v>
      </x:c>
      <x:c r="K1002" s="36" t="n">
        <x:v>0</x:v>
      </x:c>
      <x:c r="L1002" s="36" t="n">
        <x:v>0</x:v>
      </x:c>
      <x:c r="M1002" s="38" t="n">
        <x:v>4.829568788501026</x:v>
      </x:c>
      <x:c r="N1002" s="36" t="n">
        <x:v>0</x:v>
      </x:c>
    </x:row>
    <x:row r="1003" ht="20" customHeight="1">
      <x:c r="C1003" s="1" t="n">
        <x:v>2</x:v>
      </x:c>
      <x:c r="D1003" s="1" t="n">
        <x:v>8</x:v>
      </x:c>
      <x:c r="E1003" s="1" t="n">
        <x:v>59</x:v>
      </x:c>
      <x:c r="F1003" s="32" t="n">
        <x:v>48075</x:v>
      </x:c>
      <x:c r="G1003" s="36" t="n">
        <x:v>0</x:v>
      </x:c>
      <x:c r="H1003" s="36" t="n">
        <x:v>0</x:v>
      </x:c>
      <x:c r="I1003" s="36" t="n">
        <x:v>0</x:v>
      </x:c>
      <x:c r="J1003" s="36" t="n">
        <x:v>0</x:v>
      </x:c>
      <x:c r="K1003" s="36" t="n">
        <x:v>0</x:v>
      </x:c>
      <x:c r="L1003" s="36" t="n">
        <x:v>0</x:v>
      </x:c>
      <x:c r="M1003" s="38" t="n">
        <x:v>4.914442162902122</x:v>
      </x:c>
      <x:c r="N1003" s="36" t="n">
        <x:v>0</x:v>
      </x:c>
    </x:row>
    <x:row r="1004" ht="20" customHeight="1">
      <x:c r="C1004" s="1" t="n">
        <x:v>2</x:v>
      </x:c>
      <x:c r="D1004" s="1" t="n">
        <x:v>8</x:v>
      </x:c>
      <x:c r="E1004" s="1" t="n">
        <x:v>60</x:v>
      </x:c>
      <x:c r="F1004" s="32" t="n">
        <x:v>48106</x:v>
      </x:c>
      <x:c r="G1004" s="36" t="n">
        <x:v>0</x:v>
      </x:c>
      <x:c r="H1004" s="36" t="n">
        <x:v>0</x:v>
      </x:c>
      <x:c r="I1004" s="36" t="n">
        <x:v>0</x:v>
      </x:c>
      <x:c r="J1004" s="36" t="n">
        <x:v>0</x:v>
      </x:c>
      <x:c r="K1004" s="36" t="n">
        <x:v>0</x:v>
      </x:c>
      <x:c r="L1004" s="36" t="n">
        <x:v>0</x:v>
      </x:c>
      <x:c r="M1004" s="38" t="n">
        <x:v>4.999315537303217</x:v>
      </x:c>
      <x:c r="N1004" s="36" t="n">
        <x:v>0</x:v>
      </x:c>
    </x:row>
    <x:row r="1005" ht="20" customHeight="1">
      <x:c r="C1005" s="1" t="n">
        <x:v>2</x:v>
      </x:c>
      <x:c r="D1005" s="1" t="n">
        <x:v>8</x:v>
      </x:c>
      <x:c r="E1005" s="1" t="n">
        <x:v>61</x:v>
      </x:c>
      <x:c r="F1005" s="32" t="n">
        <x:v>48136</x:v>
      </x:c>
      <x:c r="G1005" s="36" t="n">
        <x:v>0</x:v>
      </x:c>
      <x:c r="H1005" s="36" t="n">
        <x:v>0</x:v>
      </x:c>
      <x:c r="I1005" s="36" t="n">
        <x:v>0</x:v>
      </x:c>
      <x:c r="J1005" s="36" t="n">
        <x:v>0</x:v>
      </x:c>
      <x:c r="K1005" s="36" t="n">
        <x:v>0</x:v>
      </x:c>
      <x:c r="L1005" s="36" t="n">
        <x:v>0</x:v>
      </x:c>
      <x:c r="M1005" s="38" t="n">
        <x:v>5.08145106091718</x:v>
      </x:c>
      <x:c r="N1005" s="36" t="n">
        <x:v>0</x:v>
      </x:c>
    </x:row>
    <x:row r="1006" ht="20" customHeight="1">
      <x:c r="C1006" s="1" t="n">
        <x:v>2</x:v>
      </x:c>
      <x:c r="D1006" s="1" t="n">
        <x:v>8</x:v>
      </x:c>
      <x:c r="E1006" s="1" t="n">
        <x:v>62</x:v>
      </x:c>
      <x:c r="F1006" s="32" t="n">
        <x:v>48169</x:v>
      </x:c>
      <x:c r="G1006" s="36" t="n">
        <x:v>0</x:v>
      </x:c>
      <x:c r="H1006" s="36" t="n">
        <x:v>0</x:v>
      </x:c>
      <x:c r="I1006" s="36" t="n">
        <x:v>0</x:v>
      </x:c>
      <x:c r="J1006" s="36" t="n">
        <x:v>0</x:v>
      </x:c>
      <x:c r="K1006" s="36" t="n">
        <x:v>0</x:v>
      </x:c>
      <x:c r="L1006" s="36" t="n">
        <x:v>0</x:v>
      </x:c>
      <x:c r="M1006" s="38" t="n">
        <x:v>5.171800136892539</x:v>
      </x:c>
      <x:c r="N1006" s="36" t="n">
        <x:v>0</x:v>
      </x:c>
    </x:row>
    <x:row r="1007" ht="20" customHeight="1">
      <x:c r="C1007" s="1" t="n">
        <x:v>2</x:v>
      </x:c>
      <x:c r="D1007" s="1" t="n">
        <x:v>8</x:v>
      </x:c>
      <x:c r="E1007" s="1" t="n">
        <x:v>63</x:v>
      </x:c>
      <x:c r="F1007" s="32" t="n">
        <x:v>48197</x:v>
      </x:c>
      <x:c r="G1007" s="36" t="n">
        <x:v>0</x:v>
      </x:c>
      <x:c r="H1007" s="36" t="n">
        <x:v>0</x:v>
      </x:c>
      <x:c r="I1007" s="36" t="n">
        <x:v>0</x:v>
      </x:c>
      <x:c r="J1007" s="36" t="n">
        <x:v>0</x:v>
      </x:c>
      <x:c r="K1007" s="36" t="n">
        <x:v>0</x:v>
      </x:c>
      <x:c r="L1007" s="36" t="n">
        <x:v>0</x:v>
      </x:c>
      <x:c r="M1007" s="38" t="n">
        <x:v>5.248459958932238</x:v>
      </x:c>
      <x:c r="N1007" s="36" t="n">
        <x:v>0</x:v>
      </x:c>
    </x:row>
    <x:row r="1008" ht="20" customHeight="1">
      <x:c r="C1008" s="1" t="n">
        <x:v>2</x:v>
      </x:c>
      <x:c r="D1008" s="1" t="n">
        <x:v>8</x:v>
      </x:c>
      <x:c r="E1008" s="1" t="n">
        <x:v>64</x:v>
      </x:c>
      <x:c r="F1008" s="32" t="n">
        <x:v>48228</x:v>
      </x:c>
      <x:c r="G1008" s="36" t="n">
        <x:v>0</x:v>
      </x:c>
      <x:c r="H1008" s="36" t="n">
        <x:v>0</x:v>
      </x:c>
      <x:c r="I1008" s="36" t="n">
        <x:v>0</x:v>
      </x:c>
      <x:c r="J1008" s="36" t="n">
        <x:v>0</x:v>
      </x:c>
      <x:c r="K1008" s="36" t="n">
        <x:v>0</x:v>
      </x:c>
      <x:c r="L1008" s="36" t="n">
        <x:v>0</x:v>
      </x:c>
      <x:c r="M1008" s="38" t="n">
        <x:v>5.333333333333333</x:v>
      </x:c>
      <x:c r="N1008" s="36" t="n">
        <x:v>0</x:v>
      </x:c>
    </x:row>
    <x:row r="1009" ht="20" customHeight="1">
      <x:c r="C1009" s="1" t="n">
        <x:v>3</x:v>
      </x:c>
      <x:c r="D1009" s="1" t="n">
        <x:v>1</x:v>
      </x:c>
      <x:c r="E1009" s="1" t="n">
        <x:v>1</x:v>
      </x:c>
      <x:c r="F1009" s="32" t="n">
        <x:v>46310</x:v>
      </x:c>
      <x:c r="G1009" s="36" t="n">
        <x:v>0</x:v>
      </x:c>
      <x:c r="H1009" s="36" t="n">
        <x:v>0</x:v>
      </x:c>
      <x:c r="I1009" s="36" t="n">
        <x:v>0</x:v>
      </x:c>
      <x:c r="J1009" s="36" t="n">
        <x:v>0</x:v>
      </x:c>
      <x:c r="K1009" s="36" t="n">
        <x:v>0</x:v>
      </x:c>
      <x:c r="L1009" s="36" t="n">
        <x:v>0</x:v>
      </x:c>
      <x:c r="M1009" s="38" t="n">
        <x:v>0.08213552361396304</x:v>
      </x:c>
      <x:c r="N1009" s="36" t="n">
        <x:v>0</x:v>
      </x:c>
    </x:row>
    <x:row r="1010" ht="20" customHeight="1">
      <x:c r="C1010" s="1" t="n">
        <x:v>3</x:v>
      </x:c>
      <x:c r="D1010" s="1" t="n">
        <x:v>1</x:v>
      </x:c>
      <x:c r="E1010" s="1" t="n">
        <x:v>2</x:v>
      </x:c>
      <x:c r="F1010" s="32" t="n">
        <x:v>46342</x:v>
      </x:c>
      <x:c r="G1010" s="36" t="n">
        <x:v>0</x:v>
      </x:c>
      <x:c r="H1010" s="36" t="n">
        <x:v>0</x:v>
      </x:c>
      <x:c r="I1010" s="36" t="n">
        <x:v>0</x:v>
      </x:c>
      <x:c r="J1010" s="36" t="n">
        <x:v>0</x:v>
      </x:c>
      <x:c r="K1010" s="36" t="n">
        <x:v>0</x:v>
      </x:c>
      <x:c r="L1010" s="36" t="n">
        <x:v>0</x:v>
      </x:c>
      <x:c r="M1010" s="38" t="n">
        <x:v>0.1697467488021903</x:v>
      </x:c>
      <x:c r="N1010" s="36" t="n">
        <x:v>0</x:v>
      </x:c>
    </x:row>
    <x:row r="1011" ht="20" customHeight="1">
      <x:c r="C1011" s="1" t="n">
        <x:v>3</x:v>
      </x:c>
      <x:c r="D1011" s="1" t="n">
        <x:v>1</x:v>
      </x:c>
      <x:c r="E1011" s="1" t="n">
        <x:v>3</x:v>
      </x:c>
      <x:c r="F1011" s="32" t="n">
        <x:v>46371</x:v>
      </x:c>
      <x:c r="G1011" s="36" t="n">
        <x:v>0</x:v>
      </x:c>
      <x:c r="H1011" s="36" t="n">
        <x:v>0</x:v>
      </x:c>
      <x:c r="I1011" s="36" t="n">
        <x:v>0</x:v>
      </x:c>
      <x:c r="J1011" s="36" t="n">
        <x:v>0</x:v>
      </x:c>
      <x:c r="K1011" s="36" t="n">
        <x:v>0</x:v>
      </x:c>
      <x:c r="L1011" s="36" t="n">
        <x:v>0</x:v>
      </x:c>
      <x:c r="M1011" s="38" t="n">
        <x:v>0.24914442162902123</x:v>
      </x:c>
      <x:c r="N1011" s="36" t="n">
        <x:v>0</x:v>
      </x:c>
    </x:row>
    <x:row r="1012" ht="20" customHeight="1">
      <x:c r="C1012" s="1" t="n">
        <x:v>3</x:v>
      </x:c>
      <x:c r="D1012" s="1" t="n">
        <x:v>1</x:v>
      </x:c>
      <x:c r="E1012" s="1" t="n">
        <x:v>4</x:v>
      </x:c>
      <x:c r="F1012" s="32" t="n">
        <x:v>46402</x:v>
      </x:c>
      <x:c r="G1012" s="36" t="n">
        <x:v>0</x:v>
      </x:c>
      <x:c r="H1012" s="36" t="n">
        <x:v>0</x:v>
      </x:c>
      <x:c r="I1012" s="36" t="n">
        <x:v>0</x:v>
      </x:c>
      <x:c r="J1012" s="36" t="n">
        <x:v>0</x:v>
      </x:c>
      <x:c r="K1012" s="36" t="n">
        <x:v>0</x:v>
      </x:c>
      <x:c r="L1012" s="36" t="n">
        <x:v>0</x:v>
      </x:c>
      <x:c r="M1012" s="38" t="n">
        <x:v>0.33401779603011633</x:v>
      </x:c>
      <x:c r="N1012" s="36" t="n">
        <x:v>0</x:v>
      </x:c>
    </x:row>
    <x:row r="1013" ht="20" customHeight="1">
      <x:c r="C1013" s="1" t="n">
        <x:v>3</x:v>
      </x:c>
      <x:c r="D1013" s="1" t="n">
        <x:v>1</x:v>
      </x:c>
      <x:c r="E1013" s="1" t="n">
        <x:v>5</x:v>
      </x:c>
      <x:c r="F1013" s="32" t="n">
        <x:v>46434</x:v>
      </x:c>
      <x:c r="G1013" s="36" t="n">
        <x:v>0</x:v>
      </x:c>
      <x:c r="H1013" s="36" t="n">
        <x:v>0</x:v>
      </x:c>
      <x:c r="I1013" s="36" t="n">
        <x:v>0</x:v>
      </x:c>
      <x:c r="J1013" s="36" t="n">
        <x:v>0</x:v>
      </x:c>
      <x:c r="K1013" s="36" t="n">
        <x:v>0</x:v>
      </x:c>
      <x:c r="L1013" s="36" t="n">
        <x:v>0</x:v>
      </x:c>
      <x:c r="M1013" s="38" t="n">
        <x:v>0.4216290212183436</x:v>
      </x:c>
      <x:c r="N1013" s="36" t="n">
        <x:v>0</x:v>
      </x:c>
    </x:row>
    <x:row r="1014" ht="20" customHeight="1">
      <x:c r="C1014" s="1" t="n">
        <x:v>3</x:v>
      </x:c>
      <x:c r="D1014" s="1" t="n">
        <x:v>1</x:v>
      </x:c>
      <x:c r="E1014" s="1" t="n">
        <x:v>6</x:v>
      </x:c>
      <x:c r="F1014" s="32" t="n">
        <x:v>46461</x:v>
      </x:c>
      <x:c r="G1014" s="36" t="n">
        <x:v>0</x:v>
      </x:c>
      <x:c r="H1014" s="36" t="n">
        <x:v>0</x:v>
      </x:c>
      <x:c r="I1014" s="36" t="n">
        <x:v>0</x:v>
      </x:c>
      <x:c r="J1014" s="36" t="n">
        <x:v>0</x:v>
      </x:c>
      <x:c r="K1014" s="36" t="n">
        <x:v>0</x:v>
      </x:c>
      <x:c r="L1014" s="36" t="n">
        <x:v>0</x:v>
      </x:c>
      <x:c r="M1014" s="38" t="n">
        <x:v>0.49555099247091033</x:v>
      </x:c>
      <x:c r="N1014" s="36" t="n">
        <x:v>0</x:v>
      </x:c>
    </x:row>
    <x:row r="1015" ht="20" customHeight="1">
      <x:c r="C1015" s="1" t="n">
        <x:v>3</x:v>
      </x:c>
      <x:c r="D1015" s="1" t="n">
        <x:v>1</x:v>
      </x:c>
      <x:c r="E1015" s="1" t="n">
        <x:v>7</x:v>
      </x:c>
      <x:c r="F1015" s="32" t="n">
        <x:v>46492</x:v>
      </x:c>
      <x:c r="G1015" s="36" t="n">
        <x:v>0</x:v>
      </x:c>
      <x:c r="H1015" s="36" t="n">
        <x:v>0</x:v>
      </x:c>
      <x:c r="I1015" s="36" t="n">
        <x:v>0</x:v>
      </x:c>
      <x:c r="J1015" s="36" t="n">
        <x:v>0</x:v>
      </x:c>
      <x:c r="K1015" s="36" t="n">
        <x:v>0</x:v>
      </x:c>
      <x:c r="L1015" s="36" t="n">
        <x:v>0</x:v>
      </x:c>
      <x:c r="M1015" s="38" t="n">
        <x:v>0.5804243668720055</x:v>
      </x:c>
      <x:c r="N1015" s="36" t="n">
        <x:v>0</x:v>
      </x:c>
    </x:row>
    <x:row r="1016" ht="20" customHeight="1">
      <x:c r="C1016" s="1" t="n">
        <x:v>3</x:v>
      </x:c>
      <x:c r="D1016" s="1" t="n">
        <x:v>1</x:v>
      </x:c>
      <x:c r="E1016" s="1" t="n">
        <x:v>8</x:v>
      </x:c>
      <x:c r="F1016" s="32" t="n">
        <x:v>46524</x:v>
      </x:c>
      <x:c r="G1016" s="36" t="n">
        <x:v>0</x:v>
      </x:c>
      <x:c r="H1016" s="36" t="n">
        <x:v>0</x:v>
      </x:c>
      <x:c r="I1016" s="36" t="n">
        <x:v>0</x:v>
      </x:c>
      <x:c r="J1016" s="36" t="n">
        <x:v>0</x:v>
      </x:c>
      <x:c r="K1016" s="36" t="n">
        <x:v>0</x:v>
      </x:c>
      <x:c r="L1016" s="36" t="n">
        <x:v>0</x:v>
      </x:c>
      <x:c r="M1016" s="38" t="n">
        <x:v>0.6680355920602327</x:v>
      </x:c>
      <x:c r="N1016" s="36" t="n">
        <x:v>0</x:v>
      </x:c>
    </x:row>
    <x:row r="1017" ht="20" customHeight="1">
      <x:c r="C1017" s="1" t="n">
        <x:v>3</x:v>
      </x:c>
      <x:c r="D1017" s="1" t="n">
        <x:v>1</x:v>
      </x:c>
      <x:c r="E1017" s="1" t="n">
        <x:v>9</x:v>
      </x:c>
      <x:c r="F1017" s="32" t="n">
        <x:v>46553</x:v>
      </x:c>
      <x:c r="G1017" s="36" t="n">
        <x:v>0</x:v>
      </x:c>
      <x:c r="H1017" s="36" t="n">
        <x:v>0</x:v>
      </x:c>
      <x:c r="I1017" s="36" t="n">
        <x:v>0</x:v>
      </x:c>
      <x:c r="J1017" s="36" t="n">
        <x:v>0</x:v>
      </x:c>
      <x:c r="K1017" s="36" t="n">
        <x:v>0</x:v>
      </x:c>
      <x:c r="L1017" s="36" t="n">
        <x:v>0</x:v>
      </x:c>
      <x:c r="M1017" s="38" t="n">
        <x:v>0.7474332648870636</x:v>
      </x:c>
      <x:c r="N1017" s="36" t="n">
        <x:v>0</x:v>
      </x:c>
    </x:row>
    <x:row r="1018" ht="20" customHeight="1">
      <x:c r="C1018" s="1" t="n">
        <x:v>3</x:v>
      </x:c>
      <x:c r="D1018" s="1" t="n">
        <x:v>1</x:v>
      </x:c>
      <x:c r="E1018" s="1" t="n">
        <x:v>10</x:v>
      </x:c>
      <x:c r="F1018" s="32" t="n">
        <x:v>46583</x:v>
      </x:c>
      <x:c r="G1018" s="36" t="n">
        <x:v>0</x:v>
      </x:c>
      <x:c r="H1018" s="36" t="n">
        <x:v>0</x:v>
      </x:c>
      <x:c r="I1018" s="36" t="n">
        <x:v>0</x:v>
      </x:c>
      <x:c r="J1018" s="36" t="n">
        <x:v>0</x:v>
      </x:c>
      <x:c r="K1018" s="36" t="n">
        <x:v>0</x:v>
      </x:c>
      <x:c r="L1018" s="36" t="n">
        <x:v>0</x:v>
      </x:c>
      <x:c r="M1018" s="38" t="n">
        <x:v>0.8295687885010267</x:v>
      </x:c>
      <x:c r="N1018" s="36" t="n">
        <x:v>0</x:v>
      </x:c>
    </x:row>
    <x:row r="1019" ht="20" customHeight="1">
      <x:c r="C1019" s="1" t="n">
        <x:v>3</x:v>
      </x:c>
      <x:c r="D1019" s="1" t="n">
        <x:v>1</x:v>
      </x:c>
      <x:c r="E1019" s="1" t="n">
        <x:v>11</x:v>
      </x:c>
      <x:c r="F1019" s="32" t="n">
        <x:v>46615</x:v>
      </x:c>
      <x:c r="G1019" s="36" t="n">
        <x:v>0</x:v>
      </x:c>
      <x:c r="H1019" s="36" t="n">
        <x:v>0</x:v>
      </x:c>
      <x:c r="I1019" s="36" t="n">
        <x:v>0</x:v>
      </x:c>
      <x:c r="J1019" s="36" t="n">
        <x:v>0</x:v>
      </x:c>
      <x:c r="K1019" s="36" t="n">
        <x:v>0</x:v>
      </x:c>
      <x:c r="L1019" s="36" t="n">
        <x:v>0</x:v>
      </x:c>
      <x:c r="M1019" s="38" t="n">
        <x:v>0.917180013689254</x:v>
      </x:c>
      <x:c r="N1019" s="36" t="n">
        <x:v>0</x:v>
      </x:c>
    </x:row>
    <x:row r="1020" ht="20" customHeight="1">
      <x:c r="C1020" s="1" t="n">
        <x:v>3</x:v>
      </x:c>
      <x:c r="D1020" s="1" t="n">
        <x:v>1</x:v>
      </x:c>
      <x:c r="E1020" s="1" t="n">
        <x:v>12</x:v>
      </x:c>
      <x:c r="F1020" s="32" t="n">
        <x:v>46645</x:v>
      </x:c>
      <x:c r="G1020" s="36" t="n">
        <x:v>0</x:v>
      </x:c>
      <x:c r="H1020" s="36" t="n">
        <x:v>0</x:v>
      </x:c>
      <x:c r="I1020" s="36" t="n">
        <x:v>0</x:v>
      </x:c>
      <x:c r="J1020" s="36" t="n">
        <x:v>0</x:v>
      </x:c>
      <x:c r="K1020" s="36" t="n">
        <x:v>0</x:v>
      </x:c>
      <x:c r="L1020" s="36" t="n">
        <x:v>0</x:v>
      </x:c>
      <x:c r="M1020" s="38" t="n">
        <x:v>0.999315537303217</x:v>
      </x:c>
      <x:c r="N1020" s="36" t="n">
        <x:v>0</x:v>
      </x:c>
    </x:row>
    <x:row r="1021" ht="20" customHeight="1">
      <x:c r="C1021" s="1" t="n">
        <x:v>3</x:v>
      </x:c>
      <x:c r="D1021" s="1" t="n">
        <x:v>1</x:v>
      </x:c>
      <x:c r="E1021" s="1" t="n">
        <x:v>13</x:v>
      </x:c>
      <x:c r="F1021" s="32" t="n">
        <x:v>46675</x:v>
      </x:c>
      <x:c r="G1021" s="36" t="n">
        <x:v>0</x:v>
      </x:c>
      <x:c r="H1021" s="36" t="n">
        <x:v>0</x:v>
      </x:c>
      <x:c r="I1021" s="36" t="n">
        <x:v>0</x:v>
      </x:c>
      <x:c r="J1021" s="36" t="n">
        <x:v>0</x:v>
      </x:c>
      <x:c r="K1021" s="36" t="n">
        <x:v>0</x:v>
      </x:c>
      <x:c r="L1021" s="36" t="n">
        <x:v>0</x:v>
      </x:c>
      <x:c r="M1021" s="38" t="n">
        <x:v>1.08145106091718</x:v>
      </x:c>
      <x:c r="N1021" s="36" t="n">
        <x:v>0</x:v>
      </x:c>
    </x:row>
    <x:row r="1022" ht="20" customHeight="1">
      <x:c r="C1022" s="1" t="n">
        <x:v>3</x:v>
      </x:c>
      <x:c r="D1022" s="1" t="n">
        <x:v>1</x:v>
      </x:c>
      <x:c r="E1022" s="1" t="n">
        <x:v>14</x:v>
      </x:c>
      <x:c r="F1022" s="32" t="n">
        <x:v>46706</x:v>
      </x:c>
      <x:c r="G1022" s="36" t="n">
        <x:v>0</x:v>
      </x:c>
      <x:c r="H1022" s="36" t="n">
        <x:v>0</x:v>
      </x:c>
      <x:c r="I1022" s="36" t="n">
        <x:v>0</x:v>
      </x:c>
      <x:c r="J1022" s="36" t="n">
        <x:v>0</x:v>
      </x:c>
      <x:c r="K1022" s="36" t="n">
        <x:v>0</x:v>
      </x:c>
      <x:c r="L1022" s="36" t="n">
        <x:v>0</x:v>
      </x:c>
      <x:c r="M1022" s="38" t="n">
        <x:v>1.1663244353182751</x:v>
      </x:c>
      <x:c r="N1022" s="36" t="n">
        <x:v>0</x:v>
      </x:c>
    </x:row>
    <x:row r="1023" ht="20" customHeight="1">
      <x:c r="C1023" s="1" t="n">
        <x:v>3</x:v>
      </x:c>
      <x:c r="D1023" s="1" t="n">
        <x:v>1</x:v>
      </x:c>
      <x:c r="E1023" s="1" t="n">
        <x:v>15</x:v>
      </x:c>
      <x:c r="F1023" s="32" t="n">
        <x:v>46736</x:v>
      </x:c>
      <x:c r="G1023" s="36" t="n">
        <x:v>0</x:v>
      </x:c>
      <x:c r="H1023" s="36" t="n">
        <x:v>0</x:v>
      </x:c>
      <x:c r="I1023" s="36" t="n">
        <x:v>0</x:v>
      </x:c>
      <x:c r="J1023" s="36" t="n">
        <x:v>0</x:v>
      </x:c>
      <x:c r="K1023" s="36" t="n">
        <x:v>0</x:v>
      </x:c>
      <x:c r="L1023" s="36" t="n">
        <x:v>0</x:v>
      </x:c>
      <x:c r="M1023" s="38" t="n">
        <x:v>1.2484599589322383</x:v>
      </x:c>
      <x:c r="N1023" s="36" t="n">
        <x:v>0</x:v>
      </x:c>
    </x:row>
    <x:row r="1024" ht="20" customHeight="1">
      <x:c r="C1024" s="1" t="n">
        <x:v>3</x:v>
      </x:c>
      <x:c r="D1024" s="1" t="n">
        <x:v>1</x:v>
      </x:c>
      <x:c r="E1024" s="1" t="n">
        <x:v>16</x:v>
      </x:c>
      <x:c r="F1024" s="32" t="n">
        <x:v>46770</x:v>
      </x:c>
      <x:c r="G1024" s="36" t="n">
        <x:v>0</x:v>
      </x:c>
      <x:c r="H1024" s="36" t="n">
        <x:v>0</x:v>
      </x:c>
      <x:c r="I1024" s="36" t="n">
        <x:v>0</x:v>
      </x:c>
      <x:c r="J1024" s="36" t="n">
        <x:v>0</x:v>
      </x:c>
      <x:c r="K1024" s="36" t="n">
        <x:v>0</x:v>
      </x:c>
      <x:c r="L1024" s="36" t="n">
        <x:v>0</x:v>
      </x:c>
      <x:c r="M1024" s="38" t="n">
        <x:v>1.3415468856947297</x:v>
      </x:c>
      <x:c r="N1024" s="36" t="n">
        <x:v>0</x:v>
      </x:c>
    </x:row>
    <x:row r="1025" ht="20" customHeight="1">
      <x:c r="C1025" s="1" t="n">
        <x:v>3</x:v>
      </x:c>
      <x:c r="D1025" s="1" t="n">
        <x:v>1</x:v>
      </x:c>
      <x:c r="E1025" s="1" t="n">
        <x:v>17</x:v>
      </x:c>
      <x:c r="F1025" s="32" t="n">
        <x:v>46798</x:v>
      </x:c>
      <x:c r="G1025" s="36" t="n">
        <x:v>0</x:v>
      </x:c>
      <x:c r="H1025" s="36" t="n">
        <x:v>0</x:v>
      </x:c>
      <x:c r="I1025" s="36" t="n">
        <x:v>0</x:v>
      </x:c>
      <x:c r="J1025" s="36" t="n">
        <x:v>0</x:v>
      </x:c>
      <x:c r="K1025" s="36" t="n">
        <x:v>0</x:v>
      </x:c>
      <x:c r="L1025" s="36" t="n">
        <x:v>0</x:v>
      </x:c>
      <x:c r="M1025" s="38" t="n">
        <x:v>1.4182067077344285</x:v>
      </x:c>
      <x:c r="N1025" s="36" t="n">
        <x:v>0</x:v>
      </x:c>
    </x:row>
    <x:row r="1026" ht="20" customHeight="1">
      <x:c r="C1026" s="1" t="n">
        <x:v>3</x:v>
      </x:c>
      <x:c r="D1026" s="1" t="n">
        <x:v>1</x:v>
      </x:c>
      <x:c r="E1026" s="1" t="n">
        <x:v>18</x:v>
      </x:c>
      <x:c r="F1026" s="32" t="n">
        <x:v>46827</x:v>
      </x:c>
      <x:c r="G1026" s="36" t="n">
        <x:v>0</x:v>
      </x:c>
      <x:c r="H1026" s="36" t="n">
        <x:v>0</x:v>
      </x:c>
      <x:c r="I1026" s="36" t="n">
        <x:v>0</x:v>
      </x:c>
      <x:c r="J1026" s="36" t="n">
        <x:v>0</x:v>
      </x:c>
      <x:c r="K1026" s="36" t="n">
        <x:v>0</x:v>
      </x:c>
      <x:c r="L1026" s="36" t="n">
        <x:v>0</x:v>
      </x:c>
      <x:c r="M1026" s="38" t="n">
        <x:v>1.4976043805612593</x:v>
      </x:c>
      <x:c r="N1026" s="36" t="n">
        <x:v>0</x:v>
      </x:c>
    </x:row>
    <x:row r="1027" ht="20" customHeight="1">
      <x:c r="C1027" s="1" t="n">
        <x:v>3</x:v>
      </x:c>
      <x:c r="D1027" s="1" t="n">
        <x:v>1</x:v>
      </x:c>
      <x:c r="E1027" s="1" t="n">
        <x:v>19</x:v>
      </x:c>
      <x:c r="F1027" s="32" t="n">
        <x:v>46860</x:v>
      </x:c>
      <x:c r="G1027" s="36" t="n">
        <x:v>0</x:v>
      </x:c>
      <x:c r="H1027" s="36" t="n">
        <x:v>0</x:v>
      </x:c>
      <x:c r="I1027" s="36" t="n">
        <x:v>0</x:v>
      </x:c>
      <x:c r="J1027" s="36" t="n">
        <x:v>0</x:v>
      </x:c>
      <x:c r="K1027" s="36" t="n">
        <x:v>0</x:v>
      </x:c>
      <x:c r="L1027" s="36" t="n">
        <x:v>0</x:v>
      </x:c>
      <x:c r="M1027" s="38" t="n">
        <x:v>1.5879534565366187</x:v>
      </x:c>
      <x:c r="N1027" s="36" t="n">
        <x:v>0</x:v>
      </x:c>
    </x:row>
    <x:row r="1028" ht="20" customHeight="1">
      <x:c r="C1028" s="1" t="n">
        <x:v>3</x:v>
      </x:c>
      <x:c r="D1028" s="1" t="n">
        <x:v>1</x:v>
      </x:c>
      <x:c r="E1028" s="1" t="n">
        <x:v>20</x:v>
      </x:c>
      <x:c r="F1028" s="32" t="n">
        <x:v>46888</x:v>
      </x:c>
      <x:c r="G1028" s="36" t="n">
        <x:v>0</x:v>
      </x:c>
      <x:c r="H1028" s="36" t="n">
        <x:v>0</x:v>
      </x:c>
      <x:c r="I1028" s="36" t="n">
        <x:v>0</x:v>
      </x:c>
      <x:c r="J1028" s="36" t="n">
        <x:v>0</x:v>
      </x:c>
      <x:c r="K1028" s="36" t="n">
        <x:v>0</x:v>
      </x:c>
      <x:c r="L1028" s="36" t="n">
        <x:v>0</x:v>
      </x:c>
      <x:c r="M1028" s="38" t="n">
        <x:v>1.6646132785763177</x:v>
      </x:c>
      <x:c r="N1028" s="36" t="n">
        <x:v>0</x:v>
      </x:c>
    </x:row>
    <x:row r="1029" ht="20" customHeight="1">
      <x:c r="C1029" s="1" t="n">
        <x:v>3</x:v>
      </x:c>
      <x:c r="D1029" s="1" t="n">
        <x:v>1</x:v>
      </x:c>
      <x:c r="E1029" s="1" t="n">
        <x:v>21</x:v>
      </x:c>
      <x:c r="F1029" s="32" t="n">
        <x:v>46919</x:v>
      </x:c>
      <x:c r="G1029" s="36" t="n">
        <x:v>0</x:v>
      </x:c>
      <x:c r="H1029" s="36" t="n">
        <x:v>0</x:v>
      </x:c>
      <x:c r="I1029" s="36" t="n">
        <x:v>0</x:v>
      </x:c>
      <x:c r="J1029" s="36" t="n">
        <x:v>0</x:v>
      </x:c>
      <x:c r="K1029" s="36" t="n">
        <x:v>0</x:v>
      </x:c>
      <x:c r="L1029" s="36" t="n">
        <x:v>0</x:v>
      </x:c>
      <x:c r="M1029" s="38" t="n">
        <x:v>1.7494866529774127</x:v>
      </x:c>
      <x:c r="N1029" s="36" t="n">
        <x:v>0</x:v>
      </x:c>
    </x:row>
    <x:row r="1030" ht="20" customHeight="1">
      <x:c r="C1030" s="1" t="n">
        <x:v>3</x:v>
      </x:c>
      <x:c r="D1030" s="1" t="n">
        <x:v>1</x:v>
      </x:c>
      <x:c r="E1030" s="1" t="n">
        <x:v>22</x:v>
      </x:c>
      <x:c r="F1030" s="32" t="n">
        <x:v>46951</x:v>
      </x:c>
      <x:c r="G1030" s="36" t="n">
        <x:v>0</x:v>
      </x:c>
      <x:c r="H1030" s="36" t="n">
        <x:v>0</x:v>
      </x:c>
      <x:c r="I1030" s="36" t="n">
        <x:v>0</x:v>
      </x:c>
      <x:c r="J1030" s="36" t="n">
        <x:v>0</x:v>
      </x:c>
      <x:c r="K1030" s="36" t="n">
        <x:v>0</x:v>
      </x:c>
      <x:c r="L1030" s="36" t="n">
        <x:v>0</x:v>
      </x:c>
      <x:c r="M1030" s="38" t="n">
        <x:v>1.83709787816564</x:v>
      </x:c>
      <x:c r="N1030" s="36" t="n">
        <x:v>0</x:v>
      </x:c>
    </x:row>
    <x:row r="1031" ht="20" customHeight="1">
      <x:c r="C1031" s="1" t="n">
        <x:v>3</x:v>
      </x:c>
      <x:c r="D1031" s="1" t="n">
        <x:v>1</x:v>
      </x:c>
      <x:c r="E1031" s="1" t="n">
        <x:v>23</x:v>
      </x:c>
      <x:c r="F1031" s="32" t="n">
        <x:v>46980</x:v>
      </x:c>
      <x:c r="G1031" s="36" t="n">
        <x:v>0</x:v>
      </x:c>
      <x:c r="H1031" s="36" t="n">
        <x:v>0</x:v>
      </x:c>
      <x:c r="I1031" s="36" t="n">
        <x:v>0</x:v>
      </x:c>
      <x:c r="J1031" s="36" t="n">
        <x:v>0</x:v>
      </x:c>
      <x:c r="K1031" s="36" t="n">
        <x:v>0</x:v>
      </x:c>
      <x:c r="L1031" s="36" t="n">
        <x:v>0</x:v>
      </x:c>
      <x:c r="M1031" s="38" t="n">
        <x:v>1.9164955509924708</x:v>
      </x:c>
      <x:c r="N1031" s="36" t="n">
        <x:v>0</x:v>
      </x:c>
    </x:row>
    <x:row r="1032" ht="20" customHeight="1">
      <x:c r="C1032" s="1" t="n">
        <x:v>3</x:v>
      </x:c>
      <x:c r="D1032" s="1" t="n">
        <x:v>1</x:v>
      </x:c>
      <x:c r="E1032" s="1" t="n">
        <x:v>24</x:v>
      </x:c>
      <x:c r="F1032" s="32" t="n">
        <x:v>47011</x:v>
      </x:c>
      <x:c r="G1032" s="36" t="n">
        <x:v>0</x:v>
      </x:c>
      <x:c r="H1032" s="36" t="n">
        <x:v>0</x:v>
      </x:c>
      <x:c r="I1032" s="36" t="n">
        <x:v>0</x:v>
      </x:c>
      <x:c r="J1032" s="36" t="n">
        <x:v>0</x:v>
      </x:c>
      <x:c r="K1032" s="36" t="n">
        <x:v>0</x:v>
      </x:c>
      <x:c r="L1032" s="36" t="n">
        <x:v>0</x:v>
      </x:c>
      <x:c r="M1032" s="38" t="n">
        <x:v>2.001368925393566</x:v>
      </x:c>
      <x:c r="N1032" s="36" t="n">
        <x:v>0</x:v>
      </x:c>
    </x:row>
    <x:row r="1033" ht="20" customHeight="1">
      <x:c r="C1033" s="1" t="n">
        <x:v>3</x:v>
      </x:c>
      <x:c r="D1033" s="1" t="n">
        <x:v>1</x:v>
      </x:c>
      <x:c r="E1033" s="1" t="n">
        <x:v>25</x:v>
      </x:c>
      <x:c r="F1033" s="32" t="n">
        <x:v>47042</x:v>
      </x:c>
      <x:c r="G1033" s="36" t="n">
        <x:v>0</x:v>
      </x:c>
      <x:c r="H1033" s="36" t="n">
        <x:v>0</x:v>
      </x:c>
      <x:c r="I1033" s="36" t="n">
        <x:v>0</x:v>
      </x:c>
      <x:c r="J1033" s="36" t="n">
        <x:v>0</x:v>
      </x:c>
      <x:c r="K1033" s="36" t="n">
        <x:v>0</x:v>
      </x:c>
      <x:c r="L1033" s="36" t="n">
        <x:v>0</x:v>
      </x:c>
      <x:c r="M1033" s="38" t="n">
        <x:v>2.086242299794661</x:v>
      </x:c>
      <x:c r="N1033" s="36" t="n">
        <x:v>0</x:v>
      </x:c>
    </x:row>
    <x:row r="1034" ht="20" customHeight="1">
      <x:c r="C1034" s="1" t="n">
        <x:v>3</x:v>
      </x:c>
      <x:c r="D1034" s="1" t="n">
        <x:v>1</x:v>
      </x:c>
      <x:c r="E1034" s="1" t="n">
        <x:v>26</x:v>
      </x:c>
      <x:c r="F1034" s="32" t="n">
        <x:v>47072</x:v>
      </x:c>
      <x:c r="G1034" s="36" t="n">
        <x:v>0</x:v>
      </x:c>
      <x:c r="H1034" s="36" t="n">
        <x:v>0</x:v>
      </x:c>
      <x:c r="I1034" s="36" t="n">
        <x:v>0</x:v>
      </x:c>
      <x:c r="J1034" s="36" t="n">
        <x:v>0</x:v>
      </x:c>
      <x:c r="K1034" s="36" t="n">
        <x:v>0</x:v>
      </x:c>
      <x:c r="L1034" s="36" t="n">
        <x:v>0</x:v>
      </x:c>
      <x:c r="M1034" s="38" t="n">
        <x:v>2.1683778234086244</x:v>
      </x:c>
      <x:c r="N1034" s="36" t="n">
        <x:v>0</x:v>
      </x:c>
    </x:row>
    <x:row r="1035" ht="20" customHeight="1">
      <x:c r="C1035" s="1" t="n">
        <x:v>3</x:v>
      </x:c>
      <x:c r="D1035" s="1" t="n">
        <x:v>1</x:v>
      </x:c>
      <x:c r="E1035" s="1" t="n">
        <x:v>27</x:v>
      </x:c>
      <x:c r="F1035" s="32" t="n">
        <x:v>47102</x:v>
      </x:c>
      <x:c r="G1035" s="36" t="n">
        <x:v>0</x:v>
      </x:c>
      <x:c r="H1035" s="36" t="n">
        <x:v>0</x:v>
      </x:c>
      <x:c r="I1035" s="36" t="n">
        <x:v>0</x:v>
      </x:c>
      <x:c r="J1035" s="36" t="n">
        <x:v>0</x:v>
      </x:c>
      <x:c r="K1035" s="36" t="n">
        <x:v>0</x:v>
      </x:c>
      <x:c r="L1035" s="36" t="n">
        <x:v>0</x:v>
      </x:c>
      <x:c r="M1035" s="38" t="n">
        <x:v>2.2505133470225873</x:v>
      </x:c>
      <x:c r="N1035" s="36" t="n">
        <x:v>0</x:v>
      </x:c>
    </x:row>
    <x:row r="1036" ht="20" customHeight="1">
      <x:c r="C1036" s="1" t="n">
        <x:v>3</x:v>
      </x:c>
      <x:c r="D1036" s="1" t="n">
        <x:v>1</x:v>
      </x:c>
      <x:c r="E1036" s="1" t="n">
        <x:v>28</x:v>
      </x:c>
      <x:c r="F1036" s="32" t="n">
        <x:v>47134</x:v>
      </x:c>
      <x:c r="G1036" s="36" t="n">
        <x:v>0</x:v>
      </x:c>
      <x:c r="H1036" s="36" t="n">
        <x:v>0</x:v>
      </x:c>
      <x:c r="I1036" s="36" t="n">
        <x:v>0</x:v>
      </x:c>
      <x:c r="J1036" s="36" t="n">
        <x:v>0</x:v>
      </x:c>
      <x:c r="K1036" s="36" t="n">
        <x:v>0</x:v>
      </x:c>
      <x:c r="L1036" s="36" t="n">
        <x:v>0</x:v>
      </x:c>
      <x:c r="M1036" s="38" t="n">
        <x:v>2.3381245722108144</x:v>
      </x:c>
      <x:c r="N1036" s="36" t="n">
        <x:v>0</x:v>
      </x:c>
    </x:row>
    <x:row r="1037" ht="20" customHeight="1">
      <x:c r="C1037" s="1" t="n">
        <x:v>3</x:v>
      </x:c>
      <x:c r="D1037" s="1" t="n">
        <x:v>1</x:v>
      </x:c>
      <x:c r="E1037" s="1" t="n">
        <x:v>29</x:v>
      </x:c>
      <x:c r="F1037" s="32" t="n">
        <x:v>47164</x:v>
      </x:c>
      <x:c r="G1037" s="36" t="n">
        <x:v>0</x:v>
      </x:c>
      <x:c r="H1037" s="36" t="n">
        <x:v>0</x:v>
      </x:c>
      <x:c r="I1037" s="36" t="n">
        <x:v>0</x:v>
      </x:c>
      <x:c r="J1037" s="36" t="n">
        <x:v>0</x:v>
      </x:c>
      <x:c r="K1037" s="36" t="n">
        <x:v>0</x:v>
      </x:c>
      <x:c r="L1037" s="36" t="n">
        <x:v>0</x:v>
      </x:c>
      <x:c r="M1037" s="38" t="n">
        <x:v>2.4202600958247777</x:v>
      </x:c>
      <x:c r="N1037" s="36" t="n">
        <x:v>0</x:v>
      </x:c>
    </x:row>
    <x:row r="1038" ht="20" customHeight="1">
      <x:c r="C1038" s="1" t="n">
        <x:v>3</x:v>
      </x:c>
      <x:c r="D1038" s="1" t="n">
        <x:v>1</x:v>
      </x:c>
      <x:c r="E1038" s="1" t="n">
        <x:v>30</x:v>
      </x:c>
      <x:c r="F1038" s="32" t="n">
        <x:v>47192</x:v>
      </x:c>
      <x:c r="G1038" s="36" t="n">
        <x:v>0</x:v>
      </x:c>
      <x:c r="H1038" s="36" t="n">
        <x:v>0</x:v>
      </x:c>
      <x:c r="I1038" s="36" t="n">
        <x:v>0</x:v>
      </x:c>
      <x:c r="J1038" s="36" t="n">
        <x:v>0</x:v>
      </x:c>
      <x:c r="K1038" s="36" t="n">
        <x:v>0</x:v>
      </x:c>
      <x:c r="L1038" s="36" t="n">
        <x:v>0</x:v>
      </x:c>
      <x:c r="M1038" s="38" t="n">
        <x:v>2.4969199178644765</x:v>
      </x:c>
      <x:c r="N1038" s="36" t="n">
        <x:v>0</x:v>
      </x:c>
    </x:row>
    <x:row r="1039" ht="20" customHeight="1">
      <x:c r="C1039" s="1" t="n">
        <x:v>3</x:v>
      </x:c>
      <x:c r="D1039" s="1" t="n">
        <x:v>1</x:v>
      </x:c>
      <x:c r="E1039" s="1" t="n">
        <x:v>31</x:v>
      </x:c>
      <x:c r="F1039" s="32" t="n">
        <x:v>47224</x:v>
      </x:c>
      <x:c r="G1039" s="36" t="n">
        <x:v>0</x:v>
      </x:c>
      <x:c r="H1039" s="36" t="n">
        <x:v>0</x:v>
      </x:c>
      <x:c r="I1039" s="36" t="n">
        <x:v>0</x:v>
      </x:c>
      <x:c r="J1039" s="36" t="n">
        <x:v>0</x:v>
      </x:c>
      <x:c r="K1039" s="36" t="n">
        <x:v>0</x:v>
      </x:c>
      <x:c r="L1039" s="36" t="n">
        <x:v>0</x:v>
      </x:c>
      <x:c r="M1039" s="38" t="n">
        <x:v>2.5845311430527036</x:v>
      </x:c>
      <x:c r="N1039" s="36" t="n">
        <x:v>0</x:v>
      </x:c>
    </x:row>
    <x:row r="1040" ht="20" customHeight="1">
      <x:c r="C1040" s="1" t="n">
        <x:v>3</x:v>
      </x:c>
      <x:c r="D1040" s="1" t="n">
        <x:v>1</x:v>
      </x:c>
      <x:c r="E1040" s="1" t="n">
        <x:v>32</x:v>
      </x:c>
      <x:c r="F1040" s="32" t="n">
        <x:v>47253</x:v>
      </x:c>
      <x:c r="G1040" s="36" t="n">
        <x:v>0</x:v>
      </x:c>
      <x:c r="H1040" s="36" t="n">
        <x:v>0</x:v>
      </x:c>
      <x:c r="I1040" s="36" t="n">
        <x:v>0</x:v>
      </x:c>
      <x:c r="J1040" s="36" t="n">
        <x:v>0</x:v>
      </x:c>
      <x:c r="K1040" s="36" t="n">
        <x:v>0</x:v>
      </x:c>
      <x:c r="L1040" s="36" t="n">
        <x:v>0</x:v>
      </x:c>
      <x:c r="M1040" s="38" t="n">
        <x:v>2.6639288158795345</x:v>
      </x:c>
      <x:c r="N1040" s="36" t="n">
        <x:v>0</x:v>
      </x:c>
    </x:row>
    <x:row r="1041" ht="20" customHeight="1">
      <x:c r="C1041" s="1" t="n">
        <x:v>3</x:v>
      </x:c>
      <x:c r="D1041" s="1" t="n">
        <x:v>1</x:v>
      </x:c>
      <x:c r="E1041" s="1" t="n">
        <x:v>33</x:v>
      </x:c>
      <x:c r="F1041" s="32" t="n">
        <x:v>47284</x:v>
      </x:c>
      <x:c r="G1041" s="36" t="n">
        <x:v>0</x:v>
      </x:c>
      <x:c r="H1041" s="36" t="n">
        <x:v>0</x:v>
      </x:c>
      <x:c r="I1041" s="36" t="n">
        <x:v>0</x:v>
      </x:c>
      <x:c r="J1041" s="36" t="n">
        <x:v>0</x:v>
      </x:c>
      <x:c r="K1041" s="36" t="n">
        <x:v>0</x:v>
      </x:c>
      <x:c r="L1041" s="36" t="n">
        <x:v>0</x:v>
      </x:c>
      <x:c r="M1041" s="38" t="n">
        <x:v>2.74880219028063</x:v>
      </x:c>
      <x:c r="N1041" s="36" t="n">
        <x:v>0</x:v>
      </x:c>
    </x:row>
    <x:row r="1042" ht="20" customHeight="1">
      <x:c r="C1042" s="1" t="n">
        <x:v>3</x:v>
      </x:c>
      <x:c r="D1042" s="1" t="n">
        <x:v>1</x:v>
      </x:c>
      <x:c r="E1042" s="1" t="n">
        <x:v>34</x:v>
      </x:c>
      <x:c r="F1042" s="32" t="n">
        <x:v>47315</x:v>
      </x:c>
      <x:c r="G1042" s="36" t="n">
        <x:v>0</x:v>
      </x:c>
      <x:c r="H1042" s="36" t="n">
        <x:v>0</x:v>
      </x:c>
      <x:c r="I1042" s="36" t="n">
        <x:v>0</x:v>
      </x:c>
      <x:c r="J1042" s="36" t="n">
        <x:v>0</x:v>
      </x:c>
      <x:c r="K1042" s="36" t="n">
        <x:v>0</x:v>
      </x:c>
      <x:c r="L1042" s="36" t="n">
        <x:v>0</x:v>
      </x:c>
      <x:c r="M1042" s="38" t="n">
        <x:v>2.833675564681725</x:v>
      </x:c>
      <x:c r="N1042" s="36" t="n">
        <x:v>0</x:v>
      </x:c>
    </x:row>
    <x:row r="1043" ht="20" customHeight="1">
      <x:c r="C1043" s="1" t="n">
        <x:v>3</x:v>
      </x:c>
      <x:c r="D1043" s="1" t="n">
        <x:v>1</x:v>
      </x:c>
      <x:c r="E1043" s="1" t="n">
        <x:v>35</x:v>
      </x:c>
      <x:c r="F1043" s="32" t="n">
        <x:v>47345</x:v>
      </x:c>
      <x:c r="G1043" s="36" t="n">
        <x:v>0</x:v>
      </x:c>
      <x:c r="H1043" s="36" t="n">
        <x:v>0</x:v>
      </x:c>
      <x:c r="I1043" s="36" t="n">
        <x:v>0</x:v>
      </x:c>
      <x:c r="J1043" s="36" t="n">
        <x:v>0</x:v>
      </x:c>
      <x:c r="K1043" s="36" t="n">
        <x:v>0</x:v>
      </x:c>
      <x:c r="L1043" s="36" t="n">
        <x:v>0</x:v>
      </x:c>
      <x:c r="M1043" s="38" t="n">
        <x:v>2.915811088295688</x:v>
      </x:c>
      <x:c r="N1043" s="36" t="n">
        <x:v>0</x:v>
      </x:c>
    </x:row>
    <x:row r="1044" ht="20" customHeight="1">
      <x:c r="C1044" s="1" t="n">
        <x:v>3</x:v>
      </x:c>
      <x:c r="D1044" s="1" t="n">
        <x:v>1</x:v>
      </x:c>
      <x:c r="E1044" s="1" t="n">
        <x:v>36</x:v>
      </x:c>
      <x:c r="F1044" s="32" t="n">
        <x:v>47378</x:v>
      </x:c>
      <x:c r="G1044" s="36" t="n">
        <x:v>0</x:v>
      </x:c>
      <x:c r="H1044" s="36" t="n">
        <x:v>0</x:v>
      </x:c>
      <x:c r="I1044" s="36" t="n">
        <x:v>0</x:v>
      </x:c>
      <x:c r="J1044" s="36" t="n">
        <x:v>0</x:v>
      </x:c>
      <x:c r="K1044" s="36" t="n">
        <x:v>0</x:v>
      </x:c>
      <x:c r="L1044" s="36" t="n">
        <x:v>0</x:v>
      </x:c>
      <x:c r="M1044" s="38" t="n">
        <x:v>3.0061601642710474</x:v>
      </x:c>
      <x:c r="N1044" s="36" t="n">
        <x:v>0</x:v>
      </x:c>
    </x:row>
    <x:row r="1045" ht="20" customHeight="1">
      <x:c r="C1045" s="1" t="n">
        <x:v>3</x:v>
      </x:c>
      <x:c r="D1045" s="1" t="n">
        <x:v>1</x:v>
      </x:c>
      <x:c r="E1045" s="1" t="n">
        <x:v>37</x:v>
      </x:c>
      <x:c r="F1045" s="32" t="n">
        <x:v>47406</x:v>
      </x:c>
      <x:c r="G1045" s="36" t="n">
        <x:v>0</x:v>
      </x:c>
      <x:c r="H1045" s="36" t="n">
        <x:v>0</x:v>
      </x:c>
      <x:c r="I1045" s="36" t="n">
        <x:v>0</x:v>
      </x:c>
      <x:c r="J1045" s="36" t="n">
        <x:v>0</x:v>
      </x:c>
      <x:c r="K1045" s="36" t="n">
        <x:v>0</x:v>
      </x:c>
      <x:c r="L1045" s="36" t="n">
        <x:v>0</x:v>
      </x:c>
      <x:c r="M1045" s="38" t="n">
        <x:v>3.082819986310746</x:v>
      </x:c>
      <x:c r="N1045" s="36" t="n">
        <x:v>0</x:v>
      </x:c>
    </x:row>
    <x:row r="1046" ht="20" customHeight="1">
      <x:c r="C1046" s="1" t="n">
        <x:v>3</x:v>
      </x:c>
      <x:c r="D1046" s="1" t="n">
        <x:v>1</x:v>
      </x:c>
      <x:c r="E1046" s="1" t="n">
        <x:v>38</x:v>
      </x:c>
      <x:c r="F1046" s="32" t="n">
        <x:v>47437</x:v>
      </x:c>
      <x:c r="G1046" s="36" t="n">
        <x:v>0</x:v>
      </x:c>
      <x:c r="H1046" s="36" t="n">
        <x:v>0</x:v>
      </x:c>
      <x:c r="I1046" s="36" t="n">
        <x:v>0</x:v>
      </x:c>
      <x:c r="J1046" s="36" t="n">
        <x:v>0</x:v>
      </x:c>
      <x:c r="K1046" s="36" t="n">
        <x:v>0</x:v>
      </x:c>
      <x:c r="L1046" s="36" t="n">
        <x:v>0</x:v>
      </x:c>
      <x:c r="M1046" s="38" t="n">
        <x:v>3.167693360711841</x:v>
      </x:c>
      <x:c r="N1046" s="36" t="n">
        <x:v>0</x:v>
      </x:c>
    </x:row>
    <x:row r="1047" ht="20" customHeight="1">
      <x:c r="C1047" s="1" t="n">
        <x:v>3</x:v>
      </x:c>
      <x:c r="D1047" s="1" t="n">
        <x:v>1</x:v>
      </x:c>
      <x:c r="E1047" s="1" t="n">
        <x:v>39</x:v>
      </x:c>
      <x:c r="F1047" s="32" t="n">
        <x:v>47469</x:v>
      </x:c>
      <x:c r="G1047" s="36" t="n">
        <x:v>0</x:v>
      </x:c>
      <x:c r="H1047" s="36" t="n">
        <x:v>0</x:v>
      </x:c>
      <x:c r="I1047" s="36" t="n">
        <x:v>0</x:v>
      </x:c>
      <x:c r="J1047" s="36" t="n">
        <x:v>0</x:v>
      </x:c>
      <x:c r="K1047" s="36" t="n">
        <x:v>0</x:v>
      </x:c>
      <x:c r="L1047" s="36" t="n">
        <x:v>0</x:v>
      </x:c>
      <x:c r="M1047" s="38" t="n">
        <x:v>3.2553045859000687</x:v>
      </x:c>
      <x:c r="N1047" s="36" t="n">
        <x:v>0</x:v>
      </x:c>
    </x:row>
    <x:row r="1048" ht="20" customHeight="1">
      <x:c r="C1048" s="1" t="n">
        <x:v>3</x:v>
      </x:c>
      <x:c r="D1048" s="1" t="n">
        <x:v>1</x:v>
      </x:c>
      <x:c r="E1048" s="1" t="n">
        <x:v>40</x:v>
      </x:c>
      <x:c r="F1048" s="32" t="n">
        <x:v>47498</x:v>
      </x:c>
      <x:c r="G1048" s="36" t="n">
        <x:v>0</x:v>
      </x:c>
      <x:c r="H1048" s="36" t="n">
        <x:v>0</x:v>
      </x:c>
      <x:c r="I1048" s="36" t="n">
        <x:v>0</x:v>
      </x:c>
      <x:c r="J1048" s="36" t="n">
        <x:v>0</x:v>
      </x:c>
      <x:c r="K1048" s="36" t="n">
        <x:v>0</x:v>
      </x:c>
      <x:c r="L1048" s="36" t="n">
        <x:v>0</x:v>
      </x:c>
      <x:c r="M1048" s="38" t="n">
        <x:v>3.3347022587268995</x:v>
      </x:c>
      <x:c r="N1048" s="36" t="n">
        <x:v>0</x:v>
      </x:c>
    </x:row>
    <x:row r="1049" ht="20" customHeight="1">
      <x:c r="C1049" s="1" t="n">
        <x:v>3</x:v>
      </x:c>
      <x:c r="D1049" s="1" t="n">
        <x:v>1</x:v>
      </x:c>
      <x:c r="E1049" s="1" t="n">
        <x:v>41</x:v>
      </x:c>
      <x:c r="F1049" s="32" t="n">
        <x:v>47529</x:v>
      </x:c>
      <x:c r="G1049" s="36" t="n">
        <x:v>0</x:v>
      </x:c>
      <x:c r="H1049" s="36" t="n">
        <x:v>0</x:v>
      </x:c>
      <x:c r="I1049" s="36" t="n">
        <x:v>0</x:v>
      </x:c>
      <x:c r="J1049" s="36" t="n">
        <x:v>0</x:v>
      </x:c>
      <x:c r="K1049" s="36" t="n">
        <x:v>0</x:v>
      </x:c>
      <x:c r="L1049" s="36" t="n">
        <x:v>0</x:v>
      </x:c>
      <x:c r="M1049" s="38" t="n">
        <x:v>3.4195756331279945</x:v>
      </x:c>
      <x:c r="N1049" s="36" t="n">
        <x:v>0</x:v>
      </x:c>
    </x:row>
    <x:row r="1050" ht="20" customHeight="1">
      <x:c r="C1050" s="1" t="n">
        <x:v>3</x:v>
      </x:c>
      <x:c r="D1050" s="1" t="n">
        <x:v>1</x:v>
      </x:c>
      <x:c r="E1050" s="1" t="n">
        <x:v>42</x:v>
      </x:c>
      <x:c r="F1050" s="32" t="n">
        <x:v>47557</x:v>
      </x:c>
      <x:c r="G1050" s="36" t="n">
        <x:v>0</x:v>
      </x:c>
      <x:c r="H1050" s="36" t="n">
        <x:v>0</x:v>
      </x:c>
      <x:c r="I1050" s="36" t="n">
        <x:v>0</x:v>
      </x:c>
      <x:c r="J1050" s="36" t="n">
        <x:v>0</x:v>
      </x:c>
      <x:c r="K1050" s="36" t="n">
        <x:v>0</x:v>
      </x:c>
      <x:c r="L1050" s="36" t="n">
        <x:v>0</x:v>
      </x:c>
      <x:c r="M1050" s="38" t="n">
        <x:v>3.4962354551676933</x:v>
      </x:c>
      <x:c r="N1050" s="36" t="n">
        <x:v>0</x:v>
      </x:c>
    </x:row>
    <x:row r="1051" ht="20" customHeight="1">
      <x:c r="C1051" s="1" t="n">
        <x:v>3</x:v>
      </x:c>
      <x:c r="D1051" s="1" t="n">
        <x:v>1</x:v>
      </x:c>
      <x:c r="E1051" s="1" t="n">
        <x:v>43</x:v>
      </x:c>
      <x:c r="F1051" s="32" t="n">
        <x:v>47588</x:v>
      </x:c>
      <x:c r="G1051" s="36" t="n">
        <x:v>0</x:v>
      </x:c>
      <x:c r="H1051" s="36" t="n">
        <x:v>0</x:v>
      </x:c>
      <x:c r="I1051" s="36" t="n">
        <x:v>0</x:v>
      </x:c>
      <x:c r="J1051" s="36" t="n">
        <x:v>0</x:v>
      </x:c>
      <x:c r="K1051" s="36" t="n">
        <x:v>0</x:v>
      </x:c>
      <x:c r="L1051" s="36" t="n">
        <x:v>0</x:v>
      </x:c>
      <x:c r="M1051" s="38" t="n">
        <x:v>3.5811088295687883</x:v>
      </x:c>
      <x:c r="N1051" s="36" t="n">
        <x:v>0</x:v>
      </x:c>
    </x:row>
    <x:row r="1052" ht="20" customHeight="1">
      <x:c r="C1052" s="1" t="n">
        <x:v>3</x:v>
      </x:c>
      <x:c r="D1052" s="1" t="n">
        <x:v>1</x:v>
      </x:c>
      <x:c r="E1052" s="1" t="n">
        <x:v>44</x:v>
      </x:c>
      <x:c r="F1052" s="32" t="n">
        <x:v>47618</x:v>
      </x:c>
      <x:c r="G1052" s="36" t="n">
        <x:v>0</x:v>
      </x:c>
      <x:c r="H1052" s="36" t="n">
        <x:v>0</x:v>
      </x:c>
      <x:c r="I1052" s="36" t="n">
        <x:v>0</x:v>
      </x:c>
      <x:c r="J1052" s="36" t="n">
        <x:v>0</x:v>
      </x:c>
      <x:c r="K1052" s="36" t="n">
        <x:v>0</x:v>
      </x:c>
      <x:c r="L1052" s="36" t="n">
        <x:v>0</x:v>
      </x:c>
      <x:c r="M1052" s="38" t="n">
        <x:v>3.6632443531827517</x:v>
      </x:c>
      <x:c r="N1052" s="36" t="n">
        <x:v>0</x:v>
      </x:c>
    </x:row>
    <x:row r="1053" ht="20" customHeight="1">
      <x:c r="C1053" s="1" t="n">
        <x:v>3</x:v>
      </x:c>
      <x:c r="D1053" s="1" t="n">
        <x:v>1</x:v>
      </x:c>
      <x:c r="E1053" s="1" t="n">
        <x:v>45</x:v>
      </x:c>
      <x:c r="F1053" s="32" t="n">
        <x:v>47651</x:v>
      </x:c>
      <x:c r="G1053" s="36" t="n">
        <x:v>0</x:v>
      </x:c>
      <x:c r="H1053" s="36" t="n">
        <x:v>0</x:v>
      </x:c>
      <x:c r="I1053" s="36" t="n">
        <x:v>0</x:v>
      </x:c>
      <x:c r="J1053" s="36" t="n">
        <x:v>0</x:v>
      </x:c>
      <x:c r="K1053" s="36" t="n">
        <x:v>0</x:v>
      </x:c>
      <x:c r="L1053" s="36" t="n">
        <x:v>0</x:v>
      </x:c>
      <x:c r="M1053" s="38" t="n">
        <x:v>3.753593429158111</x:v>
      </x:c>
      <x:c r="N1053" s="36" t="n">
        <x:v>0</x:v>
      </x:c>
    </x:row>
    <x:row r="1054" ht="20" customHeight="1">
      <x:c r="C1054" s="1" t="n">
        <x:v>3</x:v>
      </x:c>
      <x:c r="D1054" s="1" t="n">
        <x:v>1</x:v>
      </x:c>
      <x:c r="E1054" s="1" t="n">
        <x:v>46</x:v>
      </x:c>
      <x:c r="F1054" s="32" t="n">
        <x:v>47679</x:v>
      </x:c>
      <x:c r="G1054" s="36" t="n">
        <x:v>0</x:v>
      </x:c>
      <x:c r="H1054" s="36" t="n">
        <x:v>0</x:v>
      </x:c>
      <x:c r="I1054" s="36" t="n">
        <x:v>0</x:v>
      </x:c>
      <x:c r="J1054" s="36" t="n">
        <x:v>0</x:v>
      </x:c>
      <x:c r="K1054" s="36" t="n">
        <x:v>0</x:v>
      </x:c>
      <x:c r="L1054" s="36" t="n">
        <x:v>0</x:v>
      </x:c>
      <x:c r="M1054" s="38" t="n">
        <x:v>3.8302532511978096</x:v>
      </x:c>
      <x:c r="N1054" s="36" t="n">
        <x:v>0</x:v>
      </x:c>
    </x:row>
    <x:row r="1055" ht="20" customHeight="1">
      <x:c r="C1055" s="1" t="n">
        <x:v>3</x:v>
      </x:c>
      <x:c r="D1055" s="1" t="n">
        <x:v>1</x:v>
      </x:c>
      <x:c r="E1055" s="1" t="n">
        <x:v>47</x:v>
      </x:c>
      <x:c r="F1055" s="32" t="n">
        <x:v>47710</x:v>
      </x:c>
      <x:c r="G1055" s="36" t="n">
        <x:v>0</x:v>
      </x:c>
      <x:c r="H1055" s="36" t="n">
        <x:v>0</x:v>
      </x:c>
      <x:c r="I1055" s="36" t="n">
        <x:v>0</x:v>
      </x:c>
      <x:c r="J1055" s="36" t="n">
        <x:v>0</x:v>
      </x:c>
      <x:c r="K1055" s="36" t="n">
        <x:v>0</x:v>
      </x:c>
      <x:c r="L1055" s="36" t="n">
        <x:v>0</x:v>
      </x:c>
      <x:c r="M1055" s="38" t="n">
        <x:v>3.915126625598905</x:v>
      </x:c>
      <x:c r="N1055" s="36" t="n">
        <x:v>0</x:v>
      </x:c>
    </x:row>
    <x:row r="1056" ht="20" customHeight="1">
      <x:c r="C1056" s="1" t="n">
        <x:v>3</x:v>
      </x:c>
      <x:c r="D1056" s="1" t="n">
        <x:v>1</x:v>
      </x:c>
      <x:c r="E1056" s="1" t="n">
        <x:v>48</x:v>
      </x:c>
      <x:c r="F1056" s="32" t="n">
        <x:v>47742</x:v>
      </x:c>
      <x:c r="G1056" s="36" t="n">
        <x:v>0</x:v>
      </x:c>
      <x:c r="H1056" s="36" t="n">
        <x:v>0</x:v>
      </x:c>
      <x:c r="I1056" s="36" t="n">
        <x:v>0</x:v>
      </x:c>
      <x:c r="J1056" s="36" t="n">
        <x:v>0</x:v>
      </x:c>
      <x:c r="K1056" s="36" t="n">
        <x:v>0</x:v>
      </x:c>
      <x:c r="L1056" s="36" t="n">
        <x:v>0</x:v>
      </x:c>
      <x:c r="M1056" s="38" t="n">
        <x:v>4.002737850787132</x:v>
      </x:c>
      <x:c r="N1056" s="36" t="n">
        <x:v>0</x:v>
      </x:c>
    </x:row>
    <x:row r="1057" ht="20" customHeight="1">
      <x:c r="C1057" s="1" t="n">
        <x:v>3</x:v>
      </x:c>
      <x:c r="D1057" s="1" t="n">
        <x:v>1</x:v>
      </x:c>
      <x:c r="E1057" s="1" t="n">
        <x:v>49</x:v>
      </x:c>
      <x:c r="F1057" s="32" t="n">
        <x:v>47771</x:v>
      </x:c>
      <x:c r="G1057" s="36" t="n">
        <x:v>0</x:v>
      </x:c>
      <x:c r="H1057" s="36" t="n">
        <x:v>0</x:v>
      </x:c>
      <x:c r="I1057" s="36" t="n">
        <x:v>0</x:v>
      </x:c>
      <x:c r="J1057" s="36" t="n">
        <x:v>0</x:v>
      </x:c>
      <x:c r="K1057" s="36" t="n">
        <x:v>0</x:v>
      </x:c>
      <x:c r="L1057" s="36" t="n">
        <x:v>0</x:v>
      </x:c>
      <x:c r="M1057" s="38" t="n">
        <x:v>4.082135523613963</x:v>
      </x:c>
      <x:c r="N1057" s="36" t="n">
        <x:v>0</x:v>
      </x:c>
    </x:row>
    <x:row r="1058" ht="20" customHeight="1">
      <x:c r="C1058" s="1" t="n">
        <x:v>3</x:v>
      </x:c>
      <x:c r="D1058" s="1" t="n">
        <x:v>1</x:v>
      </x:c>
      <x:c r="E1058" s="1" t="n">
        <x:v>50</x:v>
      </x:c>
      <x:c r="F1058" s="32" t="n">
        <x:v>47802</x:v>
      </x:c>
      <x:c r="G1058" s="36" t="n">
        <x:v>0</x:v>
      </x:c>
      <x:c r="H1058" s="36" t="n">
        <x:v>0</x:v>
      </x:c>
      <x:c r="I1058" s="36" t="n">
        <x:v>0</x:v>
      </x:c>
      <x:c r="J1058" s="36" t="n">
        <x:v>0</x:v>
      </x:c>
      <x:c r="K1058" s="36" t="n">
        <x:v>0</x:v>
      </x:c>
      <x:c r="L1058" s="36" t="n">
        <x:v>0</x:v>
      </x:c>
      <x:c r="M1058" s="38" t="n">
        <x:v>4.167008898015058</x:v>
      </x:c>
      <x:c r="N1058" s="36" t="n">
        <x:v>0</x:v>
      </x:c>
    </x:row>
    <x:row r="1059" ht="20" customHeight="1">
      <x:c r="C1059" s="1" t="n">
        <x:v>3</x:v>
      </x:c>
      <x:c r="D1059" s="1" t="n">
        <x:v>1</x:v>
      </x:c>
      <x:c r="E1059" s="1" t="n">
        <x:v>51</x:v>
      </x:c>
      <x:c r="F1059" s="32" t="n">
        <x:v>47833</x:v>
      </x:c>
      <x:c r="G1059" s="36" t="n">
        <x:v>0</x:v>
      </x:c>
      <x:c r="H1059" s="36" t="n">
        <x:v>0</x:v>
      </x:c>
      <x:c r="I1059" s="36" t="n">
        <x:v>0</x:v>
      </x:c>
      <x:c r="J1059" s="36" t="n">
        <x:v>0</x:v>
      </x:c>
      <x:c r="K1059" s="36" t="n">
        <x:v>0</x:v>
      </x:c>
      <x:c r="L1059" s="36" t="n">
        <x:v>0</x:v>
      </x:c>
      <x:c r="M1059" s="38" t="n">
        <x:v>4.251882272416153</x:v>
      </x:c>
      <x:c r="N1059" s="36" t="n">
        <x:v>0</x:v>
      </x:c>
    </x:row>
    <x:row r="1060" ht="20" customHeight="1">
      <x:c r="C1060" s="1" t="n">
        <x:v>3</x:v>
      </x:c>
      <x:c r="D1060" s="1" t="n">
        <x:v>1</x:v>
      </x:c>
      <x:c r="E1060" s="1" t="n">
        <x:v>52</x:v>
      </x:c>
      <x:c r="F1060" s="32" t="n">
        <x:v>47863</x:v>
      </x:c>
      <x:c r="G1060" s="36" t="n">
        <x:v>0</x:v>
      </x:c>
      <x:c r="H1060" s="36" t="n">
        <x:v>0</x:v>
      </x:c>
      <x:c r="I1060" s="36" t="n">
        <x:v>0</x:v>
      </x:c>
      <x:c r="J1060" s="36" t="n">
        <x:v>0</x:v>
      </x:c>
      <x:c r="K1060" s="36" t="n">
        <x:v>0</x:v>
      </x:c>
      <x:c r="L1060" s="36" t="n">
        <x:v>0</x:v>
      </x:c>
      <x:c r="M1060" s="38" t="n">
        <x:v>4.334017796030117</x:v>
      </x:c>
      <x:c r="N1060" s="36" t="n">
        <x:v>0</x:v>
      </x:c>
    </x:row>
    <x:row r="1061" ht="20" customHeight="1">
      <x:c r="C1061" s="1" t="n">
        <x:v>3</x:v>
      </x:c>
      <x:c r="D1061" s="1" t="n">
        <x:v>1</x:v>
      </x:c>
      <x:c r="E1061" s="1" t="n">
        <x:v>53</x:v>
      </x:c>
      <x:c r="F1061" s="32" t="n">
        <x:v>47897</x:v>
      </x:c>
      <x:c r="G1061" s="36" t="n">
        <x:v>0</x:v>
      </x:c>
      <x:c r="H1061" s="36" t="n">
        <x:v>0</x:v>
      </x:c>
      <x:c r="I1061" s="36" t="n">
        <x:v>0</x:v>
      </x:c>
      <x:c r="J1061" s="36" t="n">
        <x:v>0</x:v>
      </x:c>
      <x:c r="K1061" s="36" t="n">
        <x:v>0</x:v>
      </x:c>
      <x:c r="L1061" s="36" t="n">
        <x:v>0</x:v>
      </x:c>
      <x:c r="M1061" s="38" t="n">
        <x:v>4.427104722792608</x:v>
      </x:c>
      <x:c r="N1061" s="36" t="n">
        <x:v>0</x:v>
      </x:c>
    </x:row>
    <x:row r="1062" ht="20" customHeight="1">
      <x:c r="C1062" s="1" t="n">
        <x:v>3</x:v>
      </x:c>
      <x:c r="D1062" s="1" t="n">
        <x:v>1</x:v>
      </x:c>
      <x:c r="E1062" s="1" t="n">
        <x:v>54</x:v>
      </x:c>
      <x:c r="F1062" s="32" t="n">
        <x:v>47924</x:v>
      </x:c>
      <x:c r="G1062" s="36" t="n">
        <x:v>0</x:v>
      </x:c>
      <x:c r="H1062" s="36" t="n">
        <x:v>0</x:v>
      </x:c>
      <x:c r="I1062" s="36" t="n">
        <x:v>0</x:v>
      </x:c>
      <x:c r="J1062" s="36" t="n">
        <x:v>0</x:v>
      </x:c>
      <x:c r="K1062" s="36" t="n">
        <x:v>0</x:v>
      </x:c>
      <x:c r="L1062" s="36" t="n">
        <x:v>0</x:v>
      </x:c>
      <x:c r="M1062" s="38" t="n">
        <x:v>4.501026694045175</x:v>
      </x:c>
      <x:c r="N1062" s="36" t="n">
        <x:v>0</x:v>
      </x:c>
    </x:row>
    <x:row r="1063" ht="20" customHeight="1">
      <x:c r="C1063" s="1" t="n">
        <x:v>3</x:v>
      </x:c>
      <x:c r="D1063" s="1" t="n">
        <x:v>1</x:v>
      </x:c>
      <x:c r="E1063" s="1" t="n">
        <x:v>55</x:v>
      </x:c>
      <x:c r="F1063" s="32" t="n">
        <x:v>47953</x:v>
      </x:c>
      <x:c r="G1063" s="36" t="n">
        <x:v>0</x:v>
      </x:c>
      <x:c r="H1063" s="36" t="n">
        <x:v>0</x:v>
      </x:c>
      <x:c r="I1063" s="36" t="n">
        <x:v>0</x:v>
      </x:c>
      <x:c r="J1063" s="36" t="n">
        <x:v>0</x:v>
      </x:c>
      <x:c r="K1063" s="36" t="n">
        <x:v>0</x:v>
      </x:c>
      <x:c r="L1063" s="36" t="n">
        <x:v>0</x:v>
      </x:c>
      <x:c r="M1063" s="38" t="n">
        <x:v>4.5804243668720055</x:v>
      </x:c>
      <x:c r="N1063" s="36" t="n">
        <x:v>0</x:v>
      </x:c>
    </x:row>
    <x:row r="1064" ht="20" customHeight="1">
      <x:c r="C1064" s="1" t="n">
        <x:v>3</x:v>
      </x:c>
      <x:c r="D1064" s="1" t="n">
        <x:v>1</x:v>
      </x:c>
      <x:c r="E1064" s="1" t="n">
        <x:v>56</x:v>
      </x:c>
      <x:c r="F1064" s="32" t="n">
        <x:v>47983</x:v>
      </x:c>
      <x:c r="G1064" s="36" t="n">
        <x:v>0</x:v>
      </x:c>
      <x:c r="H1064" s="36" t="n">
        <x:v>0</x:v>
      </x:c>
      <x:c r="I1064" s="36" t="n">
        <x:v>0</x:v>
      </x:c>
      <x:c r="J1064" s="36" t="n">
        <x:v>0</x:v>
      </x:c>
      <x:c r="K1064" s="36" t="n">
        <x:v>0</x:v>
      </x:c>
      <x:c r="L1064" s="36" t="n">
        <x:v>0</x:v>
      </x:c>
      <x:c r="M1064" s="38" t="n">
        <x:v>4.662559890485968</x:v>
      </x:c>
      <x:c r="N1064" s="36" t="n">
        <x:v>0</x:v>
      </x:c>
    </x:row>
    <x:row r="1065" ht="20" customHeight="1">
      <x:c r="C1065" s="1" t="n">
        <x:v>3</x:v>
      </x:c>
      <x:c r="D1065" s="1" t="n">
        <x:v>1</x:v>
      </x:c>
      <x:c r="E1065" s="1" t="n">
        <x:v>57</x:v>
      </x:c>
      <x:c r="F1065" s="32" t="n">
        <x:v>48015</x:v>
      </x:c>
      <x:c r="G1065" s="36" t="n">
        <x:v>0</x:v>
      </x:c>
      <x:c r="H1065" s="36" t="n">
        <x:v>0</x:v>
      </x:c>
      <x:c r="I1065" s="36" t="n">
        <x:v>0</x:v>
      </x:c>
      <x:c r="J1065" s="36" t="n">
        <x:v>0</x:v>
      </x:c>
      <x:c r="K1065" s="36" t="n">
        <x:v>0</x:v>
      </x:c>
      <x:c r="L1065" s="36" t="n">
        <x:v>0</x:v>
      </x:c>
      <x:c r="M1065" s="38" t="n">
        <x:v>4.7501711156741955</x:v>
      </x:c>
      <x:c r="N1065" s="36" t="n">
        <x:v>0</x:v>
      </x:c>
    </x:row>
    <x:row r="1066" ht="20" customHeight="1">
      <x:c r="C1066" s="1" t="n">
        <x:v>3</x:v>
      </x:c>
      <x:c r="D1066" s="1" t="n">
        <x:v>1</x:v>
      </x:c>
      <x:c r="E1066" s="1" t="n">
        <x:v>58</x:v>
      </x:c>
      <x:c r="F1066" s="32" t="n">
        <x:v>48044</x:v>
      </x:c>
      <x:c r="G1066" s="36" t="n">
        <x:v>0</x:v>
      </x:c>
      <x:c r="H1066" s="36" t="n">
        <x:v>0</x:v>
      </x:c>
      <x:c r="I1066" s="36" t="n">
        <x:v>0</x:v>
      </x:c>
      <x:c r="J1066" s="36" t="n">
        <x:v>0</x:v>
      </x:c>
      <x:c r="K1066" s="36" t="n">
        <x:v>0</x:v>
      </x:c>
      <x:c r="L1066" s="36" t="n">
        <x:v>0</x:v>
      </x:c>
      <x:c r="M1066" s="38" t="n">
        <x:v>4.829568788501026</x:v>
      </x:c>
      <x:c r="N1066" s="36" t="n">
        <x:v>0</x:v>
      </x:c>
    </x:row>
    <x:row r="1067" ht="20" customHeight="1">
      <x:c r="C1067" s="1" t="n">
        <x:v>3</x:v>
      </x:c>
      <x:c r="D1067" s="1" t="n">
        <x:v>1</x:v>
      </x:c>
      <x:c r="E1067" s="1" t="n">
        <x:v>59</x:v>
      </x:c>
      <x:c r="F1067" s="32" t="n">
        <x:v>48075</x:v>
      </x:c>
      <x:c r="G1067" s="36" t="n">
        <x:v>0</x:v>
      </x:c>
      <x:c r="H1067" s="36" t="n">
        <x:v>0</x:v>
      </x:c>
      <x:c r="I1067" s="36" t="n">
        <x:v>0</x:v>
      </x:c>
      <x:c r="J1067" s="36" t="n">
        <x:v>0</x:v>
      </x:c>
      <x:c r="K1067" s="36" t="n">
        <x:v>0</x:v>
      </x:c>
      <x:c r="L1067" s="36" t="n">
        <x:v>0</x:v>
      </x:c>
      <x:c r="M1067" s="38" t="n">
        <x:v>4.914442162902122</x:v>
      </x:c>
      <x:c r="N1067" s="36" t="n">
        <x:v>0</x:v>
      </x:c>
    </x:row>
    <x:row r="1068" ht="20" customHeight="1">
      <x:c r="C1068" s="1" t="n">
        <x:v>3</x:v>
      </x:c>
      <x:c r="D1068" s="1" t="n">
        <x:v>1</x:v>
      </x:c>
      <x:c r="E1068" s="1" t="n">
        <x:v>60</x:v>
      </x:c>
      <x:c r="F1068" s="32" t="n">
        <x:v>48106</x:v>
      </x:c>
      <x:c r="G1068" s="36" t="n">
        <x:v>0</x:v>
      </x:c>
      <x:c r="H1068" s="36" t="n">
        <x:v>0</x:v>
      </x:c>
      <x:c r="I1068" s="36" t="n">
        <x:v>0</x:v>
      </x:c>
      <x:c r="J1068" s="36" t="n">
        <x:v>0</x:v>
      </x:c>
      <x:c r="K1068" s="36" t="n">
        <x:v>0</x:v>
      </x:c>
      <x:c r="L1068" s="36" t="n">
        <x:v>0</x:v>
      </x:c>
      <x:c r="M1068" s="38" t="n">
        <x:v>4.999315537303217</x:v>
      </x:c>
      <x:c r="N1068" s="36" t="n">
        <x:v>0</x:v>
      </x:c>
    </x:row>
    <x:row r="1069" ht="20" customHeight="1">
      <x:c r="C1069" s="1" t="n">
        <x:v>3</x:v>
      </x:c>
      <x:c r="D1069" s="1" t="n">
        <x:v>1</x:v>
      </x:c>
      <x:c r="E1069" s="1" t="n">
        <x:v>61</x:v>
      </x:c>
      <x:c r="F1069" s="32" t="n">
        <x:v>48136</x:v>
      </x:c>
      <x:c r="G1069" s="36" t="n">
        <x:v>0</x:v>
      </x:c>
      <x:c r="H1069" s="36" t="n">
        <x:v>0</x:v>
      </x:c>
      <x:c r="I1069" s="36" t="n">
        <x:v>0</x:v>
      </x:c>
      <x:c r="J1069" s="36" t="n">
        <x:v>0</x:v>
      </x:c>
      <x:c r="K1069" s="36" t="n">
        <x:v>0</x:v>
      </x:c>
      <x:c r="L1069" s="36" t="n">
        <x:v>0</x:v>
      </x:c>
      <x:c r="M1069" s="38" t="n">
        <x:v>5.08145106091718</x:v>
      </x:c>
      <x:c r="N1069" s="36" t="n">
        <x:v>0</x:v>
      </x:c>
    </x:row>
    <x:row r="1070" ht="20" customHeight="1">
      <x:c r="C1070" s="1" t="n">
        <x:v>3</x:v>
      </x:c>
      <x:c r="D1070" s="1" t="n">
        <x:v>1</x:v>
      </x:c>
      <x:c r="E1070" s="1" t="n">
        <x:v>62</x:v>
      </x:c>
      <x:c r="F1070" s="32" t="n">
        <x:v>48169</x:v>
      </x:c>
      <x:c r="G1070" s="36" t="n">
        <x:v>0</x:v>
      </x:c>
      <x:c r="H1070" s="36" t="n">
        <x:v>0</x:v>
      </x:c>
      <x:c r="I1070" s="36" t="n">
        <x:v>0</x:v>
      </x:c>
      <x:c r="J1070" s="36" t="n">
        <x:v>0</x:v>
      </x:c>
      <x:c r="K1070" s="36" t="n">
        <x:v>0</x:v>
      </x:c>
      <x:c r="L1070" s="36" t="n">
        <x:v>0</x:v>
      </x:c>
      <x:c r="M1070" s="38" t="n">
        <x:v>5.171800136892539</x:v>
      </x:c>
      <x:c r="N1070" s="36" t="n">
        <x:v>0</x:v>
      </x:c>
    </x:row>
    <x:row r="1071" ht="20" customHeight="1">
      <x:c r="C1071" s="1" t="n">
        <x:v>3</x:v>
      </x:c>
      <x:c r="D1071" s="1" t="n">
        <x:v>1</x:v>
      </x:c>
      <x:c r="E1071" s="1" t="n">
        <x:v>63</x:v>
      </x:c>
      <x:c r="F1071" s="32" t="n">
        <x:v>48197</x:v>
      </x:c>
      <x:c r="G1071" s="36" t="n">
        <x:v>0</x:v>
      </x:c>
      <x:c r="H1071" s="36" t="n">
        <x:v>0</x:v>
      </x:c>
      <x:c r="I1071" s="36" t="n">
        <x:v>0</x:v>
      </x:c>
      <x:c r="J1071" s="36" t="n">
        <x:v>0</x:v>
      </x:c>
      <x:c r="K1071" s="36" t="n">
        <x:v>0</x:v>
      </x:c>
      <x:c r="L1071" s="36" t="n">
        <x:v>0</x:v>
      </x:c>
      <x:c r="M1071" s="38" t="n">
        <x:v>5.248459958932238</x:v>
      </x:c>
      <x:c r="N1071" s="36" t="n">
        <x:v>0</x:v>
      </x:c>
    </x:row>
    <x:row r="1072" ht="20" customHeight="1">
      <x:c r="C1072" s="1" t="n">
        <x:v>3</x:v>
      </x:c>
      <x:c r="D1072" s="1" t="n">
        <x:v>1</x:v>
      </x:c>
      <x:c r="E1072" s="1" t="n">
        <x:v>64</x:v>
      </x:c>
      <x:c r="F1072" s="32" t="n">
        <x:v>48228</x:v>
      </x:c>
      <x:c r="G1072" s="36" t="n">
        <x:v>0</x:v>
      </x:c>
      <x:c r="H1072" s="36" t="n">
        <x:v>0</x:v>
      </x:c>
      <x:c r="I1072" s="36" t="n">
        <x:v>0</x:v>
      </x:c>
      <x:c r="J1072" s="36" t="n">
        <x:v>0</x:v>
      </x:c>
      <x:c r="K1072" s="36" t="n">
        <x:v>0</x:v>
      </x:c>
      <x:c r="L1072" s="36" t="n">
        <x:v>0</x:v>
      </x:c>
      <x:c r="M1072" s="38" t="n">
        <x:v>5.333333333333333</x:v>
      </x:c>
      <x:c r="N1072" s="36" t="n">
        <x:v>0</x:v>
      </x:c>
    </x:row>
    <x:row r="1073" ht="20" customHeight="1">
      <x:c r="C1073" s="1" t="n">
        <x:v>3</x:v>
      </x:c>
      <x:c r="D1073" s="1" t="n">
        <x:v>1</x:v>
      </x:c>
      <x:c r="E1073" s="1" t="n">
        <x:v>65</x:v>
      </x:c>
      <x:c r="F1073" s="32" t="n">
        <x:v>48261</x:v>
      </x:c>
      <x:c r="G1073" s="36" t="n">
        <x:v>0</x:v>
      </x:c>
      <x:c r="H1073" s="36" t="n">
        <x:v>0</x:v>
      </x:c>
      <x:c r="I1073" s="36" t="n">
        <x:v>0</x:v>
      </x:c>
      <x:c r="J1073" s="36" t="n">
        <x:v>0</x:v>
      </x:c>
      <x:c r="K1073" s="36" t="n">
        <x:v>0</x:v>
      </x:c>
      <x:c r="L1073" s="36" t="n">
        <x:v>0</x:v>
      </x:c>
      <x:c r="M1073" s="38" t="n">
        <x:v>5.423682409308693</x:v>
      </x:c>
      <x:c r="N1073" s="36" t="n">
        <x:v>0</x:v>
      </x:c>
    </x:row>
    <x:row r="1074" ht="20" customHeight="1">
      <x:c r="C1074" s="1" t="n">
        <x:v>3</x:v>
      </x:c>
      <x:c r="D1074" s="1" t="n">
        <x:v>1</x:v>
      </x:c>
      <x:c r="E1074" s="1" t="n">
        <x:v>66</x:v>
      </x:c>
      <x:c r="F1074" s="32" t="n">
        <x:v>48288</x:v>
      </x:c>
      <x:c r="G1074" s="36" t="n">
        <x:v>0</x:v>
      </x:c>
      <x:c r="H1074" s="36" t="n">
        <x:v>0</x:v>
      </x:c>
      <x:c r="I1074" s="36" t="n">
        <x:v>0</x:v>
      </x:c>
      <x:c r="J1074" s="36" t="n">
        <x:v>0</x:v>
      </x:c>
      <x:c r="K1074" s="36" t="n">
        <x:v>0</x:v>
      </x:c>
      <x:c r="L1074" s="36" t="n">
        <x:v>0</x:v>
      </x:c>
      <x:c r="M1074" s="38" t="n">
        <x:v>5.49760438056126</x:v>
      </x:c>
      <x:c r="N1074" s="36" t="n">
        <x:v>0</x:v>
      </x:c>
    </x:row>
    <x:row r="1075" ht="20" customHeight="1">
      <x:c r="C1075" s="1" t="n">
        <x:v>3</x:v>
      </x:c>
      <x:c r="D1075" s="1" t="n">
        <x:v>1</x:v>
      </x:c>
      <x:c r="E1075" s="1" t="n">
        <x:v>67</x:v>
      </x:c>
      <x:c r="F1075" s="32" t="n">
        <x:v>48319</x:v>
      </x:c>
      <x:c r="G1075" s="36" t="n">
        <x:v>0</x:v>
      </x:c>
      <x:c r="H1075" s="36" t="n">
        <x:v>0</x:v>
      </x:c>
      <x:c r="I1075" s="36" t="n">
        <x:v>0</x:v>
      </x:c>
      <x:c r="J1075" s="36" t="n">
        <x:v>0</x:v>
      </x:c>
      <x:c r="K1075" s="36" t="n">
        <x:v>0</x:v>
      </x:c>
      <x:c r="L1075" s="36" t="n">
        <x:v>0</x:v>
      </x:c>
      <x:c r="M1075" s="38" t="n">
        <x:v>5.582477754962355</x:v>
      </x:c>
      <x:c r="N1075" s="36" t="n">
        <x:v>0</x:v>
      </x:c>
    </x:row>
    <x:row r="1076" ht="20" customHeight="1">
      <x:c r="C1076" s="1" t="n">
        <x:v>3</x:v>
      </x:c>
      <x:c r="D1076" s="1" t="n">
        <x:v>2</x:v>
      </x:c>
      <x:c r="E1076" s="1" t="n">
        <x:v>1</x:v>
      </x:c>
      <x:c r="F1076" s="32" t="n">
        <x:v>46310</x:v>
      </x:c>
      <x:c r="G1076" s="36" t="n">
        <x:v>88337412.47</x:v>
      </x:c>
      <x:c r="H1076" s="36" t="n">
        <x:v>337890.6</x:v>
      </x:c>
      <x:c r="I1076" s="36" t="n">
        <x:v>14736417.33</x:v>
      </x:c>
      <x:c r="J1076" s="36" t="n">
        <x:v>0</x:v>
      </x:c>
      <x:c r="K1076" s="36" t="n">
        <x:v>73600995.14</x:v>
      </x:c>
      <x:c r="L1076" s="36" t="n">
        <x:v>0</x:v>
      </x:c>
      <x:c r="M1076" s="38" t="n">
        <x:v>0.08213552361396304</x:v>
      </x:c>
      <x:c r="N1076" s="36" t="n">
        <x:v>73600995.14</x:v>
      </x:c>
    </x:row>
    <x:row r="1077" ht="20" customHeight="1">
      <x:c r="C1077" s="1" t="n">
        <x:v>3</x:v>
      </x:c>
      <x:c r="D1077" s="1" t="n">
        <x:v>2</x:v>
      </x:c>
      <x:c r="E1077" s="1" t="n">
        <x:v>2</x:v>
      </x:c>
      <x:c r="F1077" s="32" t="n">
        <x:v>46342</x:v>
      </x:c>
      <x:c r="G1077" s="36" t="n">
        <x:v>73600995.14</x:v>
      </x:c>
      <x:c r="H1077" s="36" t="n">
        <x:v>281523.81</x:v>
      </x:c>
      <x:c r="I1077" s="36" t="n">
        <x:v>15329001.04</x:v>
      </x:c>
      <x:c r="J1077" s="36" t="n">
        <x:v>0</x:v>
      </x:c>
      <x:c r="K1077" s="36" t="n">
        <x:v>58271994.1</x:v>
      </x:c>
      <x:c r="L1077" s="36" t="n">
        <x:v>0</x:v>
      </x:c>
      <x:c r="M1077" s="38" t="n">
        <x:v>0.1697467488021903</x:v>
      </x:c>
      <x:c r="N1077" s="36" t="n">
        <x:v>58271994.1</x:v>
      </x:c>
    </x:row>
    <x:row r="1078" ht="20" customHeight="1">
      <x:c r="C1078" s="1" t="n">
        <x:v>3</x:v>
      </x:c>
      <x:c r="D1078" s="1" t="n">
        <x:v>2</x:v>
      </x:c>
      <x:c r="E1078" s="1" t="n">
        <x:v>3</x:v>
      </x:c>
      <x:c r="F1078" s="32" t="n">
        <x:v>46371</x:v>
      </x:c>
      <x:c r="G1078" s="36" t="n">
        <x:v>58271994.1</x:v>
      </x:c>
      <x:c r="H1078" s="36" t="n">
        <x:v>222890.38</x:v>
      </x:c>
      <x:c r="I1078" s="36" t="n">
        <x:v>14552752.71</x:v>
      </x:c>
      <x:c r="J1078" s="36" t="n">
        <x:v>0</x:v>
      </x:c>
      <x:c r="K1078" s="36" t="n">
        <x:v>43719241.39</x:v>
      </x:c>
      <x:c r="L1078" s="36" t="n">
        <x:v>0</x:v>
      </x:c>
      <x:c r="M1078" s="38" t="n">
        <x:v>0.24914442162902123</x:v>
      </x:c>
      <x:c r="N1078" s="36" t="n">
        <x:v>43719241.39</x:v>
      </x:c>
    </x:row>
    <x:row r="1079" ht="20" customHeight="1">
      <x:c r="C1079" s="1" t="n">
        <x:v>3</x:v>
      </x:c>
      <x:c r="D1079" s="1" t="n">
        <x:v>2</x:v>
      </x:c>
      <x:c r="E1079" s="1" t="n">
        <x:v>4</x:v>
      </x:c>
      <x:c r="F1079" s="32" t="n">
        <x:v>46402</x:v>
      </x:c>
      <x:c r="G1079" s="36" t="n">
        <x:v>43719241.39</x:v>
      </x:c>
      <x:c r="H1079" s="36" t="n">
        <x:v>167226.1</x:v>
      </x:c>
      <x:c r="I1079" s="36" t="n">
        <x:v>13172811.5</x:v>
      </x:c>
      <x:c r="J1079" s="36" t="n">
        <x:v>0</x:v>
      </x:c>
      <x:c r="K1079" s="36" t="n">
        <x:v>30546429.89</x:v>
      </x:c>
      <x:c r="L1079" s="36" t="n">
        <x:v>0</x:v>
      </x:c>
      <x:c r="M1079" s="38" t="n">
        <x:v>0.33401779603011633</x:v>
      </x:c>
      <x:c r="N1079" s="36" t="n">
        <x:v>30546429.89</x:v>
      </x:c>
    </x:row>
    <x:row r="1080" ht="20" customHeight="1">
      <x:c r="C1080" s="1" t="n">
        <x:v>3</x:v>
      </x:c>
      <x:c r="D1080" s="1" t="n">
        <x:v>2</x:v>
      </x:c>
      <x:c r="E1080" s="1" t="n">
        <x:v>5</x:v>
      </x:c>
      <x:c r="F1080" s="32" t="n">
        <x:v>46434</x:v>
      </x:c>
      <x:c r="G1080" s="36" t="n">
        <x:v>30546429.89</x:v>
      </x:c>
      <x:c r="H1080" s="36" t="n">
        <x:v>116840.09</x:v>
      </x:c>
      <x:c r="I1080" s="36" t="n">
        <x:v>12897978.61</x:v>
      </x:c>
      <x:c r="J1080" s="36" t="n">
        <x:v>0</x:v>
      </x:c>
      <x:c r="K1080" s="36" t="n">
        <x:v>17648451.28</x:v>
      </x:c>
      <x:c r="L1080" s="36" t="n">
        <x:v>0</x:v>
      </x:c>
      <x:c r="M1080" s="38" t="n">
        <x:v>0.4216290212183436</x:v>
      </x:c>
      <x:c r="N1080" s="36" t="n">
        <x:v>17648451.28</x:v>
      </x:c>
    </x:row>
    <x:row r="1081" ht="20" customHeight="1">
      <x:c r="C1081" s="1" t="n">
        <x:v>3</x:v>
      </x:c>
      <x:c r="D1081" s="1" t="n">
        <x:v>2</x:v>
      </x:c>
      <x:c r="E1081" s="1" t="n">
        <x:v>6</x:v>
      </x:c>
      <x:c r="F1081" s="32" t="n">
        <x:v>46461</x:v>
      </x:c>
      <x:c r="G1081" s="36" t="n">
        <x:v>17648451.28</x:v>
      </x:c>
      <x:c r="H1081" s="36" t="n">
        <x:v>67505.33</x:v>
      </x:c>
      <x:c r="I1081" s="36" t="n">
        <x:v>12610620.34</x:v>
      </x:c>
      <x:c r="J1081" s="36" t="n">
        <x:v>0</x:v>
      </x:c>
      <x:c r="K1081" s="36" t="n">
        <x:v>5037830.94</x:v>
      </x:c>
      <x:c r="L1081" s="36" t="n">
        <x:v>0</x:v>
      </x:c>
      <x:c r="M1081" s="38" t="n">
        <x:v>0.49555099247091033</x:v>
      </x:c>
      <x:c r="N1081" s="36" t="n">
        <x:v>5037830.94</x:v>
      </x:c>
    </x:row>
    <x:row r="1082" ht="20" customHeight="1">
      <x:c r="C1082" s="1" t="n">
        <x:v>3</x:v>
      </x:c>
      <x:c r="D1082" s="1" t="n">
        <x:v>2</x:v>
      </x:c>
      <x:c r="E1082" s="1" t="n">
        <x:v>7</x:v>
      </x:c>
      <x:c r="F1082" s="32" t="n">
        <x:v>46492</x:v>
      </x:c>
      <x:c r="G1082" s="36" t="n">
        <x:v>5037830.94</x:v>
      </x:c>
      <x:c r="H1082" s="36" t="n">
        <x:v>19269.7</x:v>
      </x:c>
      <x:c r="I1082" s="36" t="n">
        <x:v>5037830.94</x:v>
      </x:c>
      <x:c r="J1082" s="36" t="n">
        <x:v>0</x:v>
      </x:c>
      <x:c r="K1082" s="36" t="n">
        <x:v>0</x:v>
      </x:c>
      <x:c r="L1082" s="36" t="n">
        <x:v>0</x:v>
      </x:c>
      <x:c r="M1082" s="38" t="n">
        <x:v>0.5804243668720055</x:v>
      </x:c>
      <x:c r="N1082" s="36" t="n">
        <x:v>0</x:v>
      </x:c>
    </x:row>
    <x:row r="1083" ht="20" customHeight="1">
      <x:c r="C1083" s="1" t="n">
        <x:v>3</x:v>
      </x:c>
      <x:c r="D1083" s="1" t="n">
        <x:v>2</x:v>
      </x:c>
      <x:c r="E1083" s="1" t="n">
        <x:v>8</x:v>
      </x:c>
      <x:c r="F1083" s="32" t="n">
        <x:v>46524</x:v>
      </x:c>
      <x:c r="G1083" s="36" t="n">
        <x:v>0</x:v>
      </x:c>
      <x:c r="H1083" s="36" t="n">
        <x:v>0</x:v>
      </x:c>
      <x:c r="I1083" s="36" t="n">
        <x:v>0</x:v>
      </x:c>
      <x:c r="J1083" s="36" t="n">
        <x:v>0</x:v>
      </x:c>
      <x:c r="K1083" s="36" t="n">
        <x:v>0</x:v>
      </x:c>
      <x:c r="L1083" s="36" t="n">
        <x:v>0</x:v>
      </x:c>
      <x:c r="M1083" s="38" t="n">
        <x:v>0.6680355920602327</x:v>
      </x:c>
      <x:c r="N1083" s="36" t="n">
        <x:v>0</x:v>
      </x:c>
    </x:row>
    <x:row r="1084" ht="20" customHeight="1">
      <x:c r="C1084" s="1" t="n">
        <x:v>3</x:v>
      </x:c>
      <x:c r="D1084" s="1" t="n">
        <x:v>2</x:v>
      </x:c>
      <x:c r="E1084" s="1" t="n">
        <x:v>9</x:v>
      </x:c>
      <x:c r="F1084" s="32" t="n">
        <x:v>46553</x:v>
      </x:c>
      <x:c r="G1084" s="36" t="n">
        <x:v>0</x:v>
      </x:c>
      <x:c r="H1084" s="36" t="n">
        <x:v>0</x:v>
      </x:c>
      <x:c r="I1084" s="36" t="n">
        <x:v>0</x:v>
      </x:c>
      <x:c r="J1084" s="36" t="n">
        <x:v>0</x:v>
      </x:c>
      <x:c r="K1084" s="36" t="n">
        <x:v>0</x:v>
      </x:c>
      <x:c r="L1084" s="36" t="n">
        <x:v>0</x:v>
      </x:c>
      <x:c r="M1084" s="38" t="n">
        <x:v>0.7474332648870636</x:v>
      </x:c>
      <x:c r="N1084" s="36" t="n">
        <x:v>0</x:v>
      </x:c>
    </x:row>
    <x:row r="1085" ht="20" customHeight="1">
      <x:c r="C1085" s="1" t="n">
        <x:v>3</x:v>
      </x:c>
      <x:c r="D1085" s="1" t="n">
        <x:v>2</x:v>
      </x:c>
      <x:c r="E1085" s="1" t="n">
        <x:v>10</x:v>
      </x:c>
      <x:c r="F1085" s="32" t="n">
        <x:v>46583</x:v>
      </x:c>
      <x:c r="G1085" s="36" t="n">
        <x:v>0</x:v>
      </x:c>
      <x:c r="H1085" s="36" t="n">
        <x:v>0</x:v>
      </x:c>
      <x:c r="I1085" s="36" t="n">
        <x:v>0</x:v>
      </x:c>
      <x:c r="J1085" s="36" t="n">
        <x:v>0</x:v>
      </x:c>
      <x:c r="K1085" s="36" t="n">
        <x:v>0</x:v>
      </x:c>
      <x:c r="L1085" s="36" t="n">
        <x:v>0</x:v>
      </x:c>
      <x:c r="M1085" s="38" t="n">
        <x:v>0.8295687885010267</x:v>
      </x:c>
      <x:c r="N1085" s="36" t="n">
        <x:v>0</x:v>
      </x:c>
    </x:row>
    <x:row r="1086" ht="20" customHeight="1">
      <x:c r="C1086" s="1" t="n">
        <x:v>3</x:v>
      </x:c>
      <x:c r="D1086" s="1" t="n">
        <x:v>2</x:v>
      </x:c>
      <x:c r="E1086" s="1" t="n">
        <x:v>11</x:v>
      </x:c>
      <x:c r="F1086" s="32" t="n">
        <x:v>46615</x:v>
      </x:c>
      <x:c r="G1086" s="36" t="n">
        <x:v>0</x:v>
      </x:c>
      <x:c r="H1086" s="36" t="n">
        <x:v>0</x:v>
      </x:c>
      <x:c r="I1086" s="36" t="n">
        <x:v>0</x:v>
      </x:c>
      <x:c r="J1086" s="36" t="n">
        <x:v>0</x:v>
      </x:c>
      <x:c r="K1086" s="36" t="n">
        <x:v>0</x:v>
      </x:c>
      <x:c r="L1086" s="36" t="n">
        <x:v>0</x:v>
      </x:c>
      <x:c r="M1086" s="38" t="n">
        <x:v>0.917180013689254</x:v>
      </x:c>
      <x:c r="N1086" s="36" t="n">
        <x:v>0</x:v>
      </x:c>
    </x:row>
    <x:row r="1087" ht="20" customHeight="1">
      <x:c r="C1087" s="1" t="n">
        <x:v>3</x:v>
      </x:c>
      <x:c r="D1087" s="1" t="n">
        <x:v>2</x:v>
      </x:c>
      <x:c r="E1087" s="1" t="n">
        <x:v>12</x:v>
      </x:c>
      <x:c r="F1087" s="32" t="n">
        <x:v>46645</x:v>
      </x:c>
      <x:c r="G1087" s="36" t="n">
        <x:v>0</x:v>
      </x:c>
      <x:c r="H1087" s="36" t="n">
        <x:v>0</x:v>
      </x:c>
      <x:c r="I1087" s="36" t="n">
        <x:v>0</x:v>
      </x:c>
      <x:c r="J1087" s="36" t="n">
        <x:v>0</x:v>
      </x:c>
      <x:c r="K1087" s="36" t="n">
        <x:v>0</x:v>
      </x:c>
      <x:c r="L1087" s="36" t="n">
        <x:v>0</x:v>
      </x:c>
      <x:c r="M1087" s="38" t="n">
        <x:v>0.999315537303217</x:v>
      </x:c>
      <x:c r="N1087" s="36" t="n">
        <x:v>0</x:v>
      </x:c>
    </x:row>
    <x:row r="1088" ht="20" customHeight="1">
      <x:c r="C1088" s="1" t="n">
        <x:v>3</x:v>
      </x:c>
      <x:c r="D1088" s="1" t="n">
        <x:v>2</x:v>
      </x:c>
      <x:c r="E1088" s="1" t="n">
        <x:v>13</x:v>
      </x:c>
      <x:c r="F1088" s="32" t="n">
        <x:v>46675</x:v>
      </x:c>
      <x:c r="G1088" s="36" t="n">
        <x:v>0</x:v>
      </x:c>
      <x:c r="H1088" s="36" t="n">
        <x:v>0</x:v>
      </x:c>
      <x:c r="I1088" s="36" t="n">
        <x:v>0</x:v>
      </x:c>
      <x:c r="J1088" s="36" t="n">
        <x:v>0</x:v>
      </x:c>
      <x:c r="K1088" s="36" t="n">
        <x:v>0</x:v>
      </x:c>
      <x:c r="L1088" s="36" t="n">
        <x:v>0</x:v>
      </x:c>
      <x:c r="M1088" s="38" t="n">
        <x:v>1.08145106091718</x:v>
      </x:c>
      <x:c r="N1088" s="36" t="n">
        <x:v>0</x:v>
      </x:c>
    </x:row>
    <x:row r="1089" ht="20" customHeight="1">
      <x:c r="C1089" s="1" t="n">
        <x:v>3</x:v>
      </x:c>
      <x:c r="D1089" s="1" t="n">
        <x:v>2</x:v>
      </x:c>
      <x:c r="E1089" s="1" t="n">
        <x:v>14</x:v>
      </x:c>
      <x:c r="F1089" s="32" t="n">
        <x:v>46706</x:v>
      </x:c>
      <x:c r="G1089" s="36" t="n">
        <x:v>0</x:v>
      </x:c>
      <x:c r="H1089" s="36" t="n">
        <x:v>0</x:v>
      </x:c>
      <x:c r="I1089" s="36" t="n">
        <x:v>0</x:v>
      </x:c>
      <x:c r="J1089" s="36" t="n">
        <x:v>0</x:v>
      </x:c>
      <x:c r="K1089" s="36" t="n">
        <x:v>0</x:v>
      </x:c>
      <x:c r="L1089" s="36" t="n">
        <x:v>0</x:v>
      </x:c>
      <x:c r="M1089" s="38" t="n">
        <x:v>1.1663244353182751</x:v>
      </x:c>
      <x:c r="N1089" s="36" t="n">
        <x:v>0</x:v>
      </x:c>
    </x:row>
    <x:row r="1090" ht="20" customHeight="1">
      <x:c r="C1090" s="1" t="n">
        <x:v>3</x:v>
      </x:c>
      <x:c r="D1090" s="1" t="n">
        <x:v>2</x:v>
      </x:c>
      <x:c r="E1090" s="1" t="n">
        <x:v>15</x:v>
      </x:c>
      <x:c r="F1090" s="32" t="n">
        <x:v>46736</x:v>
      </x:c>
      <x:c r="G1090" s="36" t="n">
        <x:v>0</x:v>
      </x:c>
      <x:c r="H1090" s="36" t="n">
        <x:v>0</x:v>
      </x:c>
      <x:c r="I1090" s="36" t="n">
        <x:v>0</x:v>
      </x:c>
      <x:c r="J1090" s="36" t="n">
        <x:v>0</x:v>
      </x:c>
      <x:c r="K1090" s="36" t="n">
        <x:v>0</x:v>
      </x:c>
      <x:c r="L1090" s="36" t="n">
        <x:v>0</x:v>
      </x:c>
      <x:c r="M1090" s="38" t="n">
        <x:v>1.2484599589322383</x:v>
      </x:c>
      <x:c r="N1090" s="36" t="n">
        <x:v>0</x:v>
      </x:c>
    </x:row>
    <x:row r="1091" ht="20" customHeight="1">
      <x:c r="C1091" s="1" t="n">
        <x:v>3</x:v>
      </x:c>
      <x:c r="D1091" s="1" t="n">
        <x:v>2</x:v>
      </x:c>
      <x:c r="E1091" s="1" t="n">
        <x:v>16</x:v>
      </x:c>
      <x:c r="F1091" s="32" t="n">
        <x:v>46770</x:v>
      </x:c>
      <x:c r="G1091" s="36" t="n">
        <x:v>0</x:v>
      </x:c>
      <x:c r="H1091" s="36" t="n">
        <x:v>0</x:v>
      </x:c>
      <x:c r="I1091" s="36" t="n">
        <x:v>0</x:v>
      </x:c>
      <x:c r="J1091" s="36" t="n">
        <x:v>0</x:v>
      </x:c>
      <x:c r="K1091" s="36" t="n">
        <x:v>0</x:v>
      </x:c>
      <x:c r="L1091" s="36" t="n">
        <x:v>0</x:v>
      </x:c>
      <x:c r="M1091" s="38" t="n">
        <x:v>1.3415468856947297</x:v>
      </x:c>
      <x:c r="N1091" s="36" t="n">
        <x:v>0</x:v>
      </x:c>
    </x:row>
    <x:row r="1092" ht="20" customHeight="1">
      <x:c r="C1092" s="1" t="n">
        <x:v>3</x:v>
      </x:c>
      <x:c r="D1092" s="1" t="n">
        <x:v>2</x:v>
      </x:c>
      <x:c r="E1092" s="1" t="n">
        <x:v>17</x:v>
      </x:c>
      <x:c r="F1092" s="32" t="n">
        <x:v>46798</x:v>
      </x:c>
      <x:c r="G1092" s="36" t="n">
        <x:v>0</x:v>
      </x:c>
      <x:c r="H1092" s="36" t="n">
        <x:v>0</x:v>
      </x:c>
      <x:c r="I1092" s="36" t="n">
        <x:v>0</x:v>
      </x:c>
      <x:c r="J1092" s="36" t="n">
        <x:v>0</x:v>
      </x:c>
      <x:c r="K1092" s="36" t="n">
        <x:v>0</x:v>
      </x:c>
      <x:c r="L1092" s="36" t="n">
        <x:v>0</x:v>
      </x:c>
      <x:c r="M1092" s="38" t="n">
        <x:v>1.4182067077344285</x:v>
      </x:c>
      <x:c r="N1092" s="36" t="n">
        <x:v>0</x:v>
      </x:c>
    </x:row>
    <x:row r="1093" ht="20" customHeight="1">
      <x:c r="C1093" s="1" t="n">
        <x:v>3</x:v>
      </x:c>
      <x:c r="D1093" s="1" t="n">
        <x:v>2</x:v>
      </x:c>
      <x:c r="E1093" s="1" t="n">
        <x:v>18</x:v>
      </x:c>
      <x:c r="F1093" s="32" t="n">
        <x:v>46827</x:v>
      </x:c>
      <x:c r="G1093" s="36" t="n">
        <x:v>0</x:v>
      </x:c>
      <x:c r="H1093" s="36" t="n">
        <x:v>0</x:v>
      </x:c>
      <x:c r="I1093" s="36" t="n">
        <x:v>0</x:v>
      </x:c>
      <x:c r="J1093" s="36" t="n">
        <x:v>0</x:v>
      </x:c>
      <x:c r="K1093" s="36" t="n">
        <x:v>0</x:v>
      </x:c>
      <x:c r="L1093" s="36" t="n">
        <x:v>0</x:v>
      </x:c>
      <x:c r="M1093" s="38" t="n">
        <x:v>1.4976043805612593</x:v>
      </x:c>
      <x:c r="N1093" s="36" t="n">
        <x:v>0</x:v>
      </x:c>
    </x:row>
    <x:row r="1094" ht="20" customHeight="1">
      <x:c r="C1094" s="1" t="n">
        <x:v>3</x:v>
      </x:c>
      <x:c r="D1094" s="1" t="n">
        <x:v>2</x:v>
      </x:c>
      <x:c r="E1094" s="1" t="n">
        <x:v>19</x:v>
      </x:c>
      <x:c r="F1094" s="32" t="n">
        <x:v>46860</x:v>
      </x:c>
      <x:c r="G1094" s="36" t="n">
        <x:v>0</x:v>
      </x:c>
      <x:c r="H1094" s="36" t="n">
        <x:v>0</x:v>
      </x:c>
      <x:c r="I1094" s="36" t="n">
        <x:v>0</x:v>
      </x:c>
      <x:c r="J1094" s="36" t="n">
        <x:v>0</x:v>
      </x:c>
      <x:c r="K1094" s="36" t="n">
        <x:v>0</x:v>
      </x:c>
      <x:c r="L1094" s="36" t="n">
        <x:v>0</x:v>
      </x:c>
      <x:c r="M1094" s="38" t="n">
        <x:v>1.5879534565366187</x:v>
      </x:c>
      <x:c r="N1094" s="36" t="n">
        <x:v>0</x:v>
      </x:c>
    </x:row>
    <x:row r="1095" ht="20" customHeight="1">
      <x:c r="C1095" s="1" t="n">
        <x:v>3</x:v>
      </x:c>
      <x:c r="D1095" s="1" t="n">
        <x:v>2</x:v>
      </x:c>
      <x:c r="E1095" s="1" t="n">
        <x:v>20</x:v>
      </x:c>
      <x:c r="F1095" s="32" t="n">
        <x:v>46888</x:v>
      </x:c>
      <x:c r="G1095" s="36" t="n">
        <x:v>0</x:v>
      </x:c>
      <x:c r="H1095" s="36" t="n">
        <x:v>0</x:v>
      </x:c>
      <x:c r="I1095" s="36" t="n">
        <x:v>0</x:v>
      </x:c>
      <x:c r="J1095" s="36" t="n">
        <x:v>0</x:v>
      </x:c>
      <x:c r="K1095" s="36" t="n">
        <x:v>0</x:v>
      </x:c>
      <x:c r="L1095" s="36" t="n">
        <x:v>0</x:v>
      </x:c>
      <x:c r="M1095" s="38" t="n">
        <x:v>1.6646132785763177</x:v>
      </x:c>
      <x:c r="N1095" s="36" t="n">
        <x:v>0</x:v>
      </x:c>
    </x:row>
    <x:row r="1096" ht="20" customHeight="1">
      <x:c r="C1096" s="1" t="n">
        <x:v>3</x:v>
      </x:c>
      <x:c r="D1096" s="1" t="n">
        <x:v>2</x:v>
      </x:c>
      <x:c r="E1096" s="1" t="n">
        <x:v>21</x:v>
      </x:c>
      <x:c r="F1096" s="32" t="n">
        <x:v>46919</x:v>
      </x:c>
      <x:c r="G1096" s="36" t="n">
        <x:v>0</x:v>
      </x:c>
      <x:c r="H1096" s="36" t="n">
        <x:v>0</x:v>
      </x:c>
      <x:c r="I1096" s="36" t="n">
        <x:v>0</x:v>
      </x:c>
      <x:c r="J1096" s="36" t="n">
        <x:v>0</x:v>
      </x:c>
      <x:c r="K1096" s="36" t="n">
        <x:v>0</x:v>
      </x:c>
      <x:c r="L1096" s="36" t="n">
        <x:v>0</x:v>
      </x:c>
      <x:c r="M1096" s="38" t="n">
        <x:v>1.7494866529774127</x:v>
      </x:c>
      <x:c r="N1096" s="36" t="n">
        <x:v>0</x:v>
      </x:c>
    </x:row>
    <x:row r="1097" ht="20" customHeight="1">
      <x:c r="C1097" s="1" t="n">
        <x:v>3</x:v>
      </x:c>
      <x:c r="D1097" s="1" t="n">
        <x:v>2</x:v>
      </x:c>
      <x:c r="E1097" s="1" t="n">
        <x:v>22</x:v>
      </x:c>
      <x:c r="F1097" s="32" t="n">
        <x:v>46951</x:v>
      </x:c>
      <x:c r="G1097" s="36" t="n">
        <x:v>0</x:v>
      </x:c>
      <x:c r="H1097" s="36" t="n">
        <x:v>0</x:v>
      </x:c>
      <x:c r="I1097" s="36" t="n">
        <x:v>0</x:v>
      </x:c>
      <x:c r="J1097" s="36" t="n">
        <x:v>0</x:v>
      </x:c>
      <x:c r="K1097" s="36" t="n">
        <x:v>0</x:v>
      </x:c>
      <x:c r="L1097" s="36" t="n">
        <x:v>0</x:v>
      </x:c>
      <x:c r="M1097" s="38" t="n">
        <x:v>1.83709787816564</x:v>
      </x:c>
      <x:c r="N1097" s="36" t="n">
        <x:v>0</x:v>
      </x:c>
    </x:row>
    <x:row r="1098" ht="20" customHeight="1">
      <x:c r="C1098" s="1" t="n">
        <x:v>3</x:v>
      </x:c>
      <x:c r="D1098" s="1" t="n">
        <x:v>2</x:v>
      </x:c>
      <x:c r="E1098" s="1" t="n">
        <x:v>23</x:v>
      </x:c>
      <x:c r="F1098" s="32" t="n">
        <x:v>46980</x:v>
      </x:c>
      <x:c r="G1098" s="36" t="n">
        <x:v>0</x:v>
      </x:c>
      <x:c r="H1098" s="36" t="n">
        <x:v>0</x:v>
      </x:c>
      <x:c r="I1098" s="36" t="n">
        <x:v>0</x:v>
      </x:c>
      <x:c r="J1098" s="36" t="n">
        <x:v>0</x:v>
      </x:c>
      <x:c r="K1098" s="36" t="n">
        <x:v>0</x:v>
      </x:c>
      <x:c r="L1098" s="36" t="n">
        <x:v>0</x:v>
      </x:c>
      <x:c r="M1098" s="38" t="n">
        <x:v>1.9164955509924708</x:v>
      </x:c>
      <x:c r="N1098" s="36" t="n">
        <x:v>0</x:v>
      </x:c>
    </x:row>
    <x:row r="1099" ht="20" customHeight="1">
      <x:c r="C1099" s="1" t="n">
        <x:v>3</x:v>
      </x:c>
      <x:c r="D1099" s="1" t="n">
        <x:v>2</x:v>
      </x:c>
      <x:c r="E1099" s="1" t="n">
        <x:v>24</x:v>
      </x:c>
      <x:c r="F1099" s="32" t="n">
        <x:v>47011</x:v>
      </x:c>
      <x:c r="G1099" s="36" t="n">
        <x:v>0</x:v>
      </x:c>
      <x:c r="H1099" s="36" t="n">
        <x:v>0</x:v>
      </x:c>
      <x:c r="I1099" s="36" t="n">
        <x:v>0</x:v>
      </x:c>
      <x:c r="J1099" s="36" t="n">
        <x:v>0</x:v>
      </x:c>
      <x:c r="K1099" s="36" t="n">
        <x:v>0</x:v>
      </x:c>
      <x:c r="L1099" s="36" t="n">
        <x:v>0</x:v>
      </x:c>
      <x:c r="M1099" s="38" t="n">
        <x:v>2.001368925393566</x:v>
      </x:c>
      <x:c r="N1099" s="36" t="n">
        <x:v>0</x:v>
      </x:c>
    </x:row>
    <x:row r="1100" ht="20" customHeight="1">
      <x:c r="C1100" s="1" t="n">
        <x:v>3</x:v>
      </x:c>
      <x:c r="D1100" s="1" t="n">
        <x:v>2</x:v>
      </x:c>
      <x:c r="E1100" s="1" t="n">
        <x:v>25</x:v>
      </x:c>
      <x:c r="F1100" s="32" t="n">
        <x:v>47042</x:v>
      </x:c>
      <x:c r="G1100" s="36" t="n">
        <x:v>0</x:v>
      </x:c>
      <x:c r="H1100" s="36" t="n">
        <x:v>0</x:v>
      </x:c>
      <x:c r="I1100" s="36" t="n">
        <x:v>0</x:v>
      </x:c>
      <x:c r="J1100" s="36" t="n">
        <x:v>0</x:v>
      </x:c>
      <x:c r="K1100" s="36" t="n">
        <x:v>0</x:v>
      </x:c>
      <x:c r="L1100" s="36" t="n">
        <x:v>0</x:v>
      </x:c>
      <x:c r="M1100" s="38" t="n">
        <x:v>2.086242299794661</x:v>
      </x:c>
      <x:c r="N1100" s="36" t="n">
        <x:v>0</x:v>
      </x:c>
    </x:row>
    <x:row r="1101" ht="20" customHeight="1">
      <x:c r="C1101" s="1" t="n">
        <x:v>3</x:v>
      </x:c>
      <x:c r="D1101" s="1" t="n">
        <x:v>2</x:v>
      </x:c>
      <x:c r="E1101" s="1" t="n">
        <x:v>26</x:v>
      </x:c>
      <x:c r="F1101" s="32" t="n">
        <x:v>47072</x:v>
      </x:c>
      <x:c r="G1101" s="36" t="n">
        <x:v>0</x:v>
      </x:c>
      <x:c r="H1101" s="36" t="n">
        <x:v>0</x:v>
      </x:c>
      <x:c r="I1101" s="36" t="n">
        <x:v>0</x:v>
      </x:c>
      <x:c r="J1101" s="36" t="n">
        <x:v>0</x:v>
      </x:c>
      <x:c r="K1101" s="36" t="n">
        <x:v>0</x:v>
      </x:c>
      <x:c r="L1101" s="36" t="n">
        <x:v>0</x:v>
      </x:c>
      <x:c r="M1101" s="38" t="n">
        <x:v>2.1683778234086244</x:v>
      </x:c>
      <x:c r="N1101" s="36" t="n">
        <x:v>0</x:v>
      </x:c>
    </x:row>
    <x:row r="1102" ht="20" customHeight="1">
      <x:c r="C1102" s="1" t="n">
        <x:v>3</x:v>
      </x:c>
      <x:c r="D1102" s="1" t="n">
        <x:v>2</x:v>
      </x:c>
      <x:c r="E1102" s="1" t="n">
        <x:v>27</x:v>
      </x:c>
      <x:c r="F1102" s="32" t="n">
        <x:v>47102</x:v>
      </x:c>
      <x:c r="G1102" s="36" t="n">
        <x:v>0</x:v>
      </x:c>
      <x:c r="H1102" s="36" t="n">
        <x:v>0</x:v>
      </x:c>
      <x:c r="I1102" s="36" t="n">
        <x:v>0</x:v>
      </x:c>
      <x:c r="J1102" s="36" t="n">
        <x:v>0</x:v>
      </x:c>
      <x:c r="K1102" s="36" t="n">
        <x:v>0</x:v>
      </x:c>
      <x:c r="L1102" s="36" t="n">
        <x:v>0</x:v>
      </x:c>
      <x:c r="M1102" s="38" t="n">
        <x:v>2.2505133470225873</x:v>
      </x:c>
      <x:c r="N1102" s="36" t="n">
        <x:v>0</x:v>
      </x:c>
    </x:row>
    <x:row r="1103" ht="20" customHeight="1">
      <x:c r="C1103" s="1" t="n">
        <x:v>3</x:v>
      </x:c>
      <x:c r="D1103" s="1" t="n">
        <x:v>2</x:v>
      </x:c>
      <x:c r="E1103" s="1" t="n">
        <x:v>28</x:v>
      </x:c>
      <x:c r="F1103" s="32" t="n">
        <x:v>47134</x:v>
      </x:c>
      <x:c r="G1103" s="36" t="n">
        <x:v>0</x:v>
      </x:c>
      <x:c r="H1103" s="36" t="n">
        <x:v>0</x:v>
      </x:c>
      <x:c r="I1103" s="36" t="n">
        <x:v>0</x:v>
      </x:c>
      <x:c r="J1103" s="36" t="n">
        <x:v>0</x:v>
      </x:c>
      <x:c r="K1103" s="36" t="n">
        <x:v>0</x:v>
      </x:c>
      <x:c r="L1103" s="36" t="n">
        <x:v>0</x:v>
      </x:c>
      <x:c r="M1103" s="38" t="n">
        <x:v>2.3381245722108144</x:v>
      </x:c>
      <x:c r="N1103" s="36" t="n">
        <x:v>0</x:v>
      </x:c>
    </x:row>
    <x:row r="1104" ht="20" customHeight="1">
      <x:c r="C1104" s="1" t="n">
        <x:v>3</x:v>
      </x:c>
      <x:c r="D1104" s="1" t="n">
        <x:v>2</x:v>
      </x:c>
      <x:c r="E1104" s="1" t="n">
        <x:v>29</x:v>
      </x:c>
      <x:c r="F1104" s="32" t="n">
        <x:v>47164</x:v>
      </x:c>
      <x:c r="G1104" s="36" t="n">
        <x:v>0</x:v>
      </x:c>
      <x:c r="H1104" s="36" t="n">
        <x:v>0</x:v>
      </x:c>
      <x:c r="I1104" s="36" t="n">
        <x:v>0</x:v>
      </x:c>
      <x:c r="J1104" s="36" t="n">
        <x:v>0</x:v>
      </x:c>
      <x:c r="K1104" s="36" t="n">
        <x:v>0</x:v>
      </x:c>
      <x:c r="L1104" s="36" t="n">
        <x:v>0</x:v>
      </x:c>
      <x:c r="M1104" s="38" t="n">
        <x:v>2.4202600958247777</x:v>
      </x:c>
      <x:c r="N1104" s="36" t="n">
        <x:v>0</x:v>
      </x:c>
    </x:row>
    <x:row r="1105" ht="20" customHeight="1">
      <x:c r="C1105" s="1" t="n">
        <x:v>3</x:v>
      </x:c>
      <x:c r="D1105" s="1" t="n">
        <x:v>2</x:v>
      </x:c>
      <x:c r="E1105" s="1" t="n">
        <x:v>30</x:v>
      </x:c>
      <x:c r="F1105" s="32" t="n">
        <x:v>47192</x:v>
      </x:c>
      <x:c r="G1105" s="36" t="n">
        <x:v>0</x:v>
      </x:c>
      <x:c r="H1105" s="36" t="n">
        <x:v>0</x:v>
      </x:c>
      <x:c r="I1105" s="36" t="n">
        <x:v>0</x:v>
      </x:c>
      <x:c r="J1105" s="36" t="n">
        <x:v>0</x:v>
      </x:c>
      <x:c r="K1105" s="36" t="n">
        <x:v>0</x:v>
      </x:c>
      <x:c r="L1105" s="36" t="n">
        <x:v>0</x:v>
      </x:c>
      <x:c r="M1105" s="38" t="n">
        <x:v>2.4969199178644765</x:v>
      </x:c>
      <x:c r="N1105" s="36" t="n">
        <x:v>0</x:v>
      </x:c>
    </x:row>
    <x:row r="1106" ht="20" customHeight="1">
      <x:c r="C1106" s="1" t="n">
        <x:v>3</x:v>
      </x:c>
      <x:c r="D1106" s="1" t="n">
        <x:v>2</x:v>
      </x:c>
      <x:c r="E1106" s="1" t="n">
        <x:v>31</x:v>
      </x:c>
      <x:c r="F1106" s="32" t="n">
        <x:v>47224</x:v>
      </x:c>
      <x:c r="G1106" s="36" t="n">
        <x:v>0</x:v>
      </x:c>
      <x:c r="H1106" s="36" t="n">
        <x:v>0</x:v>
      </x:c>
      <x:c r="I1106" s="36" t="n">
        <x:v>0</x:v>
      </x:c>
      <x:c r="J1106" s="36" t="n">
        <x:v>0</x:v>
      </x:c>
      <x:c r="K1106" s="36" t="n">
        <x:v>0</x:v>
      </x:c>
      <x:c r="L1106" s="36" t="n">
        <x:v>0</x:v>
      </x:c>
      <x:c r="M1106" s="38" t="n">
        <x:v>2.5845311430527036</x:v>
      </x:c>
      <x:c r="N1106" s="36" t="n">
        <x:v>0</x:v>
      </x:c>
    </x:row>
    <x:row r="1107" ht="20" customHeight="1">
      <x:c r="C1107" s="1" t="n">
        <x:v>3</x:v>
      </x:c>
      <x:c r="D1107" s="1" t="n">
        <x:v>2</x:v>
      </x:c>
      <x:c r="E1107" s="1" t="n">
        <x:v>32</x:v>
      </x:c>
      <x:c r="F1107" s="32" t="n">
        <x:v>47253</x:v>
      </x:c>
      <x:c r="G1107" s="36" t="n">
        <x:v>0</x:v>
      </x:c>
      <x:c r="H1107" s="36" t="n">
        <x:v>0</x:v>
      </x:c>
      <x:c r="I1107" s="36" t="n">
        <x:v>0</x:v>
      </x:c>
      <x:c r="J1107" s="36" t="n">
        <x:v>0</x:v>
      </x:c>
      <x:c r="K1107" s="36" t="n">
        <x:v>0</x:v>
      </x:c>
      <x:c r="L1107" s="36" t="n">
        <x:v>0</x:v>
      </x:c>
      <x:c r="M1107" s="38" t="n">
        <x:v>2.6639288158795345</x:v>
      </x:c>
      <x:c r="N1107" s="36" t="n">
        <x:v>0</x:v>
      </x:c>
    </x:row>
    <x:row r="1108" ht="20" customHeight="1">
      <x:c r="C1108" s="1" t="n">
        <x:v>3</x:v>
      </x:c>
      <x:c r="D1108" s="1" t="n">
        <x:v>2</x:v>
      </x:c>
      <x:c r="E1108" s="1" t="n">
        <x:v>33</x:v>
      </x:c>
      <x:c r="F1108" s="32" t="n">
        <x:v>47284</x:v>
      </x:c>
      <x:c r="G1108" s="36" t="n">
        <x:v>0</x:v>
      </x:c>
      <x:c r="H1108" s="36" t="n">
        <x:v>0</x:v>
      </x:c>
      <x:c r="I1108" s="36" t="n">
        <x:v>0</x:v>
      </x:c>
      <x:c r="J1108" s="36" t="n">
        <x:v>0</x:v>
      </x:c>
      <x:c r="K1108" s="36" t="n">
        <x:v>0</x:v>
      </x:c>
      <x:c r="L1108" s="36" t="n">
        <x:v>0</x:v>
      </x:c>
      <x:c r="M1108" s="38" t="n">
        <x:v>2.74880219028063</x:v>
      </x:c>
      <x:c r="N1108" s="36" t="n">
        <x:v>0</x:v>
      </x:c>
    </x:row>
    <x:row r="1109" ht="20" customHeight="1">
      <x:c r="C1109" s="1" t="n">
        <x:v>3</x:v>
      </x:c>
      <x:c r="D1109" s="1" t="n">
        <x:v>2</x:v>
      </x:c>
      <x:c r="E1109" s="1" t="n">
        <x:v>34</x:v>
      </x:c>
      <x:c r="F1109" s="32" t="n">
        <x:v>47315</x:v>
      </x:c>
      <x:c r="G1109" s="36" t="n">
        <x:v>0</x:v>
      </x:c>
      <x:c r="H1109" s="36" t="n">
        <x:v>0</x:v>
      </x:c>
      <x:c r="I1109" s="36" t="n">
        <x:v>0</x:v>
      </x:c>
      <x:c r="J1109" s="36" t="n">
        <x:v>0</x:v>
      </x:c>
      <x:c r="K1109" s="36" t="n">
        <x:v>0</x:v>
      </x:c>
      <x:c r="L1109" s="36" t="n">
        <x:v>0</x:v>
      </x:c>
      <x:c r="M1109" s="38" t="n">
        <x:v>2.833675564681725</x:v>
      </x:c>
      <x:c r="N1109" s="36" t="n">
        <x:v>0</x:v>
      </x:c>
    </x:row>
    <x:row r="1110" ht="20" customHeight="1">
      <x:c r="C1110" s="1" t="n">
        <x:v>3</x:v>
      </x:c>
      <x:c r="D1110" s="1" t="n">
        <x:v>2</x:v>
      </x:c>
      <x:c r="E1110" s="1" t="n">
        <x:v>35</x:v>
      </x:c>
      <x:c r="F1110" s="32" t="n">
        <x:v>47345</x:v>
      </x:c>
      <x:c r="G1110" s="36" t="n">
        <x:v>0</x:v>
      </x:c>
      <x:c r="H1110" s="36" t="n">
        <x:v>0</x:v>
      </x:c>
      <x:c r="I1110" s="36" t="n">
        <x:v>0</x:v>
      </x:c>
      <x:c r="J1110" s="36" t="n">
        <x:v>0</x:v>
      </x:c>
      <x:c r="K1110" s="36" t="n">
        <x:v>0</x:v>
      </x:c>
      <x:c r="L1110" s="36" t="n">
        <x:v>0</x:v>
      </x:c>
      <x:c r="M1110" s="38" t="n">
        <x:v>2.915811088295688</x:v>
      </x:c>
      <x:c r="N1110" s="36" t="n">
        <x:v>0</x:v>
      </x:c>
    </x:row>
    <x:row r="1111" ht="20" customHeight="1">
      <x:c r="C1111" s="1" t="n">
        <x:v>3</x:v>
      </x:c>
      <x:c r="D1111" s="1" t="n">
        <x:v>2</x:v>
      </x:c>
      <x:c r="E1111" s="1" t="n">
        <x:v>36</x:v>
      </x:c>
      <x:c r="F1111" s="32" t="n">
        <x:v>47378</x:v>
      </x:c>
      <x:c r="G1111" s="36" t="n">
        <x:v>0</x:v>
      </x:c>
      <x:c r="H1111" s="36" t="n">
        <x:v>0</x:v>
      </x:c>
      <x:c r="I1111" s="36" t="n">
        <x:v>0</x:v>
      </x:c>
      <x:c r="J1111" s="36" t="n">
        <x:v>0</x:v>
      </x:c>
      <x:c r="K1111" s="36" t="n">
        <x:v>0</x:v>
      </x:c>
      <x:c r="L1111" s="36" t="n">
        <x:v>0</x:v>
      </x:c>
      <x:c r="M1111" s="38" t="n">
        <x:v>3.0061601642710474</x:v>
      </x:c>
      <x:c r="N1111" s="36" t="n">
        <x:v>0</x:v>
      </x:c>
    </x:row>
    <x:row r="1112" ht="20" customHeight="1">
      <x:c r="C1112" s="1" t="n">
        <x:v>3</x:v>
      </x:c>
      <x:c r="D1112" s="1" t="n">
        <x:v>2</x:v>
      </x:c>
      <x:c r="E1112" s="1" t="n">
        <x:v>37</x:v>
      </x:c>
      <x:c r="F1112" s="32" t="n">
        <x:v>47406</x:v>
      </x:c>
      <x:c r="G1112" s="36" t="n">
        <x:v>0</x:v>
      </x:c>
      <x:c r="H1112" s="36" t="n">
        <x:v>0</x:v>
      </x:c>
      <x:c r="I1112" s="36" t="n">
        <x:v>0</x:v>
      </x:c>
      <x:c r="J1112" s="36" t="n">
        <x:v>0</x:v>
      </x:c>
      <x:c r="K1112" s="36" t="n">
        <x:v>0</x:v>
      </x:c>
      <x:c r="L1112" s="36" t="n">
        <x:v>0</x:v>
      </x:c>
      <x:c r="M1112" s="38" t="n">
        <x:v>3.082819986310746</x:v>
      </x:c>
      <x:c r="N1112" s="36" t="n">
        <x:v>0</x:v>
      </x:c>
    </x:row>
    <x:row r="1113" ht="20" customHeight="1">
      <x:c r="C1113" s="1" t="n">
        <x:v>3</x:v>
      </x:c>
      <x:c r="D1113" s="1" t="n">
        <x:v>2</x:v>
      </x:c>
      <x:c r="E1113" s="1" t="n">
        <x:v>38</x:v>
      </x:c>
      <x:c r="F1113" s="32" t="n">
        <x:v>47437</x:v>
      </x:c>
      <x:c r="G1113" s="36" t="n">
        <x:v>0</x:v>
      </x:c>
      <x:c r="H1113" s="36" t="n">
        <x:v>0</x:v>
      </x:c>
      <x:c r="I1113" s="36" t="n">
        <x:v>0</x:v>
      </x:c>
      <x:c r="J1113" s="36" t="n">
        <x:v>0</x:v>
      </x:c>
      <x:c r="K1113" s="36" t="n">
        <x:v>0</x:v>
      </x:c>
      <x:c r="L1113" s="36" t="n">
        <x:v>0</x:v>
      </x:c>
      <x:c r="M1113" s="38" t="n">
        <x:v>3.167693360711841</x:v>
      </x:c>
      <x:c r="N1113" s="36" t="n">
        <x:v>0</x:v>
      </x:c>
    </x:row>
    <x:row r="1114" ht="20" customHeight="1">
      <x:c r="C1114" s="1" t="n">
        <x:v>3</x:v>
      </x:c>
      <x:c r="D1114" s="1" t="n">
        <x:v>2</x:v>
      </x:c>
      <x:c r="E1114" s="1" t="n">
        <x:v>39</x:v>
      </x:c>
      <x:c r="F1114" s="32" t="n">
        <x:v>47469</x:v>
      </x:c>
      <x:c r="G1114" s="36" t="n">
        <x:v>0</x:v>
      </x:c>
      <x:c r="H1114" s="36" t="n">
        <x:v>0</x:v>
      </x:c>
      <x:c r="I1114" s="36" t="n">
        <x:v>0</x:v>
      </x:c>
      <x:c r="J1114" s="36" t="n">
        <x:v>0</x:v>
      </x:c>
      <x:c r="K1114" s="36" t="n">
        <x:v>0</x:v>
      </x:c>
      <x:c r="L1114" s="36" t="n">
        <x:v>0</x:v>
      </x:c>
      <x:c r="M1114" s="38" t="n">
        <x:v>3.2553045859000687</x:v>
      </x:c>
      <x:c r="N1114" s="36" t="n">
        <x:v>0</x:v>
      </x:c>
    </x:row>
    <x:row r="1115" ht="20" customHeight="1">
      <x:c r="C1115" s="1" t="n">
        <x:v>3</x:v>
      </x:c>
      <x:c r="D1115" s="1" t="n">
        <x:v>2</x:v>
      </x:c>
      <x:c r="E1115" s="1" t="n">
        <x:v>40</x:v>
      </x:c>
      <x:c r="F1115" s="32" t="n">
        <x:v>47498</x:v>
      </x:c>
      <x:c r="G1115" s="36" t="n">
        <x:v>0</x:v>
      </x:c>
      <x:c r="H1115" s="36" t="n">
        <x:v>0</x:v>
      </x:c>
      <x:c r="I1115" s="36" t="n">
        <x:v>0</x:v>
      </x:c>
      <x:c r="J1115" s="36" t="n">
        <x:v>0</x:v>
      </x:c>
      <x:c r="K1115" s="36" t="n">
        <x:v>0</x:v>
      </x:c>
      <x:c r="L1115" s="36" t="n">
        <x:v>0</x:v>
      </x:c>
      <x:c r="M1115" s="38" t="n">
        <x:v>3.3347022587268995</x:v>
      </x:c>
      <x:c r="N1115" s="36" t="n">
        <x:v>0</x:v>
      </x:c>
    </x:row>
    <x:row r="1116" ht="20" customHeight="1">
      <x:c r="C1116" s="1" t="n">
        <x:v>3</x:v>
      </x:c>
      <x:c r="D1116" s="1" t="n">
        <x:v>2</x:v>
      </x:c>
      <x:c r="E1116" s="1" t="n">
        <x:v>41</x:v>
      </x:c>
      <x:c r="F1116" s="32" t="n">
        <x:v>47529</x:v>
      </x:c>
      <x:c r="G1116" s="36" t="n">
        <x:v>0</x:v>
      </x:c>
      <x:c r="H1116" s="36" t="n">
        <x:v>0</x:v>
      </x:c>
      <x:c r="I1116" s="36" t="n">
        <x:v>0</x:v>
      </x:c>
      <x:c r="J1116" s="36" t="n">
        <x:v>0</x:v>
      </x:c>
      <x:c r="K1116" s="36" t="n">
        <x:v>0</x:v>
      </x:c>
      <x:c r="L1116" s="36" t="n">
        <x:v>0</x:v>
      </x:c>
      <x:c r="M1116" s="38" t="n">
        <x:v>3.4195756331279945</x:v>
      </x:c>
      <x:c r="N1116" s="36" t="n">
        <x:v>0</x:v>
      </x:c>
    </x:row>
    <x:row r="1117" ht="20" customHeight="1">
      <x:c r="C1117" s="1" t="n">
        <x:v>3</x:v>
      </x:c>
      <x:c r="D1117" s="1" t="n">
        <x:v>2</x:v>
      </x:c>
      <x:c r="E1117" s="1" t="n">
        <x:v>42</x:v>
      </x:c>
      <x:c r="F1117" s="32" t="n">
        <x:v>47557</x:v>
      </x:c>
      <x:c r="G1117" s="36" t="n">
        <x:v>0</x:v>
      </x:c>
      <x:c r="H1117" s="36" t="n">
        <x:v>0</x:v>
      </x:c>
      <x:c r="I1117" s="36" t="n">
        <x:v>0</x:v>
      </x:c>
      <x:c r="J1117" s="36" t="n">
        <x:v>0</x:v>
      </x:c>
      <x:c r="K1117" s="36" t="n">
        <x:v>0</x:v>
      </x:c>
      <x:c r="L1117" s="36" t="n">
        <x:v>0</x:v>
      </x:c>
      <x:c r="M1117" s="38" t="n">
        <x:v>3.4962354551676933</x:v>
      </x:c>
      <x:c r="N1117" s="36" t="n">
        <x:v>0</x:v>
      </x:c>
    </x:row>
    <x:row r="1118" ht="20" customHeight="1">
      <x:c r="C1118" s="1" t="n">
        <x:v>3</x:v>
      </x:c>
      <x:c r="D1118" s="1" t="n">
        <x:v>2</x:v>
      </x:c>
      <x:c r="E1118" s="1" t="n">
        <x:v>43</x:v>
      </x:c>
      <x:c r="F1118" s="32" t="n">
        <x:v>47588</x:v>
      </x:c>
      <x:c r="G1118" s="36" t="n">
        <x:v>0</x:v>
      </x:c>
      <x:c r="H1118" s="36" t="n">
        <x:v>0</x:v>
      </x:c>
      <x:c r="I1118" s="36" t="n">
        <x:v>0</x:v>
      </x:c>
      <x:c r="J1118" s="36" t="n">
        <x:v>0</x:v>
      </x:c>
      <x:c r="K1118" s="36" t="n">
        <x:v>0</x:v>
      </x:c>
      <x:c r="L1118" s="36" t="n">
        <x:v>0</x:v>
      </x:c>
      <x:c r="M1118" s="38" t="n">
        <x:v>3.5811088295687883</x:v>
      </x:c>
      <x:c r="N1118" s="36" t="n">
        <x:v>0</x:v>
      </x:c>
    </x:row>
    <x:row r="1119" ht="20" customHeight="1">
      <x:c r="C1119" s="1" t="n">
        <x:v>3</x:v>
      </x:c>
      <x:c r="D1119" s="1" t="n">
        <x:v>2</x:v>
      </x:c>
      <x:c r="E1119" s="1" t="n">
        <x:v>44</x:v>
      </x:c>
      <x:c r="F1119" s="32" t="n">
        <x:v>47618</x:v>
      </x:c>
      <x:c r="G1119" s="36" t="n">
        <x:v>0</x:v>
      </x:c>
      <x:c r="H1119" s="36" t="n">
        <x:v>0</x:v>
      </x:c>
      <x:c r="I1119" s="36" t="n">
        <x:v>0</x:v>
      </x:c>
      <x:c r="J1119" s="36" t="n">
        <x:v>0</x:v>
      </x:c>
      <x:c r="K1119" s="36" t="n">
        <x:v>0</x:v>
      </x:c>
      <x:c r="L1119" s="36" t="n">
        <x:v>0</x:v>
      </x:c>
      <x:c r="M1119" s="38" t="n">
        <x:v>3.6632443531827517</x:v>
      </x:c>
      <x:c r="N1119" s="36" t="n">
        <x:v>0</x:v>
      </x:c>
    </x:row>
    <x:row r="1120" ht="20" customHeight="1">
      <x:c r="C1120" s="1" t="n">
        <x:v>3</x:v>
      </x:c>
      <x:c r="D1120" s="1" t="n">
        <x:v>2</x:v>
      </x:c>
      <x:c r="E1120" s="1" t="n">
        <x:v>45</x:v>
      </x:c>
      <x:c r="F1120" s="32" t="n">
        <x:v>47651</x:v>
      </x:c>
      <x:c r="G1120" s="36" t="n">
        <x:v>0</x:v>
      </x:c>
      <x:c r="H1120" s="36" t="n">
        <x:v>0</x:v>
      </x:c>
      <x:c r="I1120" s="36" t="n">
        <x:v>0</x:v>
      </x:c>
      <x:c r="J1120" s="36" t="n">
        <x:v>0</x:v>
      </x:c>
      <x:c r="K1120" s="36" t="n">
        <x:v>0</x:v>
      </x:c>
      <x:c r="L1120" s="36" t="n">
        <x:v>0</x:v>
      </x:c>
      <x:c r="M1120" s="38" t="n">
        <x:v>3.753593429158111</x:v>
      </x:c>
      <x:c r="N1120" s="36" t="n">
        <x:v>0</x:v>
      </x:c>
    </x:row>
    <x:row r="1121" ht="20" customHeight="1">
      <x:c r="C1121" s="1" t="n">
        <x:v>3</x:v>
      </x:c>
      <x:c r="D1121" s="1" t="n">
        <x:v>2</x:v>
      </x:c>
      <x:c r="E1121" s="1" t="n">
        <x:v>46</x:v>
      </x:c>
      <x:c r="F1121" s="32" t="n">
        <x:v>47679</x:v>
      </x:c>
      <x:c r="G1121" s="36" t="n">
        <x:v>0</x:v>
      </x:c>
      <x:c r="H1121" s="36" t="n">
        <x:v>0</x:v>
      </x:c>
      <x:c r="I1121" s="36" t="n">
        <x:v>0</x:v>
      </x:c>
      <x:c r="J1121" s="36" t="n">
        <x:v>0</x:v>
      </x:c>
      <x:c r="K1121" s="36" t="n">
        <x:v>0</x:v>
      </x:c>
      <x:c r="L1121" s="36" t="n">
        <x:v>0</x:v>
      </x:c>
      <x:c r="M1121" s="38" t="n">
        <x:v>3.8302532511978096</x:v>
      </x:c>
      <x:c r="N1121" s="36" t="n">
        <x:v>0</x:v>
      </x:c>
    </x:row>
    <x:row r="1122" ht="20" customHeight="1">
      <x:c r="C1122" s="1" t="n">
        <x:v>3</x:v>
      </x:c>
      <x:c r="D1122" s="1" t="n">
        <x:v>2</x:v>
      </x:c>
      <x:c r="E1122" s="1" t="n">
        <x:v>47</x:v>
      </x:c>
      <x:c r="F1122" s="32" t="n">
        <x:v>47710</x:v>
      </x:c>
      <x:c r="G1122" s="36" t="n">
        <x:v>0</x:v>
      </x:c>
      <x:c r="H1122" s="36" t="n">
        <x:v>0</x:v>
      </x:c>
      <x:c r="I1122" s="36" t="n">
        <x:v>0</x:v>
      </x:c>
      <x:c r="J1122" s="36" t="n">
        <x:v>0</x:v>
      </x:c>
      <x:c r="K1122" s="36" t="n">
        <x:v>0</x:v>
      </x:c>
      <x:c r="L1122" s="36" t="n">
        <x:v>0</x:v>
      </x:c>
      <x:c r="M1122" s="38" t="n">
        <x:v>3.915126625598905</x:v>
      </x:c>
      <x:c r="N1122" s="36" t="n">
        <x:v>0</x:v>
      </x:c>
    </x:row>
    <x:row r="1123" ht="20" customHeight="1">
      <x:c r="C1123" s="1" t="n">
        <x:v>3</x:v>
      </x:c>
      <x:c r="D1123" s="1" t="n">
        <x:v>2</x:v>
      </x:c>
      <x:c r="E1123" s="1" t="n">
        <x:v>48</x:v>
      </x:c>
      <x:c r="F1123" s="32" t="n">
        <x:v>47742</x:v>
      </x:c>
      <x:c r="G1123" s="36" t="n">
        <x:v>0</x:v>
      </x:c>
      <x:c r="H1123" s="36" t="n">
        <x:v>0</x:v>
      </x:c>
      <x:c r="I1123" s="36" t="n">
        <x:v>0</x:v>
      </x:c>
      <x:c r="J1123" s="36" t="n">
        <x:v>0</x:v>
      </x:c>
      <x:c r="K1123" s="36" t="n">
        <x:v>0</x:v>
      </x:c>
      <x:c r="L1123" s="36" t="n">
        <x:v>0</x:v>
      </x:c>
      <x:c r="M1123" s="38" t="n">
        <x:v>4.002737850787132</x:v>
      </x:c>
      <x:c r="N1123" s="36" t="n">
        <x:v>0</x:v>
      </x:c>
    </x:row>
    <x:row r="1124" ht="20" customHeight="1">
      <x:c r="C1124" s="1" t="n">
        <x:v>3</x:v>
      </x:c>
      <x:c r="D1124" s="1" t="n">
        <x:v>2</x:v>
      </x:c>
      <x:c r="E1124" s="1" t="n">
        <x:v>49</x:v>
      </x:c>
      <x:c r="F1124" s="32" t="n">
        <x:v>47771</x:v>
      </x:c>
      <x:c r="G1124" s="36" t="n">
        <x:v>0</x:v>
      </x:c>
      <x:c r="H1124" s="36" t="n">
        <x:v>0</x:v>
      </x:c>
      <x:c r="I1124" s="36" t="n">
        <x:v>0</x:v>
      </x:c>
      <x:c r="J1124" s="36" t="n">
        <x:v>0</x:v>
      </x:c>
      <x:c r="K1124" s="36" t="n">
        <x:v>0</x:v>
      </x:c>
      <x:c r="L1124" s="36" t="n">
        <x:v>0</x:v>
      </x:c>
      <x:c r="M1124" s="38" t="n">
        <x:v>4.082135523613963</x:v>
      </x:c>
      <x:c r="N1124" s="36" t="n">
        <x:v>0</x:v>
      </x:c>
    </x:row>
    <x:row r="1125" ht="20" customHeight="1">
      <x:c r="C1125" s="1" t="n">
        <x:v>3</x:v>
      </x:c>
      <x:c r="D1125" s="1" t="n">
        <x:v>2</x:v>
      </x:c>
      <x:c r="E1125" s="1" t="n">
        <x:v>50</x:v>
      </x:c>
      <x:c r="F1125" s="32" t="n">
        <x:v>47802</x:v>
      </x:c>
      <x:c r="G1125" s="36" t="n">
        <x:v>0</x:v>
      </x:c>
      <x:c r="H1125" s="36" t="n">
        <x:v>0</x:v>
      </x:c>
      <x:c r="I1125" s="36" t="n">
        <x:v>0</x:v>
      </x:c>
      <x:c r="J1125" s="36" t="n">
        <x:v>0</x:v>
      </x:c>
      <x:c r="K1125" s="36" t="n">
        <x:v>0</x:v>
      </x:c>
      <x:c r="L1125" s="36" t="n">
        <x:v>0</x:v>
      </x:c>
      <x:c r="M1125" s="38" t="n">
        <x:v>4.167008898015058</x:v>
      </x:c>
      <x:c r="N1125" s="36" t="n">
        <x:v>0</x:v>
      </x:c>
    </x:row>
    <x:row r="1126" ht="20" customHeight="1">
      <x:c r="C1126" s="1" t="n">
        <x:v>3</x:v>
      </x:c>
      <x:c r="D1126" s="1" t="n">
        <x:v>2</x:v>
      </x:c>
      <x:c r="E1126" s="1" t="n">
        <x:v>51</x:v>
      </x:c>
      <x:c r="F1126" s="32" t="n">
        <x:v>47833</x:v>
      </x:c>
      <x:c r="G1126" s="36" t="n">
        <x:v>0</x:v>
      </x:c>
      <x:c r="H1126" s="36" t="n">
        <x:v>0</x:v>
      </x:c>
      <x:c r="I1126" s="36" t="n">
        <x:v>0</x:v>
      </x:c>
      <x:c r="J1126" s="36" t="n">
        <x:v>0</x:v>
      </x:c>
      <x:c r="K1126" s="36" t="n">
        <x:v>0</x:v>
      </x:c>
      <x:c r="L1126" s="36" t="n">
        <x:v>0</x:v>
      </x:c>
      <x:c r="M1126" s="38" t="n">
        <x:v>4.251882272416153</x:v>
      </x:c>
      <x:c r="N1126" s="36" t="n">
        <x:v>0</x:v>
      </x:c>
    </x:row>
    <x:row r="1127" ht="20" customHeight="1">
      <x:c r="C1127" s="1" t="n">
        <x:v>3</x:v>
      </x:c>
      <x:c r="D1127" s="1" t="n">
        <x:v>2</x:v>
      </x:c>
      <x:c r="E1127" s="1" t="n">
        <x:v>52</x:v>
      </x:c>
      <x:c r="F1127" s="32" t="n">
        <x:v>47863</x:v>
      </x:c>
      <x:c r="G1127" s="36" t="n">
        <x:v>0</x:v>
      </x:c>
      <x:c r="H1127" s="36" t="n">
        <x:v>0</x:v>
      </x:c>
      <x:c r="I1127" s="36" t="n">
        <x:v>0</x:v>
      </x:c>
      <x:c r="J1127" s="36" t="n">
        <x:v>0</x:v>
      </x:c>
      <x:c r="K1127" s="36" t="n">
        <x:v>0</x:v>
      </x:c>
      <x:c r="L1127" s="36" t="n">
        <x:v>0</x:v>
      </x:c>
      <x:c r="M1127" s="38" t="n">
        <x:v>4.334017796030117</x:v>
      </x:c>
      <x:c r="N1127" s="36" t="n">
        <x:v>0</x:v>
      </x:c>
    </x:row>
    <x:row r="1128" ht="20" customHeight="1">
      <x:c r="C1128" s="1" t="n">
        <x:v>3</x:v>
      </x:c>
      <x:c r="D1128" s="1" t="n">
        <x:v>2</x:v>
      </x:c>
      <x:c r="E1128" s="1" t="n">
        <x:v>53</x:v>
      </x:c>
      <x:c r="F1128" s="32" t="n">
        <x:v>47897</x:v>
      </x:c>
      <x:c r="G1128" s="36" t="n">
        <x:v>0</x:v>
      </x:c>
      <x:c r="H1128" s="36" t="n">
        <x:v>0</x:v>
      </x:c>
      <x:c r="I1128" s="36" t="n">
        <x:v>0</x:v>
      </x:c>
      <x:c r="J1128" s="36" t="n">
        <x:v>0</x:v>
      </x:c>
      <x:c r="K1128" s="36" t="n">
        <x:v>0</x:v>
      </x:c>
      <x:c r="L1128" s="36" t="n">
        <x:v>0</x:v>
      </x:c>
      <x:c r="M1128" s="38" t="n">
        <x:v>4.427104722792608</x:v>
      </x:c>
      <x:c r="N1128" s="36" t="n">
        <x:v>0</x:v>
      </x:c>
    </x:row>
    <x:row r="1129" ht="20" customHeight="1">
      <x:c r="C1129" s="1" t="n">
        <x:v>3</x:v>
      </x:c>
      <x:c r="D1129" s="1" t="n">
        <x:v>2</x:v>
      </x:c>
      <x:c r="E1129" s="1" t="n">
        <x:v>54</x:v>
      </x:c>
      <x:c r="F1129" s="32" t="n">
        <x:v>47924</x:v>
      </x:c>
      <x:c r="G1129" s="36" t="n">
        <x:v>0</x:v>
      </x:c>
      <x:c r="H1129" s="36" t="n">
        <x:v>0</x:v>
      </x:c>
      <x:c r="I1129" s="36" t="n">
        <x:v>0</x:v>
      </x:c>
      <x:c r="J1129" s="36" t="n">
        <x:v>0</x:v>
      </x:c>
      <x:c r="K1129" s="36" t="n">
        <x:v>0</x:v>
      </x:c>
      <x:c r="L1129" s="36" t="n">
        <x:v>0</x:v>
      </x:c>
      <x:c r="M1129" s="38" t="n">
        <x:v>4.501026694045175</x:v>
      </x:c>
      <x:c r="N1129" s="36" t="n">
        <x:v>0</x:v>
      </x:c>
    </x:row>
    <x:row r="1130" ht="20" customHeight="1">
      <x:c r="C1130" s="1" t="n">
        <x:v>3</x:v>
      </x:c>
      <x:c r="D1130" s="1" t="n">
        <x:v>2</x:v>
      </x:c>
      <x:c r="E1130" s="1" t="n">
        <x:v>55</x:v>
      </x:c>
      <x:c r="F1130" s="32" t="n">
        <x:v>47953</x:v>
      </x:c>
      <x:c r="G1130" s="36" t="n">
        <x:v>0</x:v>
      </x:c>
      <x:c r="H1130" s="36" t="n">
        <x:v>0</x:v>
      </x:c>
      <x:c r="I1130" s="36" t="n">
        <x:v>0</x:v>
      </x:c>
      <x:c r="J1130" s="36" t="n">
        <x:v>0</x:v>
      </x:c>
      <x:c r="K1130" s="36" t="n">
        <x:v>0</x:v>
      </x:c>
      <x:c r="L1130" s="36" t="n">
        <x:v>0</x:v>
      </x:c>
      <x:c r="M1130" s="38" t="n">
        <x:v>4.5804243668720055</x:v>
      </x:c>
      <x:c r="N1130" s="36" t="n">
        <x:v>0</x:v>
      </x:c>
    </x:row>
    <x:row r="1131" ht="20" customHeight="1">
      <x:c r="C1131" s="1" t="n">
        <x:v>3</x:v>
      </x:c>
      <x:c r="D1131" s="1" t="n">
        <x:v>2</x:v>
      </x:c>
      <x:c r="E1131" s="1" t="n">
        <x:v>56</x:v>
      </x:c>
      <x:c r="F1131" s="32" t="n">
        <x:v>47983</x:v>
      </x:c>
      <x:c r="G1131" s="36" t="n">
        <x:v>0</x:v>
      </x:c>
      <x:c r="H1131" s="36" t="n">
        <x:v>0</x:v>
      </x:c>
      <x:c r="I1131" s="36" t="n">
        <x:v>0</x:v>
      </x:c>
      <x:c r="J1131" s="36" t="n">
        <x:v>0</x:v>
      </x:c>
      <x:c r="K1131" s="36" t="n">
        <x:v>0</x:v>
      </x:c>
      <x:c r="L1131" s="36" t="n">
        <x:v>0</x:v>
      </x:c>
      <x:c r="M1131" s="38" t="n">
        <x:v>4.662559890485968</x:v>
      </x:c>
      <x:c r="N1131" s="36" t="n">
        <x:v>0</x:v>
      </x:c>
    </x:row>
    <x:row r="1132" ht="20" customHeight="1">
      <x:c r="C1132" s="1" t="n">
        <x:v>3</x:v>
      </x:c>
      <x:c r="D1132" s="1" t="n">
        <x:v>2</x:v>
      </x:c>
      <x:c r="E1132" s="1" t="n">
        <x:v>57</x:v>
      </x:c>
      <x:c r="F1132" s="32" t="n">
        <x:v>48015</x:v>
      </x:c>
      <x:c r="G1132" s="36" t="n">
        <x:v>0</x:v>
      </x:c>
      <x:c r="H1132" s="36" t="n">
        <x:v>0</x:v>
      </x:c>
      <x:c r="I1132" s="36" t="n">
        <x:v>0</x:v>
      </x:c>
      <x:c r="J1132" s="36" t="n">
        <x:v>0</x:v>
      </x:c>
      <x:c r="K1132" s="36" t="n">
        <x:v>0</x:v>
      </x:c>
      <x:c r="L1132" s="36" t="n">
        <x:v>0</x:v>
      </x:c>
      <x:c r="M1132" s="38" t="n">
        <x:v>4.7501711156741955</x:v>
      </x:c>
      <x:c r="N1132" s="36" t="n">
        <x:v>0</x:v>
      </x:c>
    </x:row>
    <x:row r="1133" ht="20" customHeight="1">
      <x:c r="C1133" s="1" t="n">
        <x:v>3</x:v>
      </x:c>
      <x:c r="D1133" s="1" t="n">
        <x:v>2</x:v>
      </x:c>
      <x:c r="E1133" s="1" t="n">
        <x:v>58</x:v>
      </x:c>
      <x:c r="F1133" s="32" t="n">
        <x:v>48044</x:v>
      </x:c>
      <x:c r="G1133" s="36" t="n">
        <x:v>0</x:v>
      </x:c>
      <x:c r="H1133" s="36" t="n">
        <x:v>0</x:v>
      </x:c>
      <x:c r="I1133" s="36" t="n">
        <x:v>0</x:v>
      </x:c>
      <x:c r="J1133" s="36" t="n">
        <x:v>0</x:v>
      </x:c>
      <x:c r="K1133" s="36" t="n">
        <x:v>0</x:v>
      </x:c>
      <x:c r="L1133" s="36" t="n">
        <x:v>0</x:v>
      </x:c>
      <x:c r="M1133" s="38" t="n">
        <x:v>4.829568788501026</x:v>
      </x:c>
      <x:c r="N1133" s="36" t="n">
        <x:v>0</x:v>
      </x:c>
    </x:row>
    <x:row r="1134" ht="20" customHeight="1">
      <x:c r="C1134" s="1" t="n">
        <x:v>3</x:v>
      </x:c>
      <x:c r="D1134" s="1" t="n">
        <x:v>2</x:v>
      </x:c>
      <x:c r="E1134" s="1" t="n">
        <x:v>59</x:v>
      </x:c>
      <x:c r="F1134" s="32" t="n">
        <x:v>48075</x:v>
      </x:c>
      <x:c r="G1134" s="36" t="n">
        <x:v>0</x:v>
      </x:c>
      <x:c r="H1134" s="36" t="n">
        <x:v>0</x:v>
      </x:c>
      <x:c r="I1134" s="36" t="n">
        <x:v>0</x:v>
      </x:c>
      <x:c r="J1134" s="36" t="n">
        <x:v>0</x:v>
      </x:c>
      <x:c r="K1134" s="36" t="n">
        <x:v>0</x:v>
      </x:c>
      <x:c r="L1134" s="36" t="n">
        <x:v>0</x:v>
      </x:c>
      <x:c r="M1134" s="38" t="n">
        <x:v>4.914442162902122</x:v>
      </x:c>
      <x:c r="N1134" s="36" t="n">
        <x:v>0</x:v>
      </x:c>
    </x:row>
    <x:row r="1135" ht="20" customHeight="1">
      <x:c r="C1135" s="1" t="n">
        <x:v>3</x:v>
      </x:c>
      <x:c r="D1135" s="1" t="n">
        <x:v>2</x:v>
      </x:c>
      <x:c r="E1135" s="1" t="n">
        <x:v>60</x:v>
      </x:c>
      <x:c r="F1135" s="32" t="n">
        <x:v>48106</x:v>
      </x:c>
      <x:c r="G1135" s="36" t="n">
        <x:v>0</x:v>
      </x:c>
      <x:c r="H1135" s="36" t="n">
        <x:v>0</x:v>
      </x:c>
      <x:c r="I1135" s="36" t="n">
        <x:v>0</x:v>
      </x:c>
      <x:c r="J1135" s="36" t="n">
        <x:v>0</x:v>
      </x:c>
      <x:c r="K1135" s="36" t="n">
        <x:v>0</x:v>
      </x:c>
      <x:c r="L1135" s="36" t="n">
        <x:v>0</x:v>
      </x:c>
      <x:c r="M1135" s="38" t="n">
        <x:v>4.999315537303217</x:v>
      </x:c>
      <x:c r="N1135" s="36" t="n">
        <x:v>0</x:v>
      </x:c>
    </x:row>
    <x:row r="1136" ht="20" customHeight="1">
      <x:c r="C1136" s="1" t="n">
        <x:v>3</x:v>
      </x:c>
      <x:c r="D1136" s="1" t="n">
        <x:v>2</x:v>
      </x:c>
      <x:c r="E1136" s="1" t="n">
        <x:v>61</x:v>
      </x:c>
      <x:c r="F1136" s="32" t="n">
        <x:v>48136</x:v>
      </x:c>
      <x:c r="G1136" s="36" t="n">
        <x:v>0</x:v>
      </x:c>
      <x:c r="H1136" s="36" t="n">
        <x:v>0</x:v>
      </x:c>
      <x:c r="I1136" s="36" t="n">
        <x:v>0</x:v>
      </x:c>
      <x:c r="J1136" s="36" t="n">
        <x:v>0</x:v>
      </x:c>
      <x:c r="K1136" s="36" t="n">
        <x:v>0</x:v>
      </x:c>
      <x:c r="L1136" s="36" t="n">
        <x:v>0</x:v>
      </x:c>
      <x:c r="M1136" s="38" t="n">
        <x:v>5.08145106091718</x:v>
      </x:c>
      <x:c r="N1136" s="36" t="n">
        <x:v>0</x:v>
      </x:c>
    </x:row>
    <x:row r="1137" ht="20" customHeight="1">
      <x:c r="C1137" s="1" t="n">
        <x:v>3</x:v>
      </x:c>
      <x:c r="D1137" s="1" t="n">
        <x:v>2</x:v>
      </x:c>
      <x:c r="E1137" s="1" t="n">
        <x:v>62</x:v>
      </x:c>
      <x:c r="F1137" s="32" t="n">
        <x:v>48169</x:v>
      </x:c>
      <x:c r="G1137" s="36" t="n">
        <x:v>0</x:v>
      </x:c>
      <x:c r="H1137" s="36" t="n">
        <x:v>0</x:v>
      </x:c>
      <x:c r="I1137" s="36" t="n">
        <x:v>0</x:v>
      </x:c>
      <x:c r="J1137" s="36" t="n">
        <x:v>0</x:v>
      </x:c>
      <x:c r="K1137" s="36" t="n">
        <x:v>0</x:v>
      </x:c>
      <x:c r="L1137" s="36" t="n">
        <x:v>0</x:v>
      </x:c>
      <x:c r="M1137" s="38" t="n">
        <x:v>5.171800136892539</x:v>
      </x:c>
      <x:c r="N1137" s="36" t="n">
        <x:v>0</x:v>
      </x:c>
    </x:row>
    <x:row r="1138" ht="20" customHeight="1">
      <x:c r="C1138" s="1" t="n">
        <x:v>3</x:v>
      </x:c>
      <x:c r="D1138" s="1" t="n">
        <x:v>2</x:v>
      </x:c>
      <x:c r="E1138" s="1" t="n">
        <x:v>63</x:v>
      </x:c>
      <x:c r="F1138" s="32" t="n">
        <x:v>48197</x:v>
      </x:c>
      <x:c r="G1138" s="36" t="n">
        <x:v>0</x:v>
      </x:c>
      <x:c r="H1138" s="36" t="n">
        <x:v>0</x:v>
      </x:c>
      <x:c r="I1138" s="36" t="n">
        <x:v>0</x:v>
      </x:c>
      <x:c r="J1138" s="36" t="n">
        <x:v>0</x:v>
      </x:c>
      <x:c r="K1138" s="36" t="n">
        <x:v>0</x:v>
      </x:c>
      <x:c r="L1138" s="36" t="n">
        <x:v>0</x:v>
      </x:c>
      <x:c r="M1138" s="38" t="n">
        <x:v>5.248459958932238</x:v>
      </x:c>
      <x:c r="N1138" s="36" t="n">
        <x:v>0</x:v>
      </x:c>
    </x:row>
    <x:row r="1139" ht="20" customHeight="1">
      <x:c r="C1139" s="1" t="n">
        <x:v>3</x:v>
      </x:c>
      <x:c r="D1139" s="1" t="n">
        <x:v>2</x:v>
      </x:c>
      <x:c r="E1139" s="1" t="n">
        <x:v>64</x:v>
      </x:c>
      <x:c r="F1139" s="32" t="n">
        <x:v>48228</x:v>
      </x:c>
      <x:c r="G1139" s="36" t="n">
        <x:v>0</x:v>
      </x:c>
      <x:c r="H1139" s="36" t="n">
        <x:v>0</x:v>
      </x:c>
      <x:c r="I1139" s="36" t="n">
        <x:v>0</x:v>
      </x:c>
      <x:c r="J1139" s="36" t="n">
        <x:v>0</x:v>
      </x:c>
      <x:c r="K1139" s="36" t="n">
        <x:v>0</x:v>
      </x:c>
      <x:c r="L1139" s="36" t="n">
        <x:v>0</x:v>
      </x:c>
      <x:c r="M1139" s="38" t="n">
        <x:v>5.333333333333333</x:v>
      </x:c>
      <x:c r="N1139" s="36" t="n">
        <x:v>0</x:v>
      </x:c>
    </x:row>
    <x:row r="1140" ht="20" customHeight="1">
      <x:c r="C1140" s="1" t="n">
        <x:v>3</x:v>
      </x:c>
      <x:c r="D1140" s="1" t="n">
        <x:v>2</x:v>
      </x:c>
      <x:c r="E1140" s="1" t="n">
        <x:v>65</x:v>
      </x:c>
      <x:c r="F1140" s="32" t="n">
        <x:v>48261</x:v>
      </x:c>
      <x:c r="G1140" s="36" t="n">
        <x:v>0</x:v>
      </x:c>
      <x:c r="H1140" s="36" t="n">
        <x:v>0</x:v>
      </x:c>
      <x:c r="I1140" s="36" t="n">
        <x:v>0</x:v>
      </x:c>
      <x:c r="J1140" s="36" t="n">
        <x:v>0</x:v>
      </x:c>
      <x:c r="K1140" s="36" t="n">
        <x:v>0</x:v>
      </x:c>
      <x:c r="L1140" s="36" t="n">
        <x:v>0</x:v>
      </x:c>
      <x:c r="M1140" s="38" t="n">
        <x:v>5.423682409308693</x:v>
      </x:c>
      <x:c r="N1140" s="36" t="n">
        <x:v>0</x:v>
      </x:c>
    </x:row>
    <x:row r="1141" ht="20" customHeight="1">
      <x:c r="C1141" s="1" t="n">
        <x:v>3</x:v>
      </x:c>
      <x:c r="D1141" s="1" t="n">
        <x:v>2</x:v>
      </x:c>
      <x:c r="E1141" s="1" t="n">
        <x:v>66</x:v>
      </x:c>
      <x:c r="F1141" s="32" t="n">
        <x:v>48288</x:v>
      </x:c>
      <x:c r="G1141" s="36" t="n">
        <x:v>0</x:v>
      </x:c>
      <x:c r="H1141" s="36" t="n">
        <x:v>0</x:v>
      </x:c>
      <x:c r="I1141" s="36" t="n">
        <x:v>0</x:v>
      </x:c>
      <x:c r="J1141" s="36" t="n">
        <x:v>0</x:v>
      </x:c>
      <x:c r="K1141" s="36" t="n">
        <x:v>0</x:v>
      </x:c>
      <x:c r="L1141" s="36" t="n">
        <x:v>0</x:v>
      </x:c>
      <x:c r="M1141" s="38" t="n">
        <x:v>5.49760438056126</x:v>
      </x:c>
      <x:c r="N1141" s="36" t="n">
        <x:v>0</x:v>
      </x:c>
    </x:row>
    <x:row r="1142" ht="20" customHeight="1">
      <x:c r="C1142" s="1" t="n">
        <x:v>3</x:v>
      </x:c>
      <x:c r="D1142" s="1" t="n">
        <x:v>2</x:v>
      </x:c>
      <x:c r="E1142" s="1" t="n">
        <x:v>67</x:v>
      </x:c>
      <x:c r="F1142" s="32" t="n">
        <x:v>48319</x:v>
      </x:c>
      <x:c r="G1142" s="36" t="n">
        <x:v>0</x:v>
      </x:c>
      <x:c r="H1142" s="36" t="n">
        <x:v>0</x:v>
      </x:c>
      <x:c r="I1142" s="36" t="n">
        <x:v>0</x:v>
      </x:c>
      <x:c r="J1142" s="36" t="n">
        <x:v>0</x:v>
      </x:c>
      <x:c r="K1142" s="36" t="n">
        <x:v>0</x:v>
      </x:c>
      <x:c r="L1142" s="36" t="n">
        <x:v>0</x:v>
      </x:c>
      <x:c r="M1142" s="38" t="n">
        <x:v>5.582477754962355</x:v>
      </x:c>
      <x:c r="N1142" s="36" t="n">
        <x:v>0</x:v>
      </x:c>
    </x:row>
    <x:row r="1143" ht="20" customHeight="1">
      <x:c r="C1143" s="1" t="n">
        <x:v>3</x:v>
      </x:c>
      <x:c r="D1143" s="1" t="n">
        <x:v>3</x:v>
      </x:c>
      <x:c r="E1143" s="1" t="n">
        <x:v>1</x:v>
      </x:c>
      <x:c r="F1143" s="32" t="n">
        <x:v>46310</x:v>
      </x:c>
      <x:c r="G1143" s="36" t="n">
        <x:v>40763929.95</x:v>
      </x:c>
      <x:c r="H1143" s="36" t="n">
        <x:v>146970.95</x:v>
      </x:c>
      <x:c r="I1143" s="36" t="n">
        <x:v>6800225.03</x:v>
      </x:c>
      <x:c r="J1143" s="36" t="n">
        <x:v>0</x:v>
      </x:c>
      <x:c r="K1143" s="36" t="n">
        <x:v>33963704.92</x:v>
      </x:c>
      <x:c r="L1143" s="36" t="n">
        <x:v>0</x:v>
      </x:c>
      <x:c r="M1143" s="38" t="n">
        <x:v>0.08213552361396304</x:v>
      </x:c>
      <x:c r="N1143" s="36" t="n">
        <x:v>33963704.92</x:v>
      </x:c>
    </x:row>
    <x:row r="1144" ht="20" customHeight="1">
      <x:c r="C1144" s="1" t="n">
        <x:v>3</x:v>
      </x:c>
      <x:c r="D1144" s="1" t="n">
        <x:v>3</x:v>
      </x:c>
      <x:c r="E1144" s="1" t="n">
        <x:v>2</x:v>
      </x:c>
      <x:c r="F1144" s="32" t="n">
        <x:v>46342</x:v>
      </x:c>
      <x:c r="G1144" s="36" t="n">
        <x:v>33963704.92</x:v>
      </x:c>
      <x:c r="H1144" s="36" t="n">
        <x:v>130616.86</x:v>
      </x:c>
      <x:c r="I1144" s="36" t="n">
        <x:v>7073677.01</x:v>
      </x:c>
      <x:c r="J1144" s="36" t="n">
        <x:v>0</x:v>
      </x:c>
      <x:c r="K1144" s="36" t="n">
        <x:v>26890027.91</x:v>
      </x:c>
      <x:c r="L1144" s="36" t="n">
        <x:v>0</x:v>
      </x:c>
      <x:c r="M1144" s="38" t="n">
        <x:v>0.1697467488021903</x:v>
      </x:c>
      <x:c r="N1144" s="36" t="n">
        <x:v>26890027.91</x:v>
      </x:c>
    </x:row>
    <x:row r="1145" ht="20" customHeight="1">
      <x:c r="C1145" s="1" t="n">
        <x:v>3</x:v>
      </x:c>
      <x:c r="D1145" s="1" t="n">
        <x:v>3</x:v>
      </x:c>
      <x:c r="E1145" s="1" t="n">
        <x:v>3</x:v>
      </x:c>
      <x:c r="F1145" s="32" t="n">
        <x:v>46371</x:v>
      </x:c>
      <x:c r="G1145" s="36" t="n">
        <x:v>26890027.91</x:v>
      </x:c>
      <x:c r="H1145" s="36" t="n">
        <x:v>93718.1</x:v>
      </x:c>
      <x:c r="I1145" s="36" t="n">
        <x:v>6715471.69</x:v>
      </x:c>
      <x:c r="J1145" s="36" t="n">
        <x:v>0</x:v>
      </x:c>
      <x:c r="K1145" s="36" t="n">
        <x:v>20174556.22</x:v>
      </x:c>
      <x:c r="L1145" s="36" t="n">
        <x:v>0</x:v>
      </x:c>
      <x:c r="M1145" s="38" t="n">
        <x:v>0.24914442162902123</x:v>
      </x:c>
      <x:c r="N1145" s="36" t="n">
        <x:v>20174556.22</x:v>
      </x:c>
    </x:row>
    <x:row r="1146" ht="20" customHeight="1">
      <x:c r="C1146" s="1" t="n">
        <x:v>3</x:v>
      </x:c>
      <x:c r="D1146" s="1" t="n">
        <x:v>3</x:v>
      </x:c>
      <x:c r="E1146" s="1" t="n">
        <x:v>4</x:v>
      </x:c>
      <x:c r="F1146" s="32" t="n">
        <x:v>46402</x:v>
      </x:c>
      <x:c r="G1146" s="36" t="n">
        <x:v>20174556.22</x:v>
      </x:c>
      <x:c r="H1146" s="36" t="n">
        <x:v>75162.27</x:v>
      </x:c>
      <x:c r="I1146" s="36" t="n">
        <x:v>6078687.95</x:v>
      </x:c>
      <x:c r="J1146" s="36" t="n">
        <x:v>0</x:v>
      </x:c>
      <x:c r="K1146" s="36" t="n">
        <x:v>14095868.27</x:v>
      </x:c>
      <x:c r="L1146" s="36" t="n">
        <x:v>0</x:v>
      </x:c>
      <x:c r="M1146" s="38" t="n">
        <x:v>0.33401779603011633</x:v>
      </x:c>
      <x:c r="N1146" s="36" t="n">
        <x:v>14095868.27</x:v>
      </x:c>
    </x:row>
    <x:row r="1147" ht="20" customHeight="1">
      <x:c r="C1147" s="1" t="n">
        <x:v>3</x:v>
      </x:c>
      <x:c r="D1147" s="1" t="n">
        <x:v>3</x:v>
      </x:c>
      <x:c r="E1147" s="1" t="n">
        <x:v>5</x:v>
      </x:c>
      <x:c r="F1147" s="32" t="n">
        <x:v>46434</x:v>
      </x:c>
      <x:c r="G1147" s="36" t="n">
        <x:v>14095868.27</x:v>
      </x:c>
      <x:c r="H1147" s="36" t="n">
        <x:v>54209.58</x:v>
      </x:c>
      <x:c r="I1147" s="36" t="n">
        <x:v>5951864.37</x:v>
      </x:c>
      <x:c r="J1147" s="36" t="n">
        <x:v>0</x:v>
      </x:c>
      <x:c r="K1147" s="36" t="n">
        <x:v>8144003.9</x:v>
      </x:c>
      <x:c r="L1147" s="36" t="n">
        <x:v>0</x:v>
      </x:c>
      <x:c r="M1147" s="38" t="n">
        <x:v>0.4216290212183436</x:v>
      </x:c>
      <x:c r="N1147" s="36" t="n">
        <x:v>8144003.9</x:v>
      </x:c>
    </x:row>
    <x:row r="1148" ht="20" customHeight="1">
      <x:c r="C1148" s="1" t="n">
        <x:v>3</x:v>
      </x:c>
      <x:c r="D1148" s="1" t="n">
        <x:v>3</x:v>
      </x:c>
      <x:c r="E1148" s="1" t="n">
        <x:v>6</x:v>
      </x:c>
      <x:c r="F1148" s="32" t="n">
        <x:v>46461</x:v>
      </x:c>
      <x:c r="G1148" s="36" t="n">
        <x:v>8144003.9</x:v>
      </x:c>
      <x:c r="H1148" s="36" t="n">
        <x:v>26426.27</x:v>
      </x:c>
      <x:c r="I1148" s="36" t="n">
        <x:v>5819260.83</x:v>
      </x:c>
      <x:c r="J1148" s="36" t="n">
        <x:v>0</x:v>
      </x:c>
      <x:c r="K1148" s="36" t="n">
        <x:v>2324743.07</x:v>
      </x:c>
      <x:c r="L1148" s="36" t="n">
        <x:v>0</x:v>
      </x:c>
      <x:c r="M1148" s="38" t="n">
        <x:v>0.49555099247091033</x:v>
      </x:c>
      <x:c r="N1148" s="36" t="n">
        <x:v>2324743.07</x:v>
      </x:c>
    </x:row>
    <x:row r="1149" ht="20" customHeight="1">
      <x:c r="C1149" s="1" t="n">
        <x:v>3</x:v>
      </x:c>
      <x:c r="D1149" s="1" t="n">
        <x:v>3</x:v>
      </x:c>
      <x:c r="E1149" s="1" t="n">
        <x:v>7</x:v>
      </x:c>
      <x:c r="F1149" s="32" t="n">
        <x:v>46492</x:v>
      </x:c>
      <x:c r="G1149" s="36" t="n">
        <x:v>2324743.07</x:v>
      </x:c>
      <x:c r="H1149" s="36" t="n">
        <x:v>8661.06</x:v>
      </x:c>
      <x:c r="I1149" s="36" t="n">
        <x:v>2324743.07</x:v>
      </x:c>
      <x:c r="J1149" s="36" t="n">
        <x:v>0</x:v>
      </x:c>
      <x:c r="K1149" s="36" t="n">
        <x:v>0</x:v>
      </x:c>
      <x:c r="L1149" s="36" t="n">
        <x:v>0</x:v>
      </x:c>
      <x:c r="M1149" s="38" t="n">
        <x:v>0.5804243668720055</x:v>
      </x:c>
      <x:c r="N1149" s="36" t="n">
        <x:v>0</x:v>
      </x:c>
    </x:row>
    <x:row r="1150" ht="20" customHeight="1">
      <x:c r="C1150" s="1" t="n">
        <x:v>3</x:v>
      </x:c>
      <x:c r="D1150" s="1" t="n">
        <x:v>3</x:v>
      </x:c>
      <x:c r="E1150" s="1" t="n">
        <x:v>8</x:v>
      </x:c>
      <x:c r="F1150" s="32" t="n">
        <x:v>46524</x:v>
      </x:c>
      <x:c r="G1150" s="36" t="n">
        <x:v>0</x:v>
      </x:c>
      <x:c r="H1150" s="36" t="n">
        <x:v>0</x:v>
      </x:c>
      <x:c r="I1150" s="36" t="n">
        <x:v>0</x:v>
      </x:c>
      <x:c r="J1150" s="36" t="n">
        <x:v>0</x:v>
      </x:c>
      <x:c r="K1150" s="36" t="n">
        <x:v>0</x:v>
      </x:c>
      <x:c r="L1150" s="36" t="n">
        <x:v>0</x:v>
      </x:c>
      <x:c r="M1150" s="38" t="n">
        <x:v>0.6680355920602327</x:v>
      </x:c>
      <x:c r="N1150" s="36" t="n">
        <x:v>0</x:v>
      </x:c>
    </x:row>
    <x:row r="1151" ht="20" customHeight="1">
      <x:c r="C1151" s="1" t="n">
        <x:v>3</x:v>
      </x:c>
      <x:c r="D1151" s="1" t="n">
        <x:v>3</x:v>
      </x:c>
      <x:c r="E1151" s="1" t="n">
        <x:v>9</x:v>
      </x:c>
      <x:c r="F1151" s="32" t="n">
        <x:v>46553</x:v>
      </x:c>
      <x:c r="G1151" s="36" t="n">
        <x:v>0</x:v>
      </x:c>
      <x:c r="H1151" s="36" t="n">
        <x:v>0</x:v>
      </x:c>
      <x:c r="I1151" s="36" t="n">
        <x:v>0</x:v>
      </x:c>
      <x:c r="J1151" s="36" t="n">
        <x:v>0</x:v>
      </x:c>
      <x:c r="K1151" s="36" t="n">
        <x:v>0</x:v>
      </x:c>
      <x:c r="L1151" s="36" t="n">
        <x:v>0</x:v>
      </x:c>
      <x:c r="M1151" s="38" t="n">
        <x:v>0.7474332648870636</x:v>
      </x:c>
      <x:c r="N1151" s="36" t="n">
        <x:v>0</x:v>
      </x:c>
    </x:row>
    <x:row r="1152" ht="20" customHeight="1">
      <x:c r="C1152" s="1" t="n">
        <x:v>3</x:v>
      </x:c>
      <x:c r="D1152" s="1" t="n">
        <x:v>3</x:v>
      </x:c>
      <x:c r="E1152" s="1" t="n">
        <x:v>10</x:v>
      </x:c>
      <x:c r="F1152" s="32" t="n">
        <x:v>46583</x:v>
      </x:c>
      <x:c r="G1152" s="36" t="n">
        <x:v>0</x:v>
      </x:c>
      <x:c r="H1152" s="36" t="n">
        <x:v>0</x:v>
      </x:c>
      <x:c r="I1152" s="36" t="n">
        <x:v>0</x:v>
      </x:c>
      <x:c r="J1152" s="36" t="n">
        <x:v>0</x:v>
      </x:c>
      <x:c r="K1152" s="36" t="n">
        <x:v>0</x:v>
      </x:c>
      <x:c r="L1152" s="36" t="n">
        <x:v>0</x:v>
      </x:c>
      <x:c r="M1152" s="38" t="n">
        <x:v>0.8295687885010267</x:v>
      </x:c>
      <x:c r="N1152" s="36" t="n">
        <x:v>0</x:v>
      </x:c>
    </x:row>
    <x:row r="1153" ht="20" customHeight="1">
      <x:c r="C1153" s="1" t="n">
        <x:v>3</x:v>
      </x:c>
      <x:c r="D1153" s="1" t="n">
        <x:v>3</x:v>
      </x:c>
      <x:c r="E1153" s="1" t="n">
        <x:v>11</x:v>
      </x:c>
      <x:c r="F1153" s="32" t="n">
        <x:v>46615</x:v>
      </x:c>
      <x:c r="G1153" s="36" t="n">
        <x:v>0</x:v>
      </x:c>
      <x:c r="H1153" s="36" t="n">
        <x:v>0</x:v>
      </x:c>
      <x:c r="I1153" s="36" t="n">
        <x:v>0</x:v>
      </x:c>
      <x:c r="J1153" s="36" t="n">
        <x:v>0</x:v>
      </x:c>
      <x:c r="K1153" s="36" t="n">
        <x:v>0</x:v>
      </x:c>
      <x:c r="L1153" s="36" t="n">
        <x:v>0</x:v>
      </x:c>
      <x:c r="M1153" s="38" t="n">
        <x:v>0.917180013689254</x:v>
      </x:c>
      <x:c r="N1153" s="36" t="n">
        <x:v>0</x:v>
      </x:c>
    </x:row>
    <x:row r="1154" ht="20" customHeight="1">
      <x:c r="C1154" s="1" t="n">
        <x:v>3</x:v>
      </x:c>
      <x:c r="D1154" s="1" t="n">
        <x:v>3</x:v>
      </x:c>
      <x:c r="E1154" s="1" t="n">
        <x:v>12</x:v>
      </x:c>
      <x:c r="F1154" s="32" t="n">
        <x:v>46645</x:v>
      </x:c>
      <x:c r="G1154" s="36" t="n">
        <x:v>0</x:v>
      </x:c>
      <x:c r="H1154" s="36" t="n">
        <x:v>0</x:v>
      </x:c>
      <x:c r="I1154" s="36" t="n">
        <x:v>0</x:v>
      </x:c>
      <x:c r="J1154" s="36" t="n">
        <x:v>0</x:v>
      </x:c>
      <x:c r="K1154" s="36" t="n">
        <x:v>0</x:v>
      </x:c>
      <x:c r="L1154" s="36" t="n">
        <x:v>0</x:v>
      </x:c>
      <x:c r="M1154" s="38" t="n">
        <x:v>0.999315537303217</x:v>
      </x:c>
      <x:c r="N1154" s="36" t="n">
        <x:v>0</x:v>
      </x:c>
    </x:row>
    <x:row r="1155" ht="20" customHeight="1">
      <x:c r="C1155" s="1" t="n">
        <x:v>3</x:v>
      </x:c>
      <x:c r="D1155" s="1" t="n">
        <x:v>3</x:v>
      </x:c>
      <x:c r="E1155" s="1" t="n">
        <x:v>13</x:v>
      </x:c>
      <x:c r="F1155" s="32" t="n">
        <x:v>46675</x:v>
      </x:c>
      <x:c r="G1155" s="36" t="n">
        <x:v>0</x:v>
      </x:c>
      <x:c r="H1155" s="36" t="n">
        <x:v>0</x:v>
      </x:c>
      <x:c r="I1155" s="36" t="n">
        <x:v>0</x:v>
      </x:c>
      <x:c r="J1155" s="36" t="n">
        <x:v>0</x:v>
      </x:c>
      <x:c r="K1155" s="36" t="n">
        <x:v>0</x:v>
      </x:c>
      <x:c r="L1155" s="36" t="n">
        <x:v>0</x:v>
      </x:c>
      <x:c r="M1155" s="38" t="n">
        <x:v>1.08145106091718</x:v>
      </x:c>
      <x:c r="N1155" s="36" t="n">
        <x:v>0</x:v>
      </x:c>
    </x:row>
    <x:row r="1156" ht="20" customHeight="1">
      <x:c r="C1156" s="1" t="n">
        <x:v>3</x:v>
      </x:c>
      <x:c r="D1156" s="1" t="n">
        <x:v>3</x:v>
      </x:c>
      <x:c r="E1156" s="1" t="n">
        <x:v>14</x:v>
      </x:c>
      <x:c r="F1156" s="32" t="n">
        <x:v>46706</x:v>
      </x:c>
      <x:c r="G1156" s="36" t="n">
        <x:v>0</x:v>
      </x:c>
      <x:c r="H1156" s="36" t="n">
        <x:v>0</x:v>
      </x:c>
      <x:c r="I1156" s="36" t="n">
        <x:v>0</x:v>
      </x:c>
      <x:c r="J1156" s="36" t="n">
        <x:v>0</x:v>
      </x:c>
      <x:c r="K1156" s="36" t="n">
        <x:v>0</x:v>
      </x:c>
      <x:c r="L1156" s="36" t="n">
        <x:v>0</x:v>
      </x:c>
      <x:c r="M1156" s="38" t="n">
        <x:v>1.1663244353182751</x:v>
      </x:c>
      <x:c r="N1156" s="36" t="n">
        <x:v>0</x:v>
      </x:c>
    </x:row>
    <x:row r="1157" ht="20" customHeight="1">
      <x:c r="C1157" s="1" t="n">
        <x:v>3</x:v>
      </x:c>
      <x:c r="D1157" s="1" t="n">
        <x:v>3</x:v>
      </x:c>
      <x:c r="E1157" s="1" t="n">
        <x:v>15</x:v>
      </x:c>
      <x:c r="F1157" s="32" t="n">
        <x:v>46736</x:v>
      </x:c>
      <x:c r="G1157" s="36" t="n">
        <x:v>0</x:v>
      </x:c>
      <x:c r="H1157" s="36" t="n">
        <x:v>0</x:v>
      </x:c>
      <x:c r="I1157" s="36" t="n">
        <x:v>0</x:v>
      </x:c>
      <x:c r="J1157" s="36" t="n">
        <x:v>0</x:v>
      </x:c>
      <x:c r="K1157" s="36" t="n">
        <x:v>0</x:v>
      </x:c>
      <x:c r="L1157" s="36" t="n">
        <x:v>0</x:v>
      </x:c>
      <x:c r="M1157" s="38" t="n">
        <x:v>1.2484599589322383</x:v>
      </x:c>
      <x:c r="N1157" s="36" t="n">
        <x:v>0</x:v>
      </x:c>
    </x:row>
    <x:row r="1158" ht="20" customHeight="1">
      <x:c r="C1158" s="1" t="n">
        <x:v>3</x:v>
      </x:c>
      <x:c r="D1158" s="1" t="n">
        <x:v>3</x:v>
      </x:c>
      <x:c r="E1158" s="1" t="n">
        <x:v>16</x:v>
      </x:c>
      <x:c r="F1158" s="32" t="n">
        <x:v>46770</x:v>
      </x:c>
      <x:c r="G1158" s="36" t="n">
        <x:v>0</x:v>
      </x:c>
      <x:c r="H1158" s="36" t="n">
        <x:v>0</x:v>
      </x:c>
      <x:c r="I1158" s="36" t="n">
        <x:v>0</x:v>
      </x:c>
      <x:c r="J1158" s="36" t="n">
        <x:v>0</x:v>
      </x:c>
      <x:c r="K1158" s="36" t="n">
        <x:v>0</x:v>
      </x:c>
      <x:c r="L1158" s="36" t="n">
        <x:v>0</x:v>
      </x:c>
      <x:c r="M1158" s="38" t="n">
        <x:v>1.3415468856947297</x:v>
      </x:c>
      <x:c r="N1158" s="36" t="n">
        <x:v>0</x:v>
      </x:c>
    </x:row>
    <x:row r="1159" ht="20" customHeight="1">
      <x:c r="C1159" s="1" t="n">
        <x:v>3</x:v>
      </x:c>
      <x:c r="D1159" s="1" t="n">
        <x:v>3</x:v>
      </x:c>
      <x:c r="E1159" s="1" t="n">
        <x:v>17</x:v>
      </x:c>
      <x:c r="F1159" s="32" t="n">
        <x:v>46798</x:v>
      </x:c>
      <x:c r="G1159" s="36" t="n">
        <x:v>0</x:v>
      </x:c>
      <x:c r="H1159" s="36" t="n">
        <x:v>0</x:v>
      </x:c>
      <x:c r="I1159" s="36" t="n">
        <x:v>0</x:v>
      </x:c>
      <x:c r="J1159" s="36" t="n">
        <x:v>0</x:v>
      </x:c>
      <x:c r="K1159" s="36" t="n">
        <x:v>0</x:v>
      </x:c>
      <x:c r="L1159" s="36" t="n">
        <x:v>0</x:v>
      </x:c>
      <x:c r="M1159" s="38" t="n">
        <x:v>1.4182067077344285</x:v>
      </x:c>
      <x:c r="N1159" s="36" t="n">
        <x:v>0</x:v>
      </x:c>
    </x:row>
    <x:row r="1160" ht="20" customHeight="1">
      <x:c r="C1160" s="1" t="n">
        <x:v>3</x:v>
      </x:c>
      <x:c r="D1160" s="1" t="n">
        <x:v>3</x:v>
      </x:c>
      <x:c r="E1160" s="1" t="n">
        <x:v>18</x:v>
      </x:c>
      <x:c r="F1160" s="32" t="n">
        <x:v>46827</x:v>
      </x:c>
      <x:c r="G1160" s="36" t="n">
        <x:v>0</x:v>
      </x:c>
      <x:c r="H1160" s="36" t="n">
        <x:v>0</x:v>
      </x:c>
      <x:c r="I1160" s="36" t="n">
        <x:v>0</x:v>
      </x:c>
      <x:c r="J1160" s="36" t="n">
        <x:v>0</x:v>
      </x:c>
      <x:c r="K1160" s="36" t="n">
        <x:v>0</x:v>
      </x:c>
      <x:c r="L1160" s="36" t="n">
        <x:v>0</x:v>
      </x:c>
      <x:c r="M1160" s="38" t="n">
        <x:v>1.4976043805612593</x:v>
      </x:c>
      <x:c r="N1160" s="36" t="n">
        <x:v>0</x:v>
      </x:c>
    </x:row>
    <x:row r="1161" ht="20" customHeight="1">
      <x:c r="C1161" s="1" t="n">
        <x:v>3</x:v>
      </x:c>
      <x:c r="D1161" s="1" t="n">
        <x:v>3</x:v>
      </x:c>
      <x:c r="E1161" s="1" t="n">
        <x:v>19</x:v>
      </x:c>
      <x:c r="F1161" s="32" t="n">
        <x:v>46860</x:v>
      </x:c>
      <x:c r="G1161" s="36" t="n">
        <x:v>0</x:v>
      </x:c>
      <x:c r="H1161" s="36" t="n">
        <x:v>0</x:v>
      </x:c>
      <x:c r="I1161" s="36" t="n">
        <x:v>0</x:v>
      </x:c>
      <x:c r="J1161" s="36" t="n">
        <x:v>0</x:v>
      </x:c>
      <x:c r="K1161" s="36" t="n">
        <x:v>0</x:v>
      </x:c>
      <x:c r="L1161" s="36" t="n">
        <x:v>0</x:v>
      </x:c>
      <x:c r="M1161" s="38" t="n">
        <x:v>1.5879534565366187</x:v>
      </x:c>
      <x:c r="N1161" s="36" t="n">
        <x:v>0</x:v>
      </x:c>
    </x:row>
    <x:row r="1162" ht="20" customHeight="1">
      <x:c r="C1162" s="1" t="n">
        <x:v>3</x:v>
      </x:c>
      <x:c r="D1162" s="1" t="n">
        <x:v>3</x:v>
      </x:c>
      <x:c r="E1162" s="1" t="n">
        <x:v>20</x:v>
      </x:c>
      <x:c r="F1162" s="32" t="n">
        <x:v>46888</x:v>
      </x:c>
      <x:c r="G1162" s="36" t="n">
        <x:v>0</x:v>
      </x:c>
      <x:c r="H1162" s="36" t="n">
        <x:v>0</x:v>
      </x:c>
      <x:c r="I1162" s="36" t="n">
        <x:v>0</x:v>
      </x:c>
      <x:c r="J1162" s="36" t="n">
        <x:v>0</x:v>
      </x:c>
      <x:c r="K1162" s="36" t="n">
        <x:v>0</x:v>
      </x:c>
      <x:c r="L1162" s="36" t="n">
        <x:v>0</x:v>
      </x:c>
      <x:c r="M1162" s="38" t="n">
        <x:v>1.6646132785763177</x:v>
      </x:c>
      <x:c r="N1162" s="36" t="n">
        <x:v>0</x:v>
      </x:c>
    </x:row>
    <x:row r="1163" ht="20" customHeight="1">
      <x:c r="C1163" s="1" t="n">
        <x:v>3</x:v>
      </x:c>
      <x:c r="D1163" s="1" t="n">
        <x:v>3</x:v>
      </x:c>
      <x:c r="E1163" s="1" t="n">
        <x:v>21</x:v>
      </x:c>
      <x:c r="F1163" s="32" t="n">
        <x:v>46919</x:v>
      </x:c>
      <x:c r="G1163" s="36" t="n">
        <x:v>0</x:v>
      </x:c>
      <x:c r="H1163" s="36" t="n">
        <x:v>0</x:v>
      </x:c>
      <x:c r="I1163" s="36" t="n">
        <x:v>0</x:v>
      </x:c>
      <x:c r="J1163" s="36" t="n">
        <x:v>0</x:v>
      </x:c>
      <x:c r="K1163" s="36" t="n">
        <x:v>0</x:v>
      </x:c>
      <x:c r="L1163" s="36" t="n">
        <x:v>0</x:v>
      </x:c>
      <x:c r="M1163" s="38" t="n">
        <x:v>1.7494866529774127</x:v>
      </x:c>
      <x:c r="N1163" s="36" t="n">
        <x:v>0</x:v>
      </x:c>
    </x:row>
    <x:row r="1164" ht="20" customHeight="1">
      <x:c r="C1164" s="1" t="n">
        <x:v>3</x:v>
      </x:c>
      <x:c r="D1164" s="1" t="n">
        <x:v>3</x:v>
      </x:c>
      <x:c r="E1164" s="1" t="n">
        <x:v>22</x:v>
      </x:c>
      <x:c r="F1164" s="32" t="n">
        <x:v>46951</x:v>
      </x:c>
      <x:c r="G1164" s="36" t="n">
        <x:v>0</x:v>
      </x:c>
      <x:c r="H1164" s="36" t="n">
        <x:v>0</x:v>
      </x:c>
      <x:c r="I1164" s="36" t="n">
        <x:v>0</x:v>
      </x:c>
      <x:c r="J1164" s="36" t="n">
        <x:v>0</x:v>
      </x:c>
      <x:c r="K1164" s="36" t="n">
        <x:v>0</x:v>
      </x:c>
      <x:c r="L1164" s="36" t="n">
        <x:v>0</x:v>
      </x:c>
      <x:c r="M1164" s="38" t="n">
        <x:v>1.83709787816564</x:v>
      </x:c>
      <x:c r="N1164" s="36" t="n">
        <x:v>0</x:v>
      </x:c>
    </x:row>
    <x:row r="1165" ht="20" customHeight="1">
      <x:c r="C1165" s="1" t="n">
        <x:v>3</x:v>
      </x:c>
      <x:c r="D1165" s="1" t="n">
        <x:v>3</x:v>
      </x:c>
      <x:c r="E1165" s="1" t="n">
        <x:v>23</x:v>
      </x:c>
      <x:c r="F1165" s="32" t="n">
        <x:v>46980</x:v>
      </x:c>
      <x:c r="G1165" s="36" t="n">
        <x:v>0</x:v>
      </x:c>
      <x:c r="H1165" s="36" t="n">
        <x:v>0</x:v>
      </x:c>
      <x:c r="I1165" s="36" t="n">
        <x:v>0</x:v>
      </x:c>
      <x:c r="J1165" s="36" t="n">
        <x:v>0</x:v>
      </x:c>
      <x:c r="K1165" s="36" t="n">
        <x:v>0</x:v>
      </x:c>
      <x:c r="L1165" s="36" t="n">
        <x:v>0</x:v>
      </x:c>
      <x:c r="M1165" s="38" t="n">
        <x:v>1.9164955509924708</x:v>
      </x:c>
      <x:c r="N1165" s="36" t="n">
        <x:v>0</x:v>
      </x:c>
    </x:row>
    <x:row r="1166" ht="20" customHeight="1">
      <x:c r="C1166" s="1" t="n">
        <x:v>3</x:v>
      </x:c>
      <x:c r="D1166" s="1" t="n">
        <x:v>3</x:v>
      </x:c>
      <x:c r="E1166" s="1" t="n">
        <x:v>24</x:v>
      </x:c>
      <x:c r="F1166" s="32" t="n">
        <x:v>47011</x:v>
      </x:c>
      <x:c r="G1166" s="36" t="n">
        <x:v>0</x:v>
      </x:c>
      <x:c r="H1166" s="36" t="n">
        <x:v>0</x:v>
      </x:c>
      <x:c r="I1166" s="36" t="n">
        <x:v>0</x:v>
      </x:c>
      <x:c r="J1166" s="36" t="n">
        <x:v>0</x:v>
      </x:c>
      <x:c r="K1166" s="36" t="n">
        <x:v>0</x:v>
      </x:c>
      <x:c r="L1166" s="36" t="n">
        <x:v>0</x:v>
      </x:c>
      <x:c r="M1166" s="38" t="n">
        <x:v>2.001368925393566</x:v>
      </x:c>
      <x:c r="N1166" s="36" t="n">
        <x:v>0</x:v>
      </x:c>
    </x:row>
    <x:row r="1167" ht="20" customHeight="1">
      <x:c r="C1167" s="1" t="n">
        <x:v>3</x:v>
      </x:c>
      <x:c r="D1167" s="1" t="n">
        <x:v>3</x:v>
      </x:c>
      <x:c r="E1167" s="1" t="n">
        <x:v>25</x:v>
      </x:c>
      <x:c r="F1167" s="32" t="n">
        <x:v>47042</x:v>
      </x:c>
      <x:c r="G1167" s="36" t="n">
        <x:v>0</x:v>
      </x:c>
      <x:c r="H1167" s="36" t="n">
        <x:v>0</x:v>
      </x:c>
      <x:c r="I1167" s="36" t="n">
        <x:v>0</x:v>
      </x:c>
      <x:c r="J1167" s="36" t="n">
        <x:v>0</x:v>
      </x:c>
      <x:c r="K1167" s="36" t="n">
        <x:v>0</x:v>
      </x:c>
      <x:c r="L1167" s="36" t="n">
        <x:v>0</x:v>
      </x:c>
      <x:c r="M1167" s="38" t="n">
        <x:v>2.086242299794661</x:v>
      </x:c>
      <x:c r="N1167" s="36" t="n">
        <x:v>0</x:v>
      </x:c>
    </x:row>
    <x:row r="1168" ht="20" customHeight="1">
      <x:c r="C1168" s="1" t="n">
        <x:v>3</x:v>
      </x:c>
      <x:c r="D1168" s="1" t="n">
        <x:v>3</x:v>
      </x:c>
      <x:c r="E1168" s="1" t="n">
        <x:v>26</x:v>
      </x:c>
      <x:c r="F1168" s="32" t="n">
        <x:v>47072</x:v>
      </x:c>
      <x:c r="G1168" s="36" t="n">
        <x:v>0</x:v>
      </x:c>
      <x:c r="H1168" s="36" t="n">
        <x:v>0</x:v>
      </x:c>
      <x:c r="I1168" s="36" t="n">
        <x:v>0</x:v>
      </x:c>
      <x:c r="J1168" s="36" t="n">
        <x:v>0</x:v>
      </x:c>
      <x:c r="K1168" s="36" t="n">
        <x:v>0</x:v>
      </x:c>
      <x:c r="L1168" s="36" t="n">
        <x:v>0</x:v>
      </x:c>
      <x:c r="M1168" s="38" t="n">
        <x:v>2.1683778234086244</x:v>
      </x:c>
      <x:c r="N1168" s="36" t="n">
        <x:v>0</x:v>
      </x:c>
    </x:row>
    <x:row r="1169" ht="20" customHeight="1">
      <x:c r="C1169" s="1" t="n">
        <x:v>3</x:v>
      </x:c>
      <x:c r="D1169" s="1" t="n">
        <x:v>3</x:v>
      </x:c>
      <x:c r="E1169" s="1" t="n">
        <x:v>27</x:v>
      </x:c>
      <x:c r="F1169" s="32" t="n">
        <x:v>47102</x:v>
      </x:c>
      <x:c r="G1169" s="36" t="n">
        <x:v>0</x:v>
      </x:c>
      <x:c r="H1169" s="36" t="n">
        <x:v>0</x:v>
      </x:c>
      <x:c r="I1169" s="36" t="n">
        <x:v>0</x:v>
      </x:c>
      <x:c r="J1169" s="36" t="n">
        <x:v>0</x:v>
      </x:c>
      <x:c r="K1169" s="36" t="n">
        <x:v>0</x:v>
      </x:c>
      <x:c r="L1169" s="36" t="n">
        <x:v>0</x:v>
      </x:c>
      <x:c r="M1169" s="38" t="n">
        <x:v>2.2505133470225873</x:v>
      </x:c>
      <x:c r="N1169" s="36" t="n">
        <x:v>0</x:v>
      </x:c>
    </x:row>
    <x:row r="1170" ht="20" customHeight="1">
      <x:c r="C1170" s="1" t="n">
        <x:v>3</x:v>
      </x:c>
      <x:c r="D1170" s="1" t="n">
        <x:v>3</x:v>
      </x:c>
      <x:c r="E1170" s="1" t="n">
        <x:v>28</x:v>
      </x:c>
      <x:c r="F1170" s="32" t="n">
        <x:v>47134</x:v>
      </x:c>
      <x:c r="G1170" s="36" t="n">
        <x:v>0</x:v>
      </x:c>
      <x:c r="H1170" s="36" t="n">
        <x:v>0</x:v>
      </x:c>
      <x:c r="I1170" s="36" t="n">
        <x:v>0</x:v>
      </x:c>
      <x:c r="J1170" s="36" t="n">
        <x:v>0</x:v>
      </x:c>
      <x:c r="K1170" s="36" t="n">
        <x:v>0</x:v>
      </x:c>
      <x:c r="L1170" s="36" t="n">
        <x:v>0</x:v>
      </x:c>
      <x:c r="M1170" s="38" t="n">
        <x:v>2.3381245722108144</x:v>
      </x:c>
      <x:c r="N1170" s="36" t="n">
        <x:v>0</x:v>
      </x:c>
    </x:row>
    <x:row r="1171" ht="20" customHeight="1">
      <x:c r="C1171" s="1" t="n">
        <x:v>3</x:v>
      </x:c>
      <x:c r="D1171" s="1" t="n">
        <x:v>3</x:v>
      </x:c>
      <x:c r="E1171" s="1" t="n">
        <x:v>29</x:v>
      </x:c>
      <x:c r="F1171" s="32" t="n">
        <x:v>47164</x:v>
      </x:c>
      <x:c r="G1171" s="36" t="n">
        <x:v>0</x:v>
      </x:c>
      <x:c r="H1171" s="36" t="n">
        <x:v>0</x:v>
      </x:c>
      <x:c r="I1171" s="36" t="n">
        <x:v>0</x:v>
      </x:c>
      <x:c r="J1171" s="36" t="n">
        <x:v>0</x:v>
      </x:c>
      <x:c r="K1171" s="36" t="n">
        <x:v>0</x:v>
      </x:c>
      <x:c r="L1171" s="36" t="n">
        <x:v>0</x:v>
      </x:c>
      <x:c r="M1171" s="38" t="n">
        <x:v>2.4202600958247777</x:v>
      </x:c>
      <x:c r="N1171" s="36" t="n">
        <x:v>0</x:v>
      </x:c>
    </x:row>
    <x:row r="1172" ht="20" customHeight="1">
      <x:c r="C1172" s="1" t="n">
        <x:v>3</x:v>
      </x:c>
      <x:c r="D1172" s="1" t="n">
        <x:v>3</x:v>
      </x:c>
      <x:c r="E1172" s="1" t="n">
        <x:v>30</x:v>
      </x:c>
      <x:c r="F1172" s="32" t="n">
        <x:v>47192</x:v>
      </x:c>
      <x:c r="G1172" s="36" t="n">
        <x:v>0</x:v>
      </x:c>
      <x:c r="H1172" s="36" t="n">
        <x:v>0</x:v>
      </x:c>
      <x:c r="I1172" s="36" t="n">
        <x:v>0</x:v>
      </x:c>
      <x:c r="J1172" s="36" t="n">
        <x:v>0</x:v>
      </x:c>
      <x:c r="K1172" s="36" t="n">
        <x:v>0</x:v>
      </x:c>
      <x:c r="L1172" s="36" t="n">
        <x:v>0</x:v>
      </x:c>
      <x:c r="M1172" s="38" t="n">
        <x:v>2.4969199178644765</x:v>
      </x:c>
      <x:c r="N1172" s="36" t="n">
        <x:v>0</x:v>
      </x:c>
    </x:row>
    <x:row r="1173" ht="20" customHeight="1">
      <x:c r="C1173" s="1" t="n">
        <x:v>3</x:v>
      </x:c>
      <x:c r="D1173" s="1" t="n">
        <x:v>3</x:v>
      </x:c>
      <x:c r="E1173" s="1" t="n">
        <x:v>31</x:v>
      </x:c>
      <x:c r="F1173" s="32" t="n">
        <x:v>47224</x:v>
      </x:c>
      <x:c r="G1173" s="36" t="n">
        <x:v>0</x:v>
      </x:c>
      <x:c r="H1173" s="36" t="n">
        <x:v>0</x:v>
      </x:c>
      <x:c r="I1173" s="36" t="n">
        <x:v>0</x:v>
      </x:c>
      <x:c r="J1173" s="36" t="n">
        <x:v>0</x:v>
      </x:c>
      <x:c r="K1173" s="36" t="n">
        <x:v>0</x:v>
      </x:c>
      <x:c r="L1173" s="36" t="n">
        <x:v>0</x:v>
      </x:c>
      <x:c r="M1173" s="38" t="n">
        <x:v>2.5845311430527036</x:v>
      </x:c>
      <x:c r="N1173" s="36" t="n">
        <x:v>0</x:v>
      </x:c>
    </x:row>
    <x:row r="1174" ht="20" customHeight="1">
      <x:c r="C1174" s="1" t="n">
        <x:v>3</x:v>
      </x:c>
      <x:c r="D1174" s="1" t="n">
        <x:v>3</x:v>
      </x:c>
      <x:c r="E1174" s="1" t="n">
        <x:v>32</x:v>
      </x:c>
      <x:c r="F1174" s="32" t="n">
        <x:v>47253</x:v>
      </x:c>
      <x:c r="G1174" s="36" t="n">
        <x:v>0</x:v>
      </x:c>
      <x:c r="H1174" s="36" t="n">
        <x:v>0</x:v>
      </x:c>
      <x:c r="I1174" s="36" t="n">
        <x:v>0</x:v>
      </x:c>
      <x:c r="J1174" s="36" t="n">
        <x:v>0</x:v>
      </x:c>
      <x:c r="K1174" s="36" t="n">
        <x:v>0</x:v>
      </x:c>
      <x:c r="L1174" s="36" t="n">
        <x:v>0</x:v>
      </x:c>
      <x:c r="M1174" s="38" t="n">
        <x:v>2.6639288158795345</x:v>
      </x:c>
      <x:c r="N1174" s="36" t="n">
        <x:v>0</x:v>
      </x:c>
    </x:row>
    <x:row r="1175" ht="20" customHeight="1">
      <x:c r="C1175" s="1" t="n">
        <x:v>3</x:v>
      </x:c>
      <x:c r="D1175" s="1" t="n">
        <x:v>3</x:v>
      </x:c>
      <x:c r="E1175" s="1" t="n">
        <x:v>33</x:v>
      </x:c>
      <x:c r="F1175" s="32" t="n">
        <x:v>47284</x:v>
      </x:c>
      <x:c r="G1175" s="36" t="n">
        <x:v>0</x:v>
      </x:c>
      <x:c r="H1175" s="36" t="n">
        <x:v>0</x:v>
      </x:c>
      <x:c r="I1175" s="36" t="n">
        <x:v>0</x:v>
      </x:c>
      <x:c r="J1175" s="36" t="n">
        <x:v>0</x:v>
      </x:c>
      <x:c r="K1175" s="36" t="n">
        <x:v>0</x:v>
      </x:c>
      <x:c r="L1175" s="36" t="n">
        <x:v>0</x:v>
      </x:c>
      <x:c r="M1175" s="38" t="n">
        <x:v>2.74880219028063</x:v>
      </x:c>
      <x:c r="N1175" s="36" t="n">
        <x:v>0</x:v>
      </x:c>
    </x:row>
    <x:row r="1176" ht="20" customHeight="1">
      <x:c r="C1176" s="1" t="n">
        <x:v>3</x:v>
      </x:c>
      <x:c r="D1176" s="1" t="n">
        <x:v>3</x:v>
      </x:c>
      <x:c r="E1176" s="1" t="n">
        <x:v>34</x:v>
      </x:c>
      <x:c r="F1176" s="32" t="n">
        <x:v>47315</x:v>
      </x:c>
      <x:c r="G1176" s="36" t="n">
        <x:v>0</x:v>
      </x:c>
      <x:c r="H1176" s="36" t="n">
        <x:v>0</x:v>
      </x:c>
      <x:c r="I1176" s="36" t="n">
        <x:v>0</x:v>
      </x:c>
      <x:c r="J1176" s="36" t="n">
        <x:v>0</x:v>
      </x:c>
      <x:c r="K1176" s="36" t="n">
        <x:v>0</x:v>
      </x:c>
      <x:c r="L1176" s="36" t="n">
        <x:v>0</x:v>
      </x:c>
      <x:c r="M1176" s="38" t="n">
        <x:v>2.833675564681725</x:v>
      </x:c>
      <x:c r="N1176" s="36" t="n">
        <x:v>0</x:v>
      </x:c>
    </x:row>
    <x:row r="1177" ht="20" customHeight="1">
      <x:c r="C1177" s="1" t="n">
        <x:v>3</x:v>
      </x:c>
      <x:c r="D1177" s="1" t="n">
        <x:v>3</x:v>
      </x:c>
      <x:c r="E1177" s="1" t="n">
        <x:v>35</x:v>
      </x:c>
      <x:c r="F1177" s="32" t="n">
        <x:v>47345</x:v>
      </x:c>
      <x:c r="G1177" s="36" t="n">
        <x:v>0</x:v>
      </x:c>
      <x:c r="H1177" s="36" t="n">
        <x:v>0</x:v>
      </x:c>
      <x:c r="I1177" s="36" t="n">
        <x:v>0</x:v>
      </x:c>
      <x:c r="J1177" s="36" t="n">
        <x:v>0</x:v>
      </x:c>
      <x:c r="K1177" s="36" t="n">
        <x:v>0</x:v>
      </x:c>
      <x:c r="L1177" s="36" t="n">
        <x:v>0</x:v>
      </x:c>
      <x:c r="M1177" s="38" t="n">
        <x:v>2.915811088295688</x:v>
      </x:c>
      <x:c r="N1177" s="36" t="n">
        <x:v>0</x:v>
      </x:c>
    </x:row>
    <x:row r="1178" ht="20" customHeight="1">
      <x:c r="C1178" s="1" t="n">
        <x:v>3</x:v>
      </x:c>
      <x:c r="D1178" s="1" t="n">
        <x:v>3</x:v>
      </x:c>
      <x:c r="E1178" s="1" t="n">
        <x:v>36</x:v>
      </x:c>
      <x:c r="F1178" s="32" t="n">
        <x:v>47378</x:v>
      </x:c>
      <x:c r="G1178" s="36" t="n">
        <x:v>0</x:v>
      </x:c>
      <x:c r="H1178" s="36" t="n">
        <x:v>0</x:v>
      </x:c>
      <x:c r="I1178" s="36" t="n">
        <x:v>0</x:v>
      </x:c>
      <x:c r="J1178" s="36" t="n">
        <x:v>0</x:v>
      </x:c>
      <x:c r="K1178" s="36" t="n">
        <x:v>0</x:v>
      </x:c>
      <x:c r="L1178" s="36" t="n">
        <x:v>0</x:v>
      </x:c>
      <x:c r="M1178" s="38" t="n">
        <x:v>3.0061601642710474</x:v>
      </x:c>
      <x:c r="N1178" s="36" t="n">
        <x:v>0</x:v>
      </x:c>
    </x:row>
    <x:row r="1179" ht="20" customHeight="1">
      <x:c r="C1179" s="1" t="n">
        <x:v>3</x:v>
      </x:c>
      <x:c r="D1179" s="1" t="n">
        <x:v>3</x:v>
      </x:c>
      <x:c r="E1179" s="1" t="n">
        <x:v>37</x:v>
      </x:c>
      <x:c r="F1179" s="32" t="n">
        <x:v>47406</x:v>
      </x:c>
      <x:c r="G1179" s="36" t="n">
        <x:v>0</x:v>
      </x:c>
      <x:c r="H1179" s="36" t="n">
        <x:v>0</x:v>
      </x:c>
      <x:c r="I1179" s="36" t="n">
        <x:v>0</x:v>
      </x:c>
      <x:c r="J1179" s="36" t="n">
        <x:v>0</x:v>
      </x:c>
      <x:c r="K1179" s="36" t="n">
        <x:v>0</x:v>
      </x:c>
      <x:c r="L1179" s="36" t="n">
        <x:v>0</x:v>
      </x:c>
      <x:c r="M1179" s="38" t="n">
        <x:v>3.082819986310746</x:v>
      </x:c>
      <x:c r="N1179" s="36" t="n">
        <x:v>0</x:v>
      </x:c>
    </x:row>
    <x:row r="1180" ht="20" customHeight="1">
      <x:c r="C1180" s="1" t="n">
        <x:v>3</x:v>
      </x:c>
      <x:c r="D1180" s="1" t="n">
        <x:v>3</x:v>
      </x:c>
      <x:c r="E1180" s="1" t="n">
        <x:v>38</x:v>
      </x:c>
      <x:c r="F1180" s="32" t="n">
        <x:v>47437</x:v>
      </x:c>
      <x:c r="G1180" s="36" t="n">
        <x:v>0</x:v>
      </x:c>
      <x:c r="H1180" s="36" t="n">
        <x:v>0</x:v>
      </x:c>
      <x:c r="I1180" s="36" t="n">
        <x:v>0</x:v>
      </x:c>
      <x:c r="J1180" s="36" t="n">
        <x:v>0</x:v>
      </x:c>
      <x:c r="K1180" s="36" t="n">
        <x:v>0</x:v>
      </x:c>
      <x:c r="L1180" s="36" t="n">
        <x:v>0</x:v>
      </x:c>
      <x:c r="M1180" s="38" t="n">
        <x:v>3.167693360711841</x:v>
      </x:c>
      <x:c r="N1180" s="36" t="n">
        <x:v>0</x:v>
      </x:c>
    </x:row>
    <x:row r="1181" ht="20" customHeight="1">
      <x:c r="C1181" s="1" t="n">
        <x:v>3</x:v>
      </x:c>
      <x:c r="D1181" s="1" t="n">
        <x:v>3</x:v>
      </x:c>
      <x:c r="E1181" s="1" t="n">
        <x:v>39</x:v>
      </x:c>
      <x:c r="F1181" s="32" t="n">
        <x:v>47469</x:v>
      </x:c>
      <x:c r="G1181" s="36" t="n">
        <x:v>0</x:v>
      </x:c>
      <x:c r="H1181" s="36" t="n">
        <x:v>0</x:v>
      </x:c>
      <x:c r="I1181" s="36" t="n">
        <x:v>0</x:v>
      </x:c>
      <x:c r="J1181" s="36" t="n">
        <x:v>0</x:v>
      </x:c>
      <x:c r="K1181" s="36" t="n">
        <x:v>0</x:v>
      </x:c>
      <x:c r="L1181" s="36" t="n">
        <x:v>0</x:v>
      </x:c>
      <x:c r="M1181" s="38" t="n">
        <x:v>3.2553045859000687</x:v>
      </x:c>
      <x:c r="N1181" s="36" t="n">
        <x:v>0</x:v>
      </x:c>
    </x:row>
    <x:row r="1182" ht="20" customHeight="1">
      <x:c r="C1182" s="1" t="n">
        <x:v>3</x:v>
      </x:c>
      <x:c r="D1182" s="1" t="n">
        <x:v>3</x:v>
      </x:c>
      <x:c r="E1182" s="1" t="n">
        <x:v>40</x:v>
      </x:c>
      <x:c r="F1182" s="32" t="n">
        <x:v>47498</x:v>
      </x:c>
      <x:c r="G1182" s="36" t="n">
        <x:v>0</x:v>
      </x:c>
      <x:c r="H1182" s="36" t="n">
        <x:v>0</x:v>
      </x:c>
      <x:c r="I1182" s="36" t="n">
        <x:v>0</x:v>
      </x:c>
      <x:c r="J1182" s="36" t="n">
        <x:v>0</x:v>
      </x:c>
      <x:c r="K1182" s="36" t="n">
        <x:v>0</x:v>
      </x:c>
      <x:c r="L1182" s="36" t="n">
        <x:v>0</x:v>
      </x:c>
      <x:c r="M1182" s="38" t="n">
        <x:v>3.3347022587268995</x:v>
      </x:c>
      <x:c r="N1182" s="36" t="n">
        <x:v>0</x:v>
      </x:c>
    </x:row>
    <x:row r="1183" ht="20" customHeight="1">
      <x:c r="C1183" s="1" t="n">
        <x:v>3</x:v>
      </x:c>
      <x:c r="D1183" s="1" t="n">
        <x:v>3</x:v>
      </x:c>
      <x:c r="E1183" s="1" t="n">
        <x:v>41</x:v>
      </x:c>
      <x:c r="F1183" s="32" t="n">
        <x:v>47529</x:v>
      </x:c>
      <x:c r="G1183" s="36" t="n">
        <x:v>0</x:v>
      </x:c>
      <x:c r="H1183" s="36" t="n">
        <x:v>0</x:v>
      </x:c>
      <x:c r="I1183" s="36" t="n">
        <x:v>0</x:v>
      </x:c>
      <x:c r="J1183" s="36" t="n">
        <x:v>0</x:v>
      </x:c>
      <x:c r="K1183" s="36" t="n">
        <x:v>0</x:v>
      </x:c>
      <x:c r="L1183" s="36" t="n">
        <x:v>0</x:v>
      </x:c>
      <x:c r="M1183" s="38" t="n">
        <x:v>3.4195756331279945</x:v>
      </x:c>
      <x:c r="N1183" s="36" t="n">
        <x:v>0</x:v>
      </x:c>
    </x:row>
    <x:row r="1184" ht="20" customHeight="1">
      <x:c r="C1184" s="1" t="n">
        <x:v>3</x:v>
      </x:c>
      <x:c r="D1184" s="1" t="n">
        <x:v>3</x:v>
      </x:c>
      <x:c r="E1184" s="1" t="n">
        <x:v>42</x:v>
      </x:c>
      <x:c r="F1184" s="32" t="n">
        <x:v>47557</x:v>
      </x:c>
      <x:c r="G1184" s="36" t="n">
        <x:v>0</x:v>
      </x:c>
      <x:c r="H1184" s="36" t="n">
        <x:v>0</x:v>
      </x:c>
      <x:c r="I1184" s="36" t="n">
        <x:v>0</x:v>
      </x:c>
      <x:c r="J1184" s="36" t="n">
        <x:v>0</x:v>
      </x:c>
      <x:c r="K1184" s="36" t="n">
        <x:v>0</x:v>
      </x:c>
      <x:c r="L1184" s="36" t="n">
        <x:v>0</x:v>
      </x:c>
      <x:c r="M1184" s="38" t="n">
        <x:v>3.4962354551676933</x:v>
      </x:c>
      <x:c r="N1184" s="36" t="n">
        <x:v>0</x:v>
      </x:c>
    </x:row>
    <x:row r="1185" ht="20" customHeight="1">
      <x:c r="C1185" s="1" t="n">
        <x:v>3</x:v>
      </x:c>
      <x:c r="D1185" s="1" t="n">
        <x:v>3</x:v>
      </x:c>
      <x:c r="E1185" s="1" t="n">
        <x:v>43</x:v>
      </x:c>
      <x:c r="F1185" s="32" t="n">
        <x:v>47588</x:v>
      </x:c>
      <x:c r="G1185" s="36" t="n">
        <x:v>0</x:v>
      </x:c>
      <x:c r="H1185" s="36" t="n">
        <x:v>0</x:v>
      </x:c>
      <x:c r="I1185" s="36" t="n">
        <x:v>0</x:v>
      </x:c>
      <x:c r="J1185" s="36" t="n">
        <x:v>0</x:v>
      </x:c>
      <x:c r="K1185" s="36" t="n">
        <x:v>0</x:v>
      </x:c>
      <x:c r="L1185" s="36" t="n">
        <x:v>0</x:v>
      </x:c>
      <x:c r="M1185" s="38" t="n">
        <x:v>3.5811088295687883</x:v>
      </x:c>
      <x:c r="N1185" s="36" t="n">
        <x:v>0</x:v>
      </x:c>
    </x:row>
    <x:row r="1186" ht="20" customHeight="1">
      <x:c r="C1186" s="1" t="n">
        <x:v>3</x:v>
      </x:c>
      <x:c r="D1186" s="1" t="n">
        <x:v>3</x:v>
      </x:c>
      <x:c r="E1186" s="1" t="n">
        <x:v>44</x:v>
      </x:c>
      <x:c r="F1186" s="32" t="n">
        <x:v>47618</x:v>
      </x:c>
      <x:c r="G1186" s="36" t="n">
        <x:v>0</x:v>
      </x:c>
      <x:c r="H1186" s="36" t="n">
        <x:v>0</x:v>
      </x:c>
      <x:c r="I1186" s="36" t="n">
        <x:v>0</x:v>
      </x:c>
      <x:c r="J1186" s="36" t="n">
        <x:v>0</x:v>
      </x:c>
      <x:c r="K1186" s="36" t="n">
        <x:v>0</x:v>
      </x:c>
      <x:c r="L1186" s="36" t="n">
        <x:v>0</x:v>
      </x:c>
      <x:c r="M1186" s="38" t="n">
        <x:v>3.6632443531827517</x:v>
      </x:c>
      <x:c r="N1186" s="36" t="n">
        <x:v>0</x:v>
      </x:c>
    </x:row>
    <x:row r="1187" ht="20" customHeight="1">
      <x:c r="C1187" s="1" t="n">
        <x:v>3</x:v>
      </x:c>
      <x:c r="D1187" s="1" t="n">
        <x:v>3</x:v>
      </x:c>
      <x:c r="E1187" s="1" t="n">
        <x:v>45</x:v>
      </x:c>
      <x:c r="F1187" s="32" t="n">
        <x:v>47651</x:v>
      </x:c>
      <x:c r="G1187" s="36" t="n">
        <x:v>0</x:v>
      </x:c>
      <x:c r="H1187" s="36" t="n">
        <x:v>0</x:v>
      </x:c>
      <x:c r="I1187" s="36" t="n">
        <x:v>0</x:v>
      </x:c>
      <x:c r="J1187" s="36" t="n">
        <x:v>0</x:v>
      </x:c>
      <x:c r="K1187" s="36" t="n">
        <x:v>0</x:v>
      </x:c>
      <x:c r="L1187" s="36" t="n">
        <x:v>0</x:v>
      </x:c>
      <x:c r="M1187" s="38" t="n">
        <x:v>3.753593429158111</x:v>
      </x:c>
      <x:c r="N1187" s="36" t="n">
        <x:v>0</x:v>
      </x:c>
    </x:row>
    <x:row r="1188" ht="20" customHeight="1">
      <x:c r="C1188" s="1" t="n">
        <x:v>3</x:v>
      </x:c>
      <x:c r="D1188" s="1" t="n">
        <x:v>3</x:v>
      </x:c>
      <x:c r="E1188" s="1" t="n">
        <x:v>46</x:v>
      </x:c>
      <x:c r="F1188" s="32" t="n">
        <x:v>47679</x:v>
      </x:c>
      <x:c r="G1188" s="36" t="n">
        <x:v>0</x:v>
      </x:c>
      <x:c r="H1188" s="36" t="n">
        <x:v>0</x:v>
      </x:c>
      <x:c r="I1188" s="36" t="n">
        <x:v>0</x:v>
      </x:c>
      <x:c r="J1188" s="36" t="n">
        <x:v>0</x:v>
      </x:c>
      <x:c r="K1188" s="36" t="n">
        <x:v>0</x:v>
      </x:c>
      <x:c r="L1188" s="36" t="n">
        <x:v>0</x:v>
      </x:c>
      <x:c r="M1188" s="38" t="n">
        <x:v>3.8302532511978096</x:v>
      </x:c>
      <x:c r="N1188" s="36" t="n">
        <x:v>0</x:v>
      </x:c>
    </x:row>
    <x:row r="1189" ht="20" customHeight="1">
      <x:c r="C1189" s="1" t="n">
        <x:v>3</x:v>
      </x:c>
      <x:c r="D1189" s="1" t="n">
        <x:v>3</x:v>
      </x:c>
      <x:c r="E1189" s="1" t="n">
        <x:v>47</x:v>
      </x:c>
      <x:c r="F1189" s="32" t="n">
        <x:v>47710</x:v>
      </x:c>
      <x:c r="G1189" s="36" t="n">
        <x:v>0</x:v>
      </x:c>
      <x:c r="H1189" s="36" t="n">
        <x:v>0</x:v>
      </x:c>
      <x:c r="I1189" s="36" t="n">
        <x:v>0</x:v>
      </x:c>
      <x:c r="J1189" s="36" t="n">
        <x:v>0</x:v>
      </x:c>
      <x:c r="K1189" s="36" t="n">
        <x:v>0</x:v>
      </x:c>
      <x:c r="L1189" s="36" t="n">
        <x:v>0</x:v>
      </x:c>
      <x:c r="M1189" s="38" t="n">
        <x:v>3.915126625598905</x:v>
      </x:c>
      <x:c r="N1189" s="36" t="n">
        <x:v>0</x:v>
      </x:c>
    </x:row>
    <x:row r="1190" ht="20" customHeight="1">
      <x:c r="C1190" s="1" t="n">
        <x:v>3</x:v>
      </x:c>
      <x:c r="D1190" s="1" t="n">
        <x:v>3</x:v>
      </x:c>
      <x:c r="E1190" s="1" t="n">
        <x:v>48</x:v>
      </x:c>
      <x:c r="F1190" s="32" t="n">
        <x:v>47742</x:v>
      </x:c>
      <x:c r="G1190" s="36" t="n">
        <x:v>0</x:v>
      </x:c>
      <x:c r="H1190" s="36" t="n">
        <x:v>0</x:v>
      </x:c>
      <x:c r="I1190" s="36" t="n">
        <x:v>0</x:v>
      </x:c>
      <x:c r="J1190" s="36" t="n">
        <x:v>0</x:v>
      </x:c>
      <x:c r="K1190" s="36" t="n">
        <x:v>0</x:v>
      </x:c>
      <x:c r="L1190" s="36" t="n">
        <x:v>0</x:v>
      </x:c>
      <x:c r="M1190" s="38" t="n">
        <x:v>4.002737850787132</x:v>
      </x:c>
      <x:c r="N1190" s="36" t="n">
        <x:v>0</x:v>
      </x:c>
    </x:row>
    <x:row r="1191" ht="20" customHeight="1">
      <x:c r="C1191" s="1" t="n">
        <x:v>3</x:v>
      </x:c>
      <x:c r="D1191" s="1" t="n">
        <x:v>3</x:v>
      </x:c>
      <x:c r="E1191" s="1" t="n">
        <x:v>49</x:v>
      </x:c>
      <x:c r="F1191" s="32" t="n">
        <x:v>47771</x:v>
      </x:c>
      <x:c r="G1191" s="36" t="n">
        <x:v>0</x:v>
      </x:c>
      <x:c r="H1191" s="36" t="n">
        <x:v>0</x:v>
      </x:c>
      <x:c r="I1191" s="36" t="n">
        <x:v>0</x:v>
      </x:c>
      <x:c r="J1191" s="36" t="n">
        <x:v>0</x:v>
      </x:c>
      <x:c r="K1191" s="36" t="n">
        <x:v>0</x:v>
      </x:c>
      <x:c r="L1191" s="36" t="n">
        <x:v>0</x:v>
      </x:c>
      <x:c r="M1191" s="38" t="n">
        <x:v>4.082135523613963</x:v>
      </x:c>
      <x:c r="N1191" s="36" t="n">
        <x:v>0</x:v>
      </x:c>
    </x:row>
    <x:row r="1192" ht="20" customHeight="1">
      <x:c r="C1192" s="1" t="n">
        <x:v>3</x:v>
      </x:c>
      <x:c r="D1192" s="1" t="n">
        <x:v>3</x:v>
      </x:c>
      <x:c r="E1192" s="1" t="n">
        <x:v>50</x:v>
      </x:c>
      <x:c r="F1192" s="32" t="n">
        <x:v>47802</x:v>
      </x:c>
      <x:c r="G1192" s="36" t="n">
        <x:v>0</x:v>
      </x:c>
      <x:c r="H1192" s="36" t="n">
        <x:v>0</x:v>
      </x:c>
      <x:c r="I1192" s="36" t="n">
        <x:v>0</x:v>
      </x:c>
      <x:c r="J1192" s="36" t="n">
        <x:v>0</x:v>
      </x:c>
      <x:c r="K1192" s="36" t="n">
        <x:v>0</x:v>
      </x:c>
      <x:c r="L1192" s="36" t="n">
        <x:v>0</x:v>
      </x:c>
      <x:c r="M1192" s="38" t="n">
        <x:v>4.167008898015058</x:v>
      </x:c>
      <x:c r="N1192" s="36" t="n">
        <x:v>0</x:v>
      </x:c>
    </x:row>
    <x:row r="1193" ht="20" customHeight="1">
      <x:c r="C1193" s="1" t="n">
        <x:v>3</x:v>
      </x:c>
      <x:c r="D1193" s="1" t="n">
        <x:v>3</x:v>
      </x:c>
      <x:c r="E1193" s="1" t="n">
        <x:v>51</x:v>
      </x:c>
      <x:c r="F1193" s="32" t="n">
        <x:v>47833</x:v>
      </x:c>
      <x:c r="G1193" s="36" t="n">
        <x:v>0</x:v>
      </x:c>
      <x:c r="H1193" s="36" t="n">
        <x:v>0</x:v>
      </x:c>
      <x:c r="I1193" s="36" t="n">
        <x:v>0</x:v>
      </x:c>
      <x:c r="J1193" s="36" t="n">
        <x:v>0</x:v>
      </x:c>
      <x:c r="K1193" s="36" t="n">
        <x:v>0</x:v>
      </x:c>
      <x:c r="L1193" s="36" t="n">
        <x:v>0</x:v>
      </x:c>
      <x:c r="M1193" s="38" t="n">
        <x:v>4.251882272416153</x:v>
      </x:c>
      <x:c r="N1193" s="36" t="n">
        <x:v>0</x:v>
      </x:c>
    </x:row>
    <x:row r="1194" ht="20" customHeight="1">
      <x:c r="C1194" s="1" t="n">
        <x:v>3</x:v>
      </x:c>
      <x:c r="D1194" s="1" t="n">
        <x:v>3</x:v>
      </x:c>
      <x:c r="E1194" s="1" t="n">
        <x:v>52</x:v>
      </x:c>
      <x:c r="F1194" s="32" t="n">
        <x:v>47863</x:v>
      </x:c>
      <x:c r="G1194" s="36" t="n">
        <x:v>0</x:v>
      </x:c>
      <x:c r="H1194" s="36" t="n">
        <x:v>0</x:v>
      </x:c>
      <x:c r="I1194" s="36" t="n">
        <x:v>0</x:v>
      </x:c>
      <x:c r="J1194" s="36" t="n">
        <x:v>0</x:v>
      </x:c>
      <x:c r="K1194" s="36" t="n">
        <x:v>0</x:v>
      </x:c>
      <x:c r="L1194" s="36" t="n">
        <x:v>0</x:v>
      </x:c>
      <x:c r="M1194" s="38" t="n">
        <x:v>4.334017796030117</x:v>
      </x:c>
      <x:c r="N1194" s="36" t="n">
        <x:v>0</x:v>
      </x:c>
    </x:row>
    <x:row r="1195" ht="20" customHeight="1">
      <x:c r="C1195" s="1" t="n">
        <x:v>3</x:v>
      </x:c>
      <x:c r="D1195" s="1" t="n">
        <x:v>3</x:v>
      </x:c>
      <x:c r="E1195" s="1" t="n">
        <x:v>53</x:v>
      </x:c>
      <x:c r="F1195" s="32" t="n">
        <x:v>47897</x:v>
      </x:c>
      <x:c r="G1195" s="36" t="n">
        <x:v>0</x:v>
      </x:c>
      <x:c r="H1195" s="36" t="n">
        <x:v>0</x:v>
      </x:c>
      <x:c r="I1195" s="36" t="n">
        <x:v>0</x:v>
      </x:c>
      <x:c r="J1195" s="36" t="n">
        <x:v>0</x:v>
      </x:c>
      <x:c r="K1195" s="36" t="n">
        <x:v>0</x:v>
      </x:c>
      <x:c r="L1195" s="36" t="n">
        <x:v>0</x:v>
      </x:c>
      <x:c r="M1195" s="38" t="n">
        <x:v>4.427104722792608</x:v>
      </x:c>
      <x:c r="N1195" s="36" t="n">
        <x:v>0</x:v>
      </x:c>
    </x:row>
    <x:row r="1196" ht="20" customHeight="1">
      <x:c r="C1196" s="1" t="n">
        <x:v>3</x:v>
      </x:c>
      <x:c r="D1196" s="1" t="n">
        <x:v>3</x:v>
      </x:c>
      <x:c r="E1196" s="1" t="n">
        <x:v>54</x:v>
      </x:c>
      <x:c r="F1196" s="32" t="n">
        <x:v>47924</x:v>
      </x:c>
      <x:c r="G1196" s="36" t="n">
        <x:v>0</x:v>
      </x:c>
      <x:c r="H1196" s="36" t="n">
        <x:v>0</x:v>
      </x:c>
      <x:c r="I1196" s="36" t="n">
        <x:v>0</x:v>
      </x:c>
      <x:c r="J1196" s="36" t="n">
        <x:v>0</x:v>
      </x:c>
      <x:c r="K1196" s="36" t="n">
        <x:v>0</x:v>
      </x:c>
      <x:c r="L1196" s="36" t="n">
        <x:v>0</x:v>
      </x:c>
      <x:c r="M1196" s="38" t="n">
        <x:v>4.501026694045175</x:v>
      </x:c>
      <x:c r="N1196" s="36" t="n">
        <x:v>0</x:v>
      </x:c>
    </x:row>
    <x:row r="1197" ht="20" customHeight="1">
      <x:c r="C1197" s="1" t="n">
        <x:v>3</x:v>
      </x:c>
      <x:c r="D1197" s="1" t="n">
        <x:v>3</x:v>
      </x:c>
      <x:c r="E1197" s="1" t="n">
        <x:v>55</x:v>
      </x:c>
      <x:c r="F1197" s="32" t="n">
        <x:v>47953</x:v>
      </x:c>
      <x:c r="G1197" s="36" t="n">
        <x:v>0</x:v>
      </x:c>
      <x:c r="H1197" s="36" t="n">
        <x:v>0</x:v>
      </x:c>
      <x:c r="I1197" s="36" t="n">
        <x:v>0</x:v>
      </x:c>
      <x:c r="J1197" s="36" t="n">
        <x:v>0</x:v>
      </x:c>
      <x:c r="K1197" s="36" t="n">
        <x:v>0</x:v>
      </x:c>
      <x:c r="L1197" s="36" t="n">
        <x:v>0</x:v>
      </x:c>
      <x:c r="M1197" s="38" t="n">
        <x:v>4.5804243668720055</x:v>
      </x:c>
      <x:c r="N1197" s="36" t="n">
        <x:v>0</x:v>
      </x:c>
    </x:row>
    <x:row r="1198" ht="20" customHeight="1">
      <x:c r="C1198" s="1" t="n">
        <x:v>3</x:v>
      </x:c>
      <x:c r="D1198" s="1" t="n">
        <x:v>3</x:v>
      </x:c>
      <x:c r="E1198" s="1" t="n">
        <x:v>56</x:v>
      </x:c>
      <x:c r="F1198" s="32" t="n">
        <x:v>47983</x:v>
      </x:c>
      <x:c r="G1198" s="36" t="n">
        <x:v>0</x:v>
      </x:c>
      <x:c r="H1198" s="36" t="n">
        <x:v>0</x:v>
      </x:c>
      <x:c r="I1198" s="36" t="n">
        <x:v>0</x:v>
      </x:c>
      <x:c r="J1198" s="36" t="n">
        <x:v>0</x:v>
      </x:c>
      <x:c r="K1198" s="36" t="n">
        <x:v>0</x:v>
      </x:c>
      <x:c r="L1198" s="36" t="n">
        <x:v>0</x:v>
      </x:c>
      <x:c r="M1198" s="38" t="n">
        <x:v>4.662559890485968</x:v>
      </x:c>
      <x:c r="N1198" s="36" t="n">
        <x:v>0</x:v>
      </x:c>
    </x:row>
    <x:row r="1199" ht="20" customHeight="1">
      <x:c r="C1199" s="1" t="n">
        <x:v>3</x:v>
      </x:c>
      <x:c r="D1199" s="1" t="n">
        <x:v>3</x:v>
      </x:c>
      <x:c r="E1199" s="1" t="n">
        <x:v>57</x:v>
      </x:c>
      <x:c r="F1199" s="32" t="n">
        <x:v>48015</x:v>
      </x:c>
      <x:c r="G1199" s="36" t="n">
        <x:v>0</x:v>
      </x:c>
      <x:c r="H1199" s="36" t="n">
        <x:v>0</x:v>
      </x:c>
      <x:c r="I1199" s="36" t="n">
        <x:v>0</x:v>
      </x:c>
      <x:c r="J1199" s="36" t="n">
        <x:v>0</x:v>
      </x:c>
      <x:c r="K1199" s="36" t="n">
        <x:v>0</x:v>
      </x:c>
      <x:c r="L1199" s="36" t="n">
        <x:v>0</x:v>
      </x:c>
      <x:c r="M1199" s="38" t="n">
        <x:v>4.7501711156741955</x:v>
      </x:c>
      <x:c r="N1199" s="36" t="n">
        <x:v>0</x:v>
      </x:c>
    </x:row>
    <x:row r="1200" ht="20" customHeight="1">
      <x:c r="C1200" s="1" t="n">
        <x:v>3</x:v>
      </x:c>
      <x:c r="D1200" s="1" t="n">
        <x:v>3</x:v>
      </x:c>
      <x:c r="E1200" s="1" t="n">
        <x:v>58</x:v>
      </x:c>
      <x:c r="F1200" s="32" t="n">
        <x:v>48044</x:v>
      </x:c>
      <x:c r="G1200" s="36" t="n">
        <x:v>0</x:v>
      </x:c>
      <x:c r="H1200" s="36" t="n">
        <x:v>0</x:v>
      </x:c>
      <x:c r="I1200" s="36" t="n">
        <x:v>0</x:v>
      </x:c>
      <x:c r="J1200" s="36" t="n">
        <x:v>0</x:v>
      </x:c>
      <x:c r="K1200" s="36" t="n">
        <x:v>0</x:v>
      </x:c>
      <x:c r="L1200" s="36" t="n">
        <x:v>0</x:v>
      </x:c>
      <x:c r="M1200" s="38" t="n">
        <x:v>4.829568788501026</x:v>
      </x:c>
      <x:c r="N1200" s="36" t="n">
        <x:v>0</x:v>
      </x:c>
    </x:row>
    <x:row r="1201" ht="20" customHeight="1">
      <x:c r="C1201" s="1" t="n">
        <x:v>3</x:v>
      </x:c>
      <x:c r="D1201" s="1" t="n">
        <x:v>3</x:v>
      </x:c>
      <x:c r="E1201" s="1" t="n">
        <x:v>59</x:v>
      </x:c>
      <x:c r="F1201" s="32" t="n">
        <x:v>48075</x:v>
      </x:c>
      <x:c r="G1201" s="36" t="n">
        <x:v>0</x:v>
      </x:c>
      <x:c r="H1201" s="36" t="n">
        <x:v>0</x:v>
      </x:c>
      <x:c r="I1201" s="36" t="n">
        <x:v>0</x:v>
      </x:c>
      <x:c r="J1201" s="36" t="n">
        <x:v>0</x:v>
      </x:c>
      <x:c r="K1201" s="36" t="n">
        <x:v>0</x:v>
      </x:c>
      <x:c r="L1201" s="36" t="n">
        <x:v>0</x:v>
      </x:c>
      <x:c r="M1201" s="38" t="n">
        <x:v>4.914442162902122</x:v>
      </x:c>
      <x:c r="N1201" s="36" t="n">
        <x:v>0</x:v>
      </x:c>
    </x:row>
    <x:row r="1202" ht="20" customHeight="1">
      <x:c r="C1202" s="1" t="n">
        <x:v>3</x:v>
      </x:c>
      <x:c r="D1202" s="1" t="n">
        <x:v>3</x:v>
      </x:c>
      <x:c r="E1202" s="1" t="n">
        <x:v>60</x:v>
      </x:c>
      <x:c r="F1202" s="32" t="n">
        <x:v>48106</x:v>
      </x:c>
      <x:c r="G1202" s="36" t="n">
        <x:v>0</x:v>
      </x:c>
      <x:c r="H1202" s="36" t="n">
        <x:v>0</x:v>
      </x:c>
      <x:c r="I1202" s="36" t="n">
        <x:v>0</x:v>
      </x:c>
      <x:c r="J1202" s="36" t="n">
        <x:v>0</x:v>
      </x:c>
      <x:c r="K1202" s="36" t="n">
        <x:v>0</x:v>
      </x:c>
      <x:c r="L1202" s="36" t="n">
        <x:v>0</x:v>
      </x:c>
      <x:c r="M1202" s="38" t="n">
        <x:v>4.999315537303217</x:v>
      </x:c>
      <x:c r="N1202" s="36" t="n">
        <x:v>0</x:v>
      </x:c>
    </x:row>
    <x:row r="1203" ht="20" customHeight="1">
      <x:c r="C1203" s="1" t="n">
        <x:v>3</x:v>
      </x:c>
      <x:c r="D1203" s="1" t="n">
        <x:v>3</x:v>
      </x:c>
      <x:c r="E1203" s="1" t="n">
        <x:v>61</x:v>
      </x:c>
      <x:c r="F1203" s="32" t="n">
        <x:v>48136</x:v>
      </x:c>
      <x:c r="G1203" s="36" t="n">
        <x:v>0</x:v>
      </x:c>
      <x:c r="H1203" s="36" t="n">
        <x:v>0</x:v>
      </x:c>
      <x:c r="I1203" s="36" t="n">
        <x:v>0</x:v>
      </x:c>
      <x:c r="J1203" s="36" t="n">
        <x:v>0</x:v>
      </x:c>
      <x:c r="K1203" s="36" t="n">
        <x:v>0</x:v>
      </x:c>
      <x:c r="L1203" s="36" t="n">
        <x:v>0</x:v>
      </x:c>
      <x:c r="M1203" s="38" t="n">
        <x:v>5.08145106091718</x:v>
      </x:c>
      <x:c r="N1203" s="36" t="n">
        <x:v>0</x:v>
      </x:c>
    </x:row>
    <x:row r="1204" ht="20" customHeight="1">
      <x:c r="C1204" s="1" t="n">
        <x:v>3</x:v>
      </x:c>
      <x:c r="D1204" s="1" t="n">
        <x:v>3</x:v>
      </x:c>
      <x:c r="E1204" s="1" t="n">
        <x:v>62</x:v>
      </x:c>
      <x:c r="F1204" s="32" t="n">
        <x:v>48169</x:v>
      </x:c>
      <x:c r="G1204" s="36" t="n">
        <x:v>0</x:v>
      </x:c>
      <x:c r="H1204" s="36" t="n">
        <x:v>0</x:v>
      </x:c>
      <x:c r="I1204" s="36" t="n">
        <x:v>0</x:v>
      </x:c>
      <x:c r="J1204" s="36" t="n">
        <x:v>0</x:v>
      </x:c>
      <x:c r="K1204" s="36" t="n">
        <x:v>0</x:v>
      </x:c>
      <x:c r="L1204" s="36" t="n">
        <x:v>0</x:v>
      </x:c>
      <x:c r="M1204" s="38" t="n">
        <x:v>5.171800136892539</x:v>
      </x:c>
      <x:c r="N1204" s="36" t="n">
        <x:v>0</x:v>
      </x:c>
    </x:row>
    <x:row r="1205" ht="20" customHeight="1">
      <x:c r="C1205" s="1" t="n">
        <x:v>3</x:v>
      </x:c>
      <x:c r="D1205" s="1" t="n">
        <x:v>3</x:v>
      </x:c>
      <x:c r="E1205" s="1" t="n">
        <x:v>63</x:v>
      </x:c>
      <x:c r="F1205" s="32" t="n">
        <x:v>48197</x:v>
      </x:c>
      <x:c r="G1205" s="36" t="n">
        <x:v>0</x:v>
      </x:c>
      <x:c r="H1205" s="36" t="n">
        <x:v>0</x:v>
      </x:c>
      <x:c r="I1205" s="36" t="n">
        <x:v>0</x:v>
      </x:c>
      <x:c r="J1205" s="36" t="n">
        <x:v>0</x:v>
      </x:c>
      <x:c r="K1205" s="36" t="n">
        <x:v>0</x:v>
      </x:c>
      <x:c r="L1205" s="36" t="n">
        <x:v>0</x:v>
      </x:c>
      <x:c r="M1205" s="38" t="n">
        <x:v>5.248459958932238</x:v>
      </x:c>
      <x:c r="N1205" s="36" t="n">
        <x:v>0</x:v>
      </x:c>
    </x:row>
    <x:row r="1206" ht="20" customHeight="1">
      <x:c r="C1206" s="1" t="n">
        <x:v>3</x:v>
      </x:c>
      <x:c r="D1206" s="1" t="n">
        <x:v>3</x:v>
      </x:c>
      <x:c r="E1206" s="1" t="n">
        <x:v>64</x:v>
      </x:c>
      <x:c r="F1206" s="32" t="n">
        <x:v>48228</x:v>
      </x:c>
      <x:c r="G1206" s="36" t="n">
        <x:v>0</x:v>
      </x:c>
      <x:c r="H1206" s="36" t="n">
        <x:v>0</x:v>
      </x:c>
      <x:c r="I1206" s="36" t="n">
        <x:v>0</x:v>
      </x:c>
      <x:c r="J1206" s="36" t="n">
        <x:v>0</x:v>
      </x:c>
      <x:c r="K1206" s="36" t="n">
        <x:v>0</x:v>
      </x:c>
      <x:c r="L1206" s="36" t="n">
        <x:v>0</x:v>
      </x:c>
      <x:c r="M1206" s="38" t="n">
        <x:v>5.333333333333333</x:v>
      </x:c>
      <x:c r="N1206" s="36" t="n">
        <x:v>0</x:v>
      </x:c>
    </x:row>
    <x:row r="1207" ht="20" customHeight="1">
      <x:c r="C1207" s="1" t="n">
        <x:v>3</x:v>
      </x:c>
      <x:c r="D1207" s="1" t="n">
        <x:v>3</x:v>
      </x:c>
      <x:c r="E1207" s="1" t="n">
        <x:v>65</x:v>
      </x:c>
      <x:c r="F1207" s="32" t="n">
        <x:v>48261</x:v>
      </x:c>
      <x:c r="G1207" s="36" t="n">
        <x:v>0</x:v>
      </x:c>
      <x:c r="H1207" s="36" t="n">
        <x:v>0</x:v>
      </x:c>
      <x:c r="I1207" s="36" t="n">
        <x:v>0</x:v>
      </x:c>
      <x:c r="J1207" s="36" t="n">
        <x:v>0</x:v>
      </x:c>
      <x:c r="K1207" s="36" t="n">
        <x:v>0</x:v>
      </x:c>
      <x:c r="L1207" s="36" t="n">
        <x:v>0</x:v>
      </x:c>
      <x:c r="M1207" s="38" t="n">
        <x:v>5.423682409308693</x:v>
      </x:c>
      <x:c r="N1207" s="36" t="n">
        <x:v>0</x:v>
      </x:c>
    </x:row>
    <x:row r="1208" ht="20" customHeight="1">
      <x:c r="C1208" s="1" t="n">
        <x:v>3</x:v>
      </x:c>
      <x:c r="D1208" s="1" t="n">
        <x:v>3</x:v>
      </x:c>
      <x:c r="E1208" s="1" t="n">
        <x:v>66</x:v>
      </x:c>
      <x:c r="F1208" s="32" t="n">
        <x:v>48288</x:v>
      </x:c>
      <x:c r="G1208" s="36" t="n">
        <x:v>0</x:v>
      </x:c>
      <x:c r="H1208" s="36" t="n">
        <x:v>0</x:v>
      </x:c>
      <x:c r="I1208" s="36" t="n">
        <x:v>0</x:v>
      </x:c>
      <x:c r="J1208" s="36" t="n">
        <x:v>0</x:v>
      </x:c>
      <x:c r="K1208" s="36" t="n">
        <x:v>0</x:v>
      </x:c>
      <x:c r="L1208" s="36" t="n">
        <x:v>0</x:v>
      </x:c>
      <x:c r="M1208" s="38" t="n">
        <x:v>5.49760438056126</x:v>
      </x:c>
      <x:c r="N1208" s="36" t="n">
        <x:v>0</x:v>
      </x:c>
    </x:row>
    <x:row r="1209" ht="20" customHeight="1">
      <x:c r="C1209" s="1" t="n">
        <x:v>3</x:v>
      </x:c>
      <x:c r="D1209" s="1" t="n">
        <x:v>3</x:v>
      </x:c>
      <x:c r="E1209" s="1" t="n">
        <x:v>67</x:v>
      </x:c>
      <x:c r="F1209" s="32" t="n">
        <x:v>48319</x:v>
      </x:c>
      <x:c r="G1209" s="36" t="n">
        <x:v>0</x:v>
      </x:c>
      <x:c r="H1209" s="36" t="n">
        <x:v>0</x:v>
      </x:c>
      <x:c r="I1209" s="36" t="n">
        <x:v>0</x:v>
      </x:c>
      <x:c r="J1209" s="36" t="n">
        <x:v>0</x:v>
      </x:c>
      <x:c r="K1209" s="36" t="n">
        <x:v>0</x:v>
      </x:c>
      <x:c r="L1209" s="36" t="n">
        <x:v>0</x:v>
      </x:c>
      <x:c r="M1209" s="38" t="n">
        <x:v>5.582477754962355</x:v>
      </x:c>
      <x:c r="N1209" s="36" t="n">
        <x:v>0</x:v>
      </x:c>
    </x:row>
    <x:row r="1210" ht="20" customHeight="1">
      <x:c r="C1210" s="1" t="n">
        <x:v>3</x:v>
      </x:c>
      <x:c r="D1210" s="1" t="n">
        <x:v>4</x:v>
      </x:c>
      <x:c r="E1210" s="1" t="n">
        <x:v>1</x:v>
      </x:c>
      <x:c r="F1210" s="32" t="n">
        <x:v>46310</x:v>
      </x:c>
      <x:c r="G1210" s="36" t="n">
        <x:v>452100000</x:v>
      </x:c>
      <x:c r="H1210" s="36" t="n">
        <x:v>1687840</x:v>
      </x:c>
      <x:c r="I1210" s="36" t="n">
        <x:v>0</x:v>
      </x:c>
      <x:c r="J1210" s="36" t="n">
        <x:v>0</x:v>
      </x:c>
      <x:c r="K1210" s="36" t="n">
        <x:v>452100000</x:v>
      </x:c>
      <x:c r="L1210" s="36" t="n">
        <x:v>0</x:v>
      </x:c>
      <x:c r="M1210" s="38" t="n">
        <x:v>0.08213552361396304</x:v>
      </x:c>
      <x:c r="N1210" s="36" t="n">
        <x:v>452100000</x:v>
      </x:c>
    </x:row>
    <x:row r="1211" ht="20" customHeight="1">
      <x:c r="C1211" s="1" t="n">
        <x:v>3</x:v>
      </x:c>
      <x:c r="D1211" s="1" t="n">
        <x:v>4</x:v>
      </x:c>
      <x:c r="E1211" s="1" t="n">
        <x:v>2</x:v>
      </x:c>
      <x:c r="F1211" s="32" t="n">
        <x:v>46342</x:v>
      </x:c>
      <x:c r="G1211" s="36" t="n">
        <x:v>452100000</x:v>
      </x:c>
      <x:c r="H1211" s="36" t="n">
        <x:v>1687840</x:v>
      </x:c>
      <x:c r="I1211" s="36" t="n">
        <x:v>0</x:v>
      </x:c>
      <x:c r="J1211" s="36" t="n">
        <x:v>0</x:v>
      </x:c>
      <x:c r="K1211" s="36" t="n">
        <x:v>452100000</x:v>
      </x:c>
      <x:c r="L1211" s="36" t="n">
        <x:v>0</x:v>
      </x:c>
      <x:c r="M1211" s="38" t="n">
        <x:v>0.1697467488021903</x:v>
      </x:c>
      <x:c r="N1211" s="36" t="n">
        <x:v>452100000</x:v>
      </x:c>
    </x:row>
    <x:row r="1212" ht="20" customHeight="1">
      <x:c r="C1212" s="1" t="n">
        <x:v>3</x:v>
      </x:c>
      <x:c r="D1212" s="1" t="n">
        <x:v>4</x:v>
      </x:c>
      <x:c r="E1212" s="1" t="n">
        <x:v>3</x:v>
      </x:c>
      <x:c r="F1212" s="32" t="n">
        <x:v>46371</x:v>
      </x:c>
      <x:c r="G1212" s="36" t="n">
        <x:v>452100000</x:v>
      </x:c>
      <x:c r="H1212" s="36" t="n">
        <x:v>1687840</x:v>
      </x:c>
      <x:c r="I1212" s="36" t="n">
        <x:v>0</x:v>
      </x:c>
      <x:c r="J1212" s="36" t="n">
        <x:v>0</x:v>
      </x:c>
      <x:c r="K1212" s="36" t="n">
        <x:v>452100000</x:v>
      </x:c>
      <x:c r="L1212" s="36" t="n">
        <x:v>0</x:v>
      </x:c>
      <x:c r="M1212" s="38" t="n">
        <x:v>0.24914442162902123</x:v>
      </x:c>
      <x:c r="N1212" s="36" t="n">
        <x:v>452100000</x:v>
      </x:c>
    </x:row>
    <x:row r="1213" ht="20" customHeight="1">
      <x:c r="C1213" s="1" t="n">
        <x:v>3</x:v>
      </x:c>
      <x:c r="D1213" s="1" t="n">
        <x:v>4</x:v>
      </x:c>
      <x:c r="E1213" s="1" t="n">
        <x:v>4</x:v>
      </x:c>
      <x:c r="F1213" s="32" t="n">
        <x:v>46402</x:v>
      </x:c>
      <x:c r="G1213" s="36" t="n">
        <x:v>452100000</x:v>
      </x:c>
      <x:c r="H1213" s="36" t="n">
        <x:v>1687840</x:v>
      </x:c>
      <x:c r="I1213" s="36" t="n">
        <x:v>0</x:v>
      </x:c>
      <x:c r="J1213" s="36" t="n">
        <x:v>0</x:v>
      </x:c>
      <x:c r="K1213" s="36" t="n">
        <x:v>452100000</x:v>
      </x:c>
      <x:c r="L1213" s="36" t="n">
        <x:v>0</x:v>
      </x:c>
      <x:c r="M1213" s="38" t="n">
        <x:v>0.33401779603011633</x:v>
      </x:c>
      <x:c r="N1213" s="36" t="n">
        <x:v>452100000</x:v>
      </x:c>
    </x:row>
    <x:row r="1214" ht="20" customHeight="1">
      <x:c r="C1214" s="1" t="n">
        <x:v>3</x:v>
      </x:c>
      <x:c r="D1214" s="1" t="n">
        <x:v>4</x:v>
      </x:c>
      <x:c r="E1214" s="1" t="n">
        <x:v>5</x:v>
      </x:c>
      <x:c r="F1214" s="32" t="n">
        <x:v>46434</x:v>
      </x:c>
      <x:c r="G1214" s="36" t="n">
        <x:v>452100000</x:v>
      </x:c>
      <x:c r="H1214" s="36" t="n">
        <x:v>1687840</x:v>
      </x:c>
      <x:c r="I1214" s="36" t="n">
        <x:v>0</x:v>
      </x:c>
      <x:c r="J1214" s="36" t="n">
        <x:v>0</x:v>
      </x:c>
      <x:c r="K1214" s="36" t="n">
        <x:v>452100000</x:v>
      </x:c>
      <x:c r="L1214" s="36" t="n">
        <x:v>0</x:v>
      </x:c>
      <x:c r="M1214" s="38" t="n">
        <x:v>0.4216290212183436</x:v>
      </x:c>
      <x:c r="N1214" s="36" t="n">
        <x:v>452100000</x:v>
      </x:c>
    </x:row>
    <x:row r="1215" ht="20" customHeight="1">
      <x:c r="C1215" s="1" t="n">
        <x:v>3</x:v>
      </x:c>
      <x:c r="D1215" s="1" t="n">
        <x:v>4</x:v>
      </x:c>
      <x:c r="E1215" s="1" t="n">
        <x:v>6</x:v>
      </x:c>
      <x:c r="F1215" s="32" t="n">
        <x:v>46461</x:v>
      </x:c>
      <x:c r="G1215" s="36" t="n">
        <x:v>452100000</x:v>
      </x:c>
      <x:c r="H1215" s="36" t="n">
        <x:v>1687840</x:v>
      </x:c>
      <x:c r="I1215" s="36" t="n">
        <x:v>0</x:v>
      </x:c>
      <x:c r="J1215" s="36" t="n">
        <x:v>0</x:v>
      </x:c>
      <x:c r="K1215" s="36" t="n">
        <x:v>452100000</x:v>
      </x:c>
      <x:c r="L1215" s="36" t="n">
        <x:v>0</x:v>
      </x:c>
      <x:c r="M1215" s="38" t="n">
        <x:v>0.49555099247091033</x:v>
      </x:c>
      <x:c r="N1215" s="36" t="n">
        <x:v>452100000</x:v>
      </x:c>
    </x:row>
    <x:row r="1216" ht="20" customHeight="1">
      <x:c r="C1216" s="1" t="n">
        <x:v>3</x:v>
      </x:c>
      <x:c r="D1216" s="1" t="n">
        <x:v>4</x:v>
      </x:c>
      <x:c r="E1216" s="1" t="n">
        <x:v>7</x:v>
      </x:c>
      <x:c r="F1216" s="32" t="n">
        <x:v>46492</x:v>
      </x:c>
      <x:c r="G1216" s="36" t="n">
        <x:v>452100000</x:v>
      </x:c>
      <x:c r="H1216" s="36" t="n">
        <x:v>1687840</x:v>
      </x:c>
      <x:c r="I1216" s="36" t="n">
        <x:v>10658191.33</x:v>
      </x:c>
      <x:c r="J1216" s="36" t="n">
        <x:v>0</x:v>
      </x:c>
      <x:c r="K1216" s="36" t="n">
        <x:v>441441808.67</x:v>
      </x:c>
      <x:c r="L1216" s="36" t="n">
        <x:v>0</x:v>
      </x:c>
      <x:c r="M1216" s="38" t="n">
        <x:v>0.5804243668720055</x:v>
      </x:c>
      <x:c r="N1216" s="36" t="n">
        <x:v>441441808.67</x:v>
      </x:c>
    </x:row>
    <x:row r="1217" ht="20" customHeight="1">
      <x:c r="C1217" s="1" t="n">
        <x:v>3</x:v>
      </x:c>
      <x:c r="D1217" s="1" t="n">
        <x:v>4</x:v>
      </x:c>
      <x:c r="E1217" s="1" t="n">
        <x:v>8</x:v>
      </x:c>
      <x:c r="F1217" s="32" t="n">
        <x:v>46524</x:v>
      </x:c>
      <x:c r="G1217" s="36" t="n">
        <x:v>441441808.67</x:v>
      </x:c>
      <x:c r="H1217" s="36" t="n">
        <x:v>1648049.42</x:v>
      </x:c>
      <x:c r="I1217" s="36" t="n">
        <x:v>19250785.62</x:v>
      </x:c>
      <x:c r="J1217" s="36" t="n">
        <x:v>0</x:v>
      </x:c>
      <x:c r="K1217" s="36" t="n">
        <x:v>422191023.05</x:v>
      </x:c>
      <x:c r="L1217" s="36" t="n">
        <x:v>0</x:v>
      </x:c>
      <x:c r="M1217" s="38" t="n">
        <x:v>0.6680355920602327</x:v>
      </x:c>
      <x:c r="N1217" s="36" t="n">
        <x:v>422191023.05</x:v>
      </x:c>
    </x:row>
    <x:row r="1218" ht="20" customHeight="1">
      <x:c r="C1218" s="1" t="n">
        <x:v>3</x:v>
      </x:c>
      <x:c r="D1218" s="1" t="n">
        <x:v>4</x:v>
      </x:c>
      <x:c r="E1218" s="1" t="n">
        <x:v>9</x:v>
      </x:c>
      <x:c r="F1218" s="32" t="n">
        <x:v>46553</x:v>
      </x:c>
      <x:c r="G1218" s="36" t="n">
        <x:v>422191023.05</x:v>
      </x:c>
      <x:c r="H1218" s="36" t="n">
        <x:v>1576179.82</x:v>
      </x:c>
      <x:c r="I1218" s="36" t="n">
        <x:v>18827891.2</x:v>
      </x:c>
      <x:c r="J1218" s="36" t="n">
        <x:v>0</x:v>
      </x:c>
      <x:c r="K1218" s="36" t="n">
        <x:v>403363131.85</x:v>
      </x:c>
      <x:c r="L1218" s="36" t="n">
        <x:v>0</x:v>
      </x:c>
      <x:c r="M1218" s="38" t="n">
        <x:v>0.7474332648870636</x:v>
      </x:c>
      <x:c r="N1218" s="36" t="n">
        <x:v>403363131.85</x:v>
      </x:c>
    </x:row>
    <x:row r="1219" ht="20" customHeight="1">
      <x:c r="C1219" s="1" t="n">
        <x:v>3</x:v>
      </x:c>
      <x:c r="D1219" s="1" t="n">
        <x:v>4</x:v>
      </x:c>
      <x:c r="E1219" s="1" t="n">
        <x:v>10</x:v>
      </x:c>
      <x:c r="F1219" s="32" t="n">
        <x:v>46583</x:v>
      </x:c>
      <x:c r="G1219" s="36" t="n">
        <x:v>403363131.85</x:v>
      </x:c>
      <x:c r="H1219" s="36" t="n">
        <x:v>1505889.03</x:v>
      </x:c>
      <x:c r="I1219" s="36" t="n">
        <x:v>18530919.47</x:v>
      </x:c>
      <x:c r="J1219" s="36" t="n">
        <x:v>0</x:v>
      </x:c>
      <x:c r="K1219" s="36" t="n">
        <x:v>384832212.38</x:v>
      </x:c>
      <x:c r="L1219" s="36" t="n">
        <x:v>0</x:v>
      </x:c>
      <x:c r="M1219" s="38" t="n">
        <x:v>0.8295687885010267</x:v>
      </x:c>
      <x:c r="N1219" s="36" t="n">
        <x:v>384832212.38</x:v>
      </x:c>
    </x:row>
    <x:row r="1220" ht="20" customHeight="1">
      <x:c r="C1220" s="1" t="n">
        <x:v>3</x:v>
      </x:c>
      <x:c r="D1220" s="1" t="n">
        <x:v>4</x:v>
      </x:c>
      <x:c r="E1220" s="1" t="n">
        <x:v>11</x:v>
      </x:c>
      <x:c r="F1220" s="32" t="n">
        <x:v>46615</x:v>
      </x:c>
      <x:c r="G1220" s="36" t="n">
        <x:v>384832212.38</x:v>
      </x:c>
      <x:c r="H1220" s="36" t="n">
        <x:v>1436706.93</x:v>
      </x:c>
      <x:c r="I1220" s="36" t="n">
        <x:v>18147699.02</x:v>
      </x:c>
      <x:c r="J1220" s="36" t="n">
        <x:v>0</x:v>
      </x:c>
      <x:c r="K1220" s="36" t="n">
        <x:v>366684513.36</x:v>
      </x:c>
      <x:c r="L1220" s="36" t="n">
        <x:v>0</x:v>
      </x:c>
      <x:c r="M1220" s="38" t="n">
        <x:v>0.917180013689254</x:v>
      </x:c>
      <x:c r="N1220" s="36" t="n">
        <x:v>366684513.36</x:v>
      </x:c>
    </x:row>
    <x:row r="1221" ht="20" customHeight="1">
      <x:c r="C1221" s="1" t="n">
        <x:v>3</x:v>
      </x:c>
      <x:c r="D1221" s="1" t="n">
        <x:v>4</x:v>
      </x:c>
      <x:c r="E1221" s="1" t="n">
        <x:v>12</x:v>
      </x:c>
      <x:c r="F1221" s="32" t="n">
        <x:v>46645</x:v>
      </x:c>
      <x:c r="G1221" s="36" t="n">
        <x:v>366684513.36</x:v>
      </x:c>
      <x:c r="H1221" s="36" t="n">
        <x:v>1368955.52</x:v>
      </x:c>
      <x:c r="I1221" s="36" t="n">
        <x:v>17780780.05</x:v>
      </x:c>
      <x:c r="J1221" s="36" t="n">
        <x:v>0</x:v>
      </x:c>
      <x:c r="K1221" s="36" t="n">
        <x:v>348903733.31</x:v>
      </x:c>
      <x:c r="L1221" s="36" t="n">
        <x:v>0</x:v>
      </x:c>
      <x:c r="M1221" s="38" t="n">
        <x:v>0.999315537303217</x:v>
      </x:c>
      <x:c r="N1221" s="36" t="n">
        <x:v>348903733.31</x:v>
      </x:c>
    </x:row>
    <x:row r="1222" ht="20" customHeight="1">
      <x:c r="C1222" s="1" t="n">
        <x:v>3</x:v>
      </x:c>
      <x:c r="D1222" s="1" t="n">
        <x:v>4</x:v>
      </x:c>
      <x:c r="E1222" s="1" t="n">
        <x:v>13</x:v>
      </x:c>
      <x:c r="F1222" s="32" t="n">
        <x:v>46675</x:v>
      </x:c>
      <x:c r="G1222" s="36" t="n">
        <x:v>348903733.31</x:v>
      </x:c>
      <x:c r="H1222" s="36" t="n">
        <x:v>1302573.94</x:v>
      </x:c>
      <x:c r="I1222" s="36" t="n">
        <x:v>17415700.52</x:v>
      </x:c>
      <x:c r="J1222" s="36" t="n">
        <x:v>0</x:v>
      </x:c>
      <x:c r="K1222" s="36" t="n">
        <x:v>331488032.79</x:v>
      </x:c>
      <x:c r="L1222" s="36" t="n">
        <x:v>0</x:v>
      </x:c>
      <x:c r="M1222" s="38" t="n">
        <x:v>1.08145106091718</x:v>
      </x:c>
      <x:c r="N1222" s="36" t="n">
        <x:v>331488032.79</x:v>
      </x:c>
    </x:row>
    <x:row r="1223" ht="20" customHeight="1">
      <x:c r="C1223" s="1" t="n">
        <x:v>3</x:v>
      </x:c>
      <x:c r="D1223" s="1" t="n">
        <x:v>4</x:v>
      </x:c>
      <x:c r="E1223" s="1" t="n">
        <x:v>14</x:v>
      </x:c>
      <x:c r="F1223" s="32" t="n">
        <x:v>46706</x:v>
      </x:c>
      <x:c r="G1223" s="36" t="n">
        <x:v>331488032.79</x:v>
      </x:c>
      <x:c r="H1223" s="36" t="n">
        <x:v>1237555.32</x:v>
      </x:c>
      <x:c r="I1223" s="36" t="n">
        <x:v>17050226.85</x:v>
      </x:c>
      <x:c r="J1223" s="36" t="n">
        <x:v>0</x:v>
      </x:c>
      <x:c r="K1223" s="36" t="n">
        <x:v>314437805.94</x:v>
      </x:c>
      <x:c r="L1223" s="36" t="n">
        <x:v>0</x:v>
      </x:c>
      <x:c r="M1223" s="38" t="n">
        <x:v>1.1663244353182751</x:v>
      </x:c>
      <x:c r="N1223" s="36" t="n">
        <x:v>314437805.94</x:v>
      </x:c>
    </x:row>
    <x:row r="1224" ht="20" customHeight="1">
      <x:c r="C1224" s="1" t="n">
        <x:v>3</x:v>
      </x:c>
      <x:c r="D1224" s="1" t="n">
        <x:v>4</x:v>
      </x:c>
      <x:c r="E1224" s="1" t="n">
        <x:v>15</x:v>
      </x:c>
      <x:c r="F1224" s="32" t="n">
        <x:v>46736</x:v>
      </x:c>
      <x:c r="G1224" s="36" t="n">
        <x:v>314437805.94</x:v>
      </x:c>
      <x:c r="H1224" s="36" t="n">
        <x:v>1173901.14</x:v>
      </x:c>
      <x:c r="I1224" s="36" t="n">
        <x:v>16694102.45</x:v>
      </x:c>
      <x:c r="J1224" s="36" t="n">
        <x:v>0</x:v>
      </x:c>
      <x:c r="K1224" s="36" t="n">
        <x:v>297743703.49</x:v>
      </x:c>
      <x:c r="L1224" s="36" t="n">
        <x:v>0</x:v>
      </x:c>
      <x:c r="M1224" s="38" t="n">
        <x:v>1.2484599589322383</x:v>
      </x:c>
      <x:c r="N1224" s="36" t="n">
        <x:v>297743703.49</x:v>
      </x:c>
    </x:row>
    <x:row r="1225" ht="20" customHeight="1">
      <x:c r="C1225" s="1" t="n">
        <x:v>3</x:v>
      </x:c>
      <x:c r="D1225" s="1" t="n">
        <x:v>4</x:v>
      </x:c>
      <x:c r="E1225" s="1" t="n">
        <x:v>16</x:v>
      </x:c>
      <x:c r="F1225" s="32" t="n">
        <x:v>46770</x:v>
      </x:c>
      <x:c r="G1225" s="36" t="n">
        <x:v>297743703.49</x:v>
      </x:c>
      <x:c r="H1225" s="36" t="n">
        <x:v>1111576.49</x:v>
      </x:c>
      <x:c r="I1225" s="36" t="n">
        <x:v>16337875.65</x:v>
      </x:c>
      <x:c r="J1225" s="36" t="n">
        <x:v>0</x:v>
      </x:c>
      <x:c r="K1225" s="36" t="n">
        <x:v>281405827.84</x:v>
      </x:c>
      <x:c r="L1225" s="36" t="n">
        <x:v>0</x:v>
      </x:c>
      <x:c r="M1225" s="38" t="n">
        <x:v>1.3415468856947297</x:v>
      </x:c>
      <x:c r="N1225" s="36" t="n">
        <x:v>281405827.84</x:v>
      </x:c>
    </x:row>
    <x:row r="1226" ht="20" customHeight="1">
      <x:c r="C1226" s="1" t="n">
        <x:v>3</x:v>
      </x:c>
      <x:c r="D1226" s="1" t="n">
        <x:v>4</x:v>
      </x:c>
      <x:c r="E1226" s="1" t="n">
        <x:v>17</x:v>
      </x:c>
      <x:c r="F1226" s="32" t="n">
        <x:v>46798</x:v>
      </x:c>
      <x:c r="G1226" s="36" t="n">
        <x:v>281405827.84</x:v>
      </x:c>
      <x:c r="H1226" s="36" t="n">
        <x:v>1050581.76</x:v>
      </x:c>
      <x:c r="I1226" s="36" t="n">
        <x:v>15975593.06</x:v>
      </x:c>
      <x:c r="J1226" s="36" t="n">
        <x:v>0</x:v>
      </x:c>
      <x:c r="K1226" s="36" t="n">
        <x:v>265430234.78</x:v>
      </x:c>
      <x:c r="L1226" s="36" t="n">
        <x:v>0</x:v>
      </x:c>
      <x:c r="M1226" s="38" t="n">
        <x:v>1.4182067077344285</x:v>
      </x:c>
      <x:c r="N1226" s="36" t="n">
        <x:v>265430234.78</x:v>
      </x:c>
    </x:row>
    <x:row r="1227" ht="20" customHeight="1">
      <x:c r="C1227" s="1" t="n">
        <x:v>3</x:v>
      </x:c>
      <x:c r="D1227" s="1" t="n">
        <x:v>4</x:v>
      </x:c>
      <x:c r="E1227" s="1" t="n">
        <x:v>18</x:v>
      </x:c>
      <x:c r="F1227" s="32" t="n">
        <x:v>46827</x:v>
      </x:c>
      <x:c r="G1227" s="36" t="n">
        <x:v>265430234.78</x:v>
      </x:c>
      <x:c r="H1227" s="36" t="n">
        <x:v>990939.54</x:v>
      </x:c>
      <x:c r="I1227" s="36" t="n">
        <x:v>15624441.84</x:v>
      </x:c>
      <x:c r="J1227" s="36" t="n">
        <x:v>0</x:v>
      </x:c>
      <x:c r="K1227" s="36" t="n">
        <x:v>249805792.94</x:v>
      </x:c>
      <x:c r="L1227" s="36" t="n">
        <x:v>0</x:v>
      </x:c>
      <x:c r="M1227" s="38" t="n">
        <x:v>1.4976043805612593</x:v>
      </x:c>
      <x:c r="N1227" s="36" t="n">
        <x:v>249805792.94</x:v>
      </x:c>
    </x:row>
    <x:row r="1228" ht="20" customHeight="1">
      <x:c r="C1228" s="1" t="n">
        <x:v>3</x:v>
      </x:c>
      <x:c r="D1228" s="1" t="n">
        <x:v>4</x:v>
      </x:c>
      <x:c r="E1228" s="1" t="n">
        <x:v>19</x:v>
      </x:c>
      <x:c r="F1228" s="32" t="n">
        <x:v>46860</x:v>
      </x:c>
      <x:c r="G1228" s="36" t="n">
        <x:v>249805792.94</x:v>
      </x:c>
      <x:c r="H1228" s="36" t="n">
        <x:v>932608.29</x:v>
      </x:c>
      <x:c r="I1228" s="36" t="n">
        <x:v>15268878.58</x:v>
      </x:c>
      <x:c r="J1228" s="36" t="n">
        <x:v>0</x:v>
      </x:c>
      <x:c r="K1228" s="36" t="n">
        <x:v>234536914.36</x:v>
      </x:c>
      <x:c r="L1228" s="36" t="n">
        <x:v>0</x:v>
      </x:c>
      <x:c r="M1228" s="38" t="n">
        <x:v>1.5879534565366187</x:v>
      </x:c>
      <x:c r="N1228" s="36" t="n">
        <x:v>234536914.36</x:v>
      </x:c>
    </x:row>
    <x:row r="1229" ht="20" customHeight="1">
      <x:c r="C1229" s="1" t="n">
        <x:v>3</x:v>
      </x:c>
      <x:c r="D1229" s="1" t="n">
        <x:v>4</x:v>
      </x:c>
      <x:c r="E1229" s="1" t="n">
        <x:v>20</x:v>
      </x:c>
      <x:c r="F1229" s="32" t="n">
        <x:v>46888</x:v>
      </x:c>
      <x:c r="G1229" s="36" t="n">
        <x:v>234536914.36</x:v>
      </x:c>
      <x:c r="H1229" s="36" t="n">
        <x:v>875604.48</x:v>
      </x:c>
      <x:c r="I1229" s="36" t="n">
        <x:v>14949427.44</x:v>
      </x:c>
      <x:c r="J1229" s="36" t="n">
        <x:v>0</x:v>
      </x:c>
      <x:c r="K1229" s="36" t="n">
        <x:v>219587486.92</x:v>
      </x:c>
      <x:c r="L1229" s="36" t="n">
        <x:v>0</x:v>
      </x:c>
      <x:c r="M1229" s="38" t="n">
        <x:v>1.6646132785763177</x:v>
      </x:c>
      <x:c r="N1229" s="36" t="n">
        <x:v>219587486.92</x:v>
      </x:c>
    </x:row>
    <x:row r="1230" ht="20" customHeight="1">
      <x:c r="C1230" s="1" t="n">
        <x:v>3</x:v>
      </x:c>
      <x:c r="D1230" s="1" t="n">
        <x:v>4</x:v>
      </x:c>
      <x:c r="E1230" s="1" t="n">
        <x:v>21</x:v>
      </x:c>
      <x:c r="F1230" s="32" t="n">
        <x:v>46919</x:v>
      </x:c>
      <x:c r="G1230" s="36" t="n">
        <x:v>219587486.92</x:v>
      </x:c>
      <x:c r="H1230" s="36" t="n">
        <x:v>819793.28</x:v>
      </x:c>
      <x:c r="I1230" s="36" t="n">
        <x:v>14633489.49</x:v>
      </x:c>
      <x:c r="J1230" s="36" t="n">
        <x:v>0</x:v>
      </x:c>
      <x:c r="K1230" s="36" t="n">
        <x:v>204953997.43</x:v>
      </x:c>
      <x:c r="L1230" s="36" t="n">
        <x:v>0</x:v>
      </x:c>
      <x:c r="M1230" s="38" t="n">
        <x:v>1.7494866529774127</x:v>
      </x:c>
      <x:c r="N1230" s="36" t="n">
        <x:v>204953997.43</x:v>
      </x:c>
    </x:row>
    <x:row r="1231" ht="20" customHeight="1">
      <x:c r="C1231" s="1" t="n">
        <x:v>3</x:v>
      </x:c>
      <x:c r="D1231" s="1" t="n">
        <x:v>4</x:v>
      </x:c>
      <x:c r="E1231" s="1" t="n">
        <x:v>22</x:v>
      </x:c>
      <x:c r="F1231" s="32" t="n">
        <x:v>46951</x:v>
      </x:c>
      <x:c r="G1231" s="36" t="n">
        <x:v>204953997.43</x:v>
      </x:c>
      <x:c r="H1231" s="36" t="n">
        <x:v>765161.59</x:v>
      </x:c>
      <x:c r="I1231" s="36" t="n">
        <x:v>14447517.58</x:v>
      </x:c>
      <x:c r="J1231" s="36" t="n">
        <x:v>0</x:v>
      </x:c>
      <x:c r="K1231" s="36" t="n">
        <x:v>190506479.85</x:v>
      </x:c>
      <x:c r="L1231" s="36" t="n">
        <x:v>0</x:v>
      </x:c>
      <x:c r="M1231" s="38" t="n">
        <x:v>1.83709787816564</x:v>
      </x:c>
      <x:c r="N1231" s="36" t="n">
        <x:v>190506479.85</x:v>
      </x:c>
    </x:row>
    <x:row r="1232" ht="20" customHeight="1">
      <x:c r="C1232" s="1" t="n">
        <x:v>3</x:v>
      </x:c>
      <x:c r="D1232" s="1" t="n">
        <x:v>4</x:v>
      </x:c>
      <x:c r="E1232" s="1" t="n">
        <x:v>23</x:v>
      </x:c>
      <x:c r="F1232" s="32" t="n">
        <x:v>46980</x:v>
      </x:c>
      <x:c r="G1232" s="36" t="n">
        <x:v>190506479.85</x:v>
      </x:c>
      <x:c r="H1232" s="36" t="n">
        <x:v>711224.19</x:v>
      </x:c>
      <x:c r="I1232" s="36" t="n">
        <x:v>14130727.51</x:v>
      </x:c>
      <x:c r="J1232" s="36" t="n">
        <x:v>0</x:v>
      </x:c>
      <x:c r="K1232" s="36" t="n">
        <x:v>176375752.34</x:v>
      </x:c>
      <x:c r="L1232" s="36" t="n">
        <x:v>0</x:v>
      </x:c>
      <x:c r="M1232" s="38" t="n">
        <x:v>1.9164955509924708</x:v>
      </x:c>
      <x:c r="N1232" s="36" t="n">
        <x:v>176375752.34</x:v>
      </x:c>
    </x:row>
    <x:row r="1233" ht="20" customHeight="1">
      <x:c r="C1233" s="1" t="n">
        <x:v>3</x:v>
      </x:c>
      <x:c r="D1233" s="1" t="n">
        <x:v>4</x:v>
      </x:c>
      <x:c r="E1233" s="1" t="n">
        <x:v>24</x:v>
      </x:c>
      <x:c r="F1233" s="32" t="n">
        <x:v>47011</x:v>
      </x:c>
      <x:c r="G1233" s="36" t="n">
        <x:v>176375752.34</x:v>
      </x:c>
      <x:c r="H1233" s="36" t="n">
        <x:v>658469.48</x:v>
      </x:c>
      <x:c r="I1233" s="36" t="n">
        <x:v>13816817.03</x:v>
      </x:c>
      <x:c r="J1233" s="36" t="n">
        <x:v>0</x:v>
      </x:c>
      <x:c r="K1233" s="36" t="n">
        <x:v>162558935.31</x:v>
      </x:c>
      <x:c r="L1233" s="36" t="n">
        <x:v>0</x:v>
      </x:c>
      <x:c r="M1233" s="38" t="n">
        <x:v>2.001368925393566</x:v>
      </x:c>
      <x:c r="N1233" s="36" t="n">
        <x:v>162558935.31</x:v>
      </x:c>
    </x:row>
    <x:row r="1234" ht="20" customHeight="1">
      <x:c r="C1234" s="1" t="n">
        <x:v>3</x:v>
      </x:c>
      <x:c r="D1234" s="1" t="n">
        <x:v>4</x:v>
      </x:c>
      <x:c r="E1234" s="1" t="n">
        <x:v>25</x:v>
      </x:c>
      <x:c r="F1234" s="32" t="n">
        <x:v>47042</x:v>
      </x:c>
      <x:c r="G1234" s="36" t="n">
        <x:v>162558935.31</x:v>
      </x:c>
      <x:c r="H1234" s="36" t="n">
        <x:v>606886.69</x:v>
      </x:c>
      <x:c r="I1234" s="36" t="n">
        <x:v>13503094.37</x:v>
      </x:c>
      <x:c r="J1234" s="36" t="n">
        <x:v>0</x:v>
      </x:c>
      <x:c r="K1234" s="36" t="n">
        <x:v>149055840.94</x:v>
      </x:c>
      <x:c r="L1234" s="36" t="n">
        <x:v>0</x:v>
      </x:c>
      <x:c r="M1234" s="38" t="n">
        <x:v>2.086242299794661</x:v>
      </x:c>
      <x:c r="N1234" s="36" t="n">
        <x:v>149055840.94</x:v>
      </x:c>
    </x:row>
    <x:row r="1235" ht="20" customHeight="1">
      <x:c r="C1235" s="1" t="n">
        <x:v>3</x:v>
      </x:c>
      <x:c r="D1235" s="1" t="n">
        <x:v>4</x:v>
      </x:c>
      <x:c r="E1235" s="1" t="n">
        <x:v>26</x:v>
      </x:c>
      <x:c r="F1235" s="32" t="n">
        <x:v>47072</x:v>
      </x:c>
      <x:c r="G1235" s="36" t="n">
        <x:v>149055840.94</x:v>
      </x:c>
      <x:c r="H1235" s="36" t="n">
        <x:v>556475.14</x:v>
      </x:c>
      <x:c r="I1235" s="36" t="n">
        <x:v>13186797.08</x:v>
      </x:c>
      <x:c r="J1235" s="36" t="n">
        <x:v>0</x:v>
      </x:c>
      <x:c r="K1235" s="36" t="n">
        <x:v>135869043.86</x:v>
      </x:c>
      <x:c r="L1235" s="36" t="n">
        <x:v>0</x:v>
      </x:c>
      <x:c r="M1235" s="38" t="n">
        <x:v>2.1683778234086244</x:v>
      </x:c>
      <x:c r="N1235" s="36" t="n">
        <x:v>135869043.86</x:v>
      </x:c>
    </x:row>
    <x:row r="1236" ht="20" customHeight="1">
      <x:c r="C1236" s="1" t="n">
        <x:v>3</x:v>
      </x:c>
      <x:c r="D1236" s="1" t="n">
        <x:v>4</x:v>
      </x:c>
      <x:c r="E1236" s="1" t="n">
        <x:v>27</x:v>
      </x:c>
      <x:c r="F1236" s="32" t="n">
        <x:v>47102</x:v>
      </x:c>
      <x:c r="G1236" s="36" t="n">
        <x:v>135869043.86</x:v>
      </x:c>
      <x:c r="H1236" s="36" t="n">
        <x:v>507244.43</x:v>
      </x:c>
      <x:c r="I1236" s="36" t="n">
        <x:v>12872706.88</x:v>
      </x:c>
      <x:c r="J1236" s="36" t="n">
        <x:v>0</x:v>
      </x:c>
      <x:c r="K1236" s="36" t="n">
        <x:v>122996336.98</x:v>
      </x:c>
      <x:c r="L1236" s="36" t="n">
        <x:v>0</x:v>
      </x:c>
      <x:c r="M1236" s="38" t="n">
        <x:v>2.2505133470225873</x:v>
      </x:c>
      <x:c r="N1236" s="36" t="n">
        <x:v>122996336.98</x:v>
      </x:c>
    </x:row>
    <x:row r="1237" ht="20" customHeight="1">
      <x:c r="C1237" s="1" t="n">
        <x:v>3</x:v>
      </x:c>
      <x:c r="D1237" s="1" t="n">
        <x:v>4</x:v>
      </x:c>
      <x:c r="E1237" s="1" t="n">
        <x:v>28</x:v>
      </x:c>
      <x:c r="F1237" s="32" t="n">
        <x:v>47134</x:v>
      </x:c>
      <x:c r="G1237" s="36" t="n">
        <x:v>122996336.98</x:v>
      </x:c>
      <x:c r="H1237" s="36" t="n">
        <x:v>459186.32</x:v>
      </x:c>
      <x:c r="I1237" s="36" t="n">
        <x:v>12541374.86</x:v>
      </x:c>
      <x:c r="J1237" s="36" t="n">
        <x:v>0</x:v>
      </x:c>
      <x:c r="K1237" s="36" t="n">
        <x:v>110454962.12</x:v>
      </x:c>
      <x:c r="L1237" s="36" t="n">
        <x:v>0</x:v>
      </x:c>
      <x:c r="M1237" s="38" t="n">
        <x:v>2.3381245722108144</x:v>
      </x:c>
      <x:c r="N1237" s="36" t="n">
        <x:v>110454962.12</x:v>
      </x:c>
    </x:row>
    <x:row r="1238" ht="20" customHeight="1">
      <x:c r="C1238" s="1" t="n">
        <x:v>3</x:v>
      </x:c>
      <x:c r="D1238" s="1" t="n">
        <x:v>4</x:v>
      </x:c>
      <x:c r="E1238" s="1" t="n">
        <x:v>29</x:v>
      </x:c>
      <x:c r="F1238" s="32" t="n">
        <x:v>47164</x:v>
      </x:c>
      <x:c r="G1238" s="36" t="n">
        <x:v>110454962.12</x:v>
      </x:c>
      <x:c r="H1238" s="36" t="n">
        <x:v>412365.19</x:v>
      </x:c>
      <x:c r="I1238" s="36" t="n">
        <x:v>12164531.39</x:v>
      </x:c>
      <x:c r="J1238" s="36" t="n">
        <x:v>0</x:v>
      </x:c>
      <x:c r="K1238" s="36" t="n">
        <x:v>98290430.73</x:v>
      </x:c>
      <x:c r="L1238" s="36" t="n">
        <x:v>0</x:v>
      </x:c>
      <x:c r="M1238" s="38" t="n">
        <x:v>2.4202600958247777</x:v>
      </x:c>
      <x:c r="N1238" s="36" t="n">
        <x:v>98290430.73</x:v>
      </x:c>
    </x:row>
    <x:row r="1239" ht="20" customHeight="1">
      <x:c r="C1239" s="1" t="n">
        <x:v>3</x:v>
      </x:c>
      <x:c r="D1239" s="1" t="n">
        <x:v>4</x:v>
      </x:c>
      <x:c r="E1239" s="1" t="n">
        <x:v>30</x:v>
      </x:c>
      <x:c r="F1239" s="32" t="n">
        <x:v>47192</x:v>
      </x:c>
      <x:c r="G1239" s="36" t="n">
        <x:v>98290430.73</x:v>
      </x:c>
      <x:c r="H1239" s="36" t="n">
        <x:v>366950.94</x:v>
      </x:c>
      <x:c r="I1239" s="36" t="n">
        <x:v>11802416.31</x:v>
      </x:c>
      <x:c r="J1239" s="36" t="n">
        <x:v>0</x:v>
      </x:c>
      <x:c r="K1239" s="36" t="n">
        <x:v>86488014.42</x:v>
      </x:c>
      <x:c r="L1239" s="36" t="n">
        <x:v>0</x:v>
      </x:c>
      <x:c r="M1239" s="38" t="n">
        <x:v>2.4969199178644765</x:v>
      </x:c>
      <x:c r="N1239" s="36" t="n">
        <x:v>86488014.42</x:v>
      </x:c>
    </x:row>
    <x:row r="1240" ht="20" customHeight="1">
      <x:c r="C1240" s="1" t="n">
        <x:v>3</x:v>
      </x:c>
      <x:c r="D1240" s="1" t="n">
        <x:v>4</x:v>
      </x:c>
      <x:c r="E1240" s="1" t="n">
        <x:v>31</x:v>
      </x:c>
      <x:c r="F1240" s="32" t="n">
        <x:v>47224</x:v>
      </x:c>
      <x:c r="G1240" s="36" t="n">
        <x:v>86488014.42</x:v>
      </x:c>
      <x:c r="H1240" s="36" t="n">
        <x:v>322888.59</x:v>
      </x:c>
      <x:c r="I1240" s="36" t="n">
        <x:v>11437740.33</x:v>
      </x:c>
      <x:c r="J1240" s="36" t="n">
        <x:v>0</x:v>
      </x:c>
      <x:c r="K1240" s="36" t="n">
        <x:v>75050274.09</x:v>
      </x:c>
      <x:c r="L1240" s="36" t="n">
        <x:v>0</x:v>
      </x:c>
      <x:c r="M1240" s="38" t="n">
        <x:v>2.5845311430527036</x:v>
      </x:c>
      <x:c r="N1240" s="36" t="n">
        <x:v>75050274.09</x:v>
      </x:c>
    </x:row>
    <x:row r="1241" ht="20" customHeight="1">
      <x:c r="C1241" s="1" t="n">
        <x:v>3</x:v>
      </x:c>
      <x:c r="D1241" s="1" t="n">
        <x:v>4</x:v>
      </x:c>
      <x:c r="E1241" s="1" t="n">
        <x:v>32</x:v>
      </x:c>
      <x:c r="F1241" s="32" t="n">
        <x:v>47253</x:v>
      </x:c>
      <x:c r="G1241" s="36" t="n">
        <x:v>75050274.09</x:v>
      </x:c>
      <x:c r="H1241" s="36" t="n">
        <x:v>280187.69</x:v>
      </x:c>
      <x:c r="I1241" s="36" t="n">
        <x:v>11149856.18</x:v>
      </x:c>
      <x:c r="J1241" s="36" t="n">
        <x:v>0</x:v>
      </x:c>
      <x:c r="K1241" s="36" t="n">
        <x:v>63900417.91</x:v>
      </x:c>
      <x:c r="L1241" s="36" t="n">
        <x:v>0</x:v>
      </x:c>
      <x:c r="M1241" s="38" t="n">
        <x:v>2.6639288158795345</x:v>
      </x:c>
      <x:c r="N1241" s="36" t="n">
        <x:v>63900417.91</x:v>
      </x:c>
    </x:row>
    <x:row r="1242" ht="20" customHeight="1">
      <x:c r="C1242" s="1" t="n">
        <x:v>3</x:v>
      </x:c>
      <x:c r="D1242" s="1" t="n">
        <x:v>4</x:v>
      </x:c>
      <x:c r="E1242" s="1" t="n">
        <x:v>33</x:v>
      </x:c>
      <x:c r="F1242" s="32" t="n">
        <x:v>47284</x:v>
      </x:c>
      <x:c r="G1242" s="36" t="n">
        <x:v>63900417.91</x:v>
      </x:c>
      <x:c r="H1242" s="36" t="n">
        <x:v>238561.56</x:v>
      </x:c>
      <x:c r="I1242" s="36" t="n">
        <x:v>10865206.12</x:v>
      </x:c>
      <x:c r="J1242" s="36" t="n">
        <x:v>0</x:v>
      </x:c>
      <x:c r="K1242" s="36" t="n">
        <x:v>53035211.79</x:v>
      </x:c>
      <x:c r="L1242" s="36" t="n">
        <x:v>0</x:v>
      </x:c>
      <x:c r="M1242" s="38" t="n">
        <x:v>2.74880219028063</x:v>
      </x:c>
      <x:c r="N1242" s="36" t="n">
        <x:v>53035211.79</x:v>
      </x:c>
    </x:row>
    <x:row r="1243" ht="20" customHeight="1">
      <x:c r="C1243" s="1" t="n">
        <x:v>3</x:v>
      </x:c>
      <x:c r="D1243" s="1" t="n">
        <x:v>4</x:v>
      </x:c>
      <x:c r="E1243" s="1" t="n">
        <x:v>34</x:v>
      </x:c>
      <x:c r="F1243" s="32" t="n">
        <x:v>47315</x:v>
      </x:c>
      <x:c r="G1243" s="36" t="n">
        <x:v>53035211.79</x:v>
      </x:c>
      <x:c r="H1243" s="36" t="n">
        <x:v>197998.12</x:v>
      </x:c>
      <x:c r="I1243" s="36" t="n">
        <x:v>10570835.15</x:v>
      </x:c>
      <x:c r="J1243" s="36" t="n">
        <x:v>0</x:v>
      </x:c>
      <x:c r="K1243" s="36" t="n">
        <x:v>42464376.64</x:v>
      </x:c>
      <x:c r="L1243" s="36" t="n">
        <x:v>0</x:v>
      </x:c>
      <x:c r="M1243" s="38" t="n">
        <x:v>2.833675564681725</x:v>
      </x:c>
      <x:c r="N1243" s="36" t="n">
        <x:v>42464376.64</x:v>
      </x:c>
    </x:row>
    <x:row r="1244" ht="20" customHeight="1">
      <x:c r="C1244" s="1" t="n">
        <x:v>3</x:v>
      </x:c>
      <x:c r="D1244" s="1" t="n">
        <x:v>4</x:v>
      </x:c>
      <x:c r="E1244" s="1" t="n">
        <x:v>35</x:v>
      </x:c>
      <x:c r="F1244" s="32" t="n">
        <x:v>47345</x:v>
      </x:c>
      <x:c r="G1244" s="36" t="n">
        <x:v>42464376.64</x:v>
      </x:c>
      <x:c r="H1244" s="36" t="n">
        <x:v>158533.67</x:v>
      </x:c>
      <x:c r="I1244" s="36" t="n">
        <x:v>10244329.7</x:v>
      </x:c>
      <x:c r="J1244" s="36" t="n">
        <x:v>0</x:v>
      </x:c>
      <x:c r="K1244" s="36" t="n">
        <x:v>32220046.94</x:v>
      </x:c>
      <x:c r="L1244" s="36" t="n">
        <x:v>0</x:v>
      </x:c>
      <x:c r="M1244" s="38" t="n">
        <x:v>2.915811088295688</x:v>
      </x:c>
      <x:c r="N1244" s="36" t="n">
        <x:v>32220046.94</x:v>
      </x:c>
    </x:row>
    <x:row r="1245" ht="20" customHeight="1">
      <x:c r="C1245" s="1" t="n">
        <x:v>3</x:v>
      </x:c>
      <x:c r="D1245" s="1" t="n">
        <x:v>4</x:v>
      </x:c>
      <x:c r="E1245" s="1" t="n">
        <x:v>36</x:v>
      </x:c>
      <x:c r="F1245" s="32" t="n">
        <x:v>47378</x:v>
      </x:c>
      <x:c r="G1245" s="36" t="n">
        <x:v>32220046.94</x:v>
      </x:c>
      <x:c r="H1245" s="36" t="n">
        <x:v>120288.18</x:v>
      </x:c>
      <x:c r="I1245" s="36" t="n">
        <x:v>9910368.7</x:v>
      </x:c>
      <x:c r="J1245" s="36" t="n">
        <x:v>0</x:v>
      </x:c>
      <x:c r="K1245" s="36" t="n">
        <x:v>22309678.24</x:v>
      </x:c>
      <x:c r="L1245" s="36" t="n">
        <x:v>0</x:v>
      </x:c>
      <x:c r="M1245" s="38" t="n">
        <x:v>3.0061601642710474</x:v>
      </x:c>
      <x:c r="N1245" s="36" t="n">
        <x:v>22309678.24</x:v>
      </x:c>
    </x:row>
    <x:row r="1246" ht="20" customHeight="1">
      <x:c r="C1246" s="1" t="n">
        <x:v>3</x:v>
      </x:c>
      <x:c r="D1246" s="1" t="n">
        <x:v>4</x:v>
      </x:c>
      <x:c r="E1246" s="1" t="n">
        <x:v>37</x:v>
      </x:c>
      <x:c r="F1246" s="32" t="n">
        <x:v>47406</x:v>
      </x:c>
      <x:c r="G1246" s="36" t="n">
        <x:v>22309678.24</x:v>
      </x:c>
      <x:c r="H1246" s="36" t="n">
        <x:v>83289.47</x:v>
      </x:c>
      <x:c r="I1246" s="36" t="n">
        <x:v>9564560.02</x:v>
      </x:c>
      <x:c r="J1246" s="36" t="n">
        <x:v>0</x:v>
      </x:c>
      <x:c r="K1246" s="36" t="n">
        <x:v>12745118.22</x:v>
      </x:c>
      <x:c r="L1246" s="36" t="n">
        <x:v>0</x:v>
      </x:c>
      <x:c r="M1246" s="38" t="n">
        <x:v>3.082819986310746</x:v>
      </x:c>
      <x:c r="N1246" s="36" t="n">
        <x:v>12745118.22</x:v>
      </x:c>
    </x:row>
    <x:row r="1247" ht="20" customHeight="1">
      <x:c r="C1247" s="1" t="n">
        <x:v>3</x:v>
      </x:c>
      <x:c r="D1247" s="1" t="n">
        <x:v>4</x:v>
      </x:c>
      <x:c r="E1247" s="1" t="n">
        <x:v>38</x:v>
      </x:c>
      <x:c r="F1247" s="32" t="n">
        <x:v>47437</x:v>
      </x:c>
      <x:c r="G1247" s="36" t="n">
        <x:v>12745118.22</x:v>
      </x:c>
      <x:c r="H1247" s="36" t="n">
        <x:v>47581.77</x:v>
      </x:c>
      <x:c r="I1247" s="36" t="n">
        <x:v>9115313.94</x:v>
      </x:c>
      <x:c r="J1247" s="36" t="n">
        <x:v>0</x:v>
      </x:c>
      <x:c r="K1247" s="36" t="n">
        <x:v>3629804.28</x:v>
      </x:c>
      <x:c r="L1247" s="36" t="n">
        <x:v>0</x:v>
      </x:c>
      <x:c r="M1247" s="38" t="n">
        <x:v>3.167693360711841</x:v>
      </x:c>
      <x:c r="N1247" s="36" t="n">
        <x:v>3629804.28</x:v>
      </x:c>
    </x:row>
    <x:row r="1248" ht="20" customHeight="1">
      <x:c r="C1248" s="1" t="n">
        <x:v>3</x:v>
      </x:c>
      <x:c r="D1248" s="1" t="n">
        <x:v>4</x:v>
      </x:c>
      <x:c r="E1248" s="1" t="n">
        <x:v>39</x:v>
      </x:c>
      <x:c r="F1248" s="32" t="n">
        <x:v>47469</x:v>
      </x:c>
      <x:c r="G1248" s="36" t="n">
        <x:v>3629804.28</x:v>
      </x:c>
      <x:c r="H1248" s="36" t="n">
        <x:v>13551.27</x:v>
      </x:c>
      <x:c r="I1248" s="36" t="n">
        <x:v>3629804.28</x:v>
      </x:c>
      <x:c r="J1248" s="36" t="n">
        <x:v>0</x:v>
      </x:c>
      <x:c r="K1248" s="36" t="n">
        <x:v>0</x:v>
      </x:c>
      <x:c r="L1248" s="36" t="n">
        <x:v>0</x:v>
      </x:c>
      <x:c r="M1248" s="38" t="n">
        <x:v>3.2553045859000687</x:v>
      </x:c>
      <x:c r="N1248" s="36" t="n">
        <x:v>0</x:v>
      </x:c>
    </x:row>
    <x:row r="1249" ht="20" customHeight="1">
      <x:c r="C1249" s="1" t="n">
        <x:v>3</x:v>
      </x:c>
      <x:c r="D1249" s="1" t="n">
        <x:v>4</x:v>
      </x:c>
      <x:c r="E1249" s="1" t="n">
        <x:v>40</x:v>
      </x:c>
      <x:c r="F1249" s="32" t="n">
        <x:v>47498</x:v>
      </x:c>
      <x:c r="G1249" s="36" t="n">
        <x:v>0</x:v>
      </x:c>
      <x:c r="H1249" s="36" t="n">
        <x:v>0</x:v>
      </x:c>
      <x:c r="I1249" s="36" t="n">
        <x:v>0</x:v>
      </x:c>
      <x:c r="J1249" s="36" t="n">
        <x:v>0</x:v>
      </x:c>
      <x:c r="K1249" s="36" t="n">
        <x:v>0</x:v>
      </x:c>
      <x:c r="L1249" s="36" t="n">
        <x:v>0</x:v>
      </x:c>
      <x:c r="M1249" s="38" t="n">
        <x:v>3.3347022587268995</x:v>
      </x:c>
      <x:c r="N1249" s="36" t="n">
        <x:v>0</x:v>
      </x:c>
    </x:row>
    <x:row r="1250" ht="20" customHeight="1">
      <x:c r="C1250" s="1" t="n">
        <x:v>3</x:v>
      </x:c>
      <x:c r="D1250" s="1" t="n">
        <x:v>4</x:v>
      </x:c>
      <x:c r="E1250" s="1" t="n">
        <x:v>41</x:v>
      </x:c>
      <x:c r="F1250" s="32" t="n">
        <x:v>47529</x:v>
      </x:c>
      <x:c r="G1250" s="36" t="n">
        <x:v>0</x:v>
      </x:c>
      <x:c r="H1250" s="36" t="n">
        <x:v>0</x:v>
      </x:c>
      <x:c r="I1250" s="36" t="n">
        <x:v>0</x:v>
      </x:c>
      <x:c r="J1250" s="36" t="n">
        <x:v>0</x:v>
      </x:c>
      <x:c r="K1250" s="36" t="n">
        <x:v>0</x:v>
      </x:c>
      <x:c r="L1250" s="36" t="n">
        <x:v>0</x:v>
      </x:c>
      <x:c r="M1250" s="38" t="n">
        <x:v>3.4195756331279945</x:v>
      </x:c>
      <x:c r="N1250" s="36" t="n">
        <x:v>0</x:v>
      </x:c>
    </x:row>
    <x:row r="1251" ht="20" customHeight="1">
      <x:c r="C1251" s="1" t="n">
        <x:v>3</x:v>
      </x:c>
      <x:c r="D1251" s="1" t="n">
        <x:v>4</x:v>
      </x:c>
      <x:c r="E1251" s="1" t="n">
        <x:v>42</x:v>
      </x:c>
      <x:c r="F1251" s="32" t="n">
        <x:v>47557</x:v>
      </x:c>
      <x:c r="G1251" s="36" t="n">
        <x:v>0</x:v>
      </x:c>
      <x:c r="H1251" s="36" t="n">
        <x:v>0</x:v>
      </x:c>
      <x:c r="I1251" s="36" t="n">
        <x:v>0</x:v>
      </x:c>
      <x:c r="J1251" s="36" t="n">
        <x:v>0</x:v>
      </x:c>
      <x:c r="K1251" s="36" t="n">
        <x:v>0</x:v>
      </x:c>
      <x:c r="L1251" s="36" t="n">
        <x:v>0</x:v>
      </x:c>
      <x:c r="M1251" s="38" t="n">
        <x:v>3.4962354551676933</x:v>
      </x:c>
      <x:c r="N1251" s="36" t="n">
        <x:v>0</x:v>
      </x:c>
    </x:row>
    <x:row r="1252" ht="20" customHeight="1">
      <x:c r="C1252" s="1" t="n">
        <x:v>3</x:v>
      </x:c>
      <x:c r="D1252" s="1" t="n">
        <x:v>4</x:v>
      </x:c>
      <x:c r="E1252" s="1" t="n">
        <x:v>43</x:v>
      </x:c>
      <x:c r="F1252" s="32" t="n">
        <x:v>47588</x:v>
      </x:c>
      <x:c r="G1252" s="36" t="n">
        <x:v>0</x:v>
      </x:c>
      <x:c r="H1252" s="36" t="n">
        <x:v>0</x:v>
      </x:c>
      <x:c r="I1252" s="36" t="n">
        <x:v>0</x:v>
      </x:c>
      <x:c r="J1252" s="36" t="n">
        <x:v>0</x:v>
      </x:c>
      <x:c r="K1252" s="36" t="n">
        <x:v>0</x:v>
      </x:c>
      <x:c r="L1252" s="36" t="n">
        <x:v>0</x:v>
      </x:c>
      <x:c r="M1252" s="38" t="n">
        <x:v>3.5811088295687883</x:v>
      </x:c>
      <x:c r="N1252" s="36" t="n">
        <x:v>0</x:v>
      </x:c>
    </x:row>
    <x:row r="1253" ht="20" customHeight="1">
      <x:c r="C1253" s="1" t="n">
        <x:v>3</x:v>
      </x:c>
      <x:c r="D1253" s="1" t="n">
        <x:v>4</x:v>
      </x:c>
      <x:c r="E1253" s="1" t="n">
        <x:v>44</x:v>
      </x:c>
      <x:c r="F1253" s="32" t="n">
        <x:v>47618</x:v>
      </x:c>
      <x:c r="G1253" s="36" t="n">
        <x:v>0</x:v>
      </x:c>
      <x:c r="H1253" s="36" t="n">
        <x:v>0</x:v>
      </x:c>
      <x:c r="I1253" s="36" t="n">
        <x:v>0</x:v>
      </x:c>
      <x:c r="J1253" s="36" t="n">
        <x:v>0</x:v>
      </x:c>
      <x:c r="K1253" s="36" t="n">
        <x:v>0</x:v>
      </x:c>
      <x:c r="L1253" s="36" t="n">
        <x:v>0</x:v>
      </x:c>
      <x:c r="M1253" s="38" t="n">
        <x:v>3.6632443531827517</x:v>
      </x:c>
      <x:c r="N1253" s="36" t="n">
        <x:v>0</x:v>
      </x:c>
    </x:row>
    <x:row r="1254" ht="20" customHeight="1">
      <x:c r="C1254" s="1" t="n">
        <x:v>3</x:v>
      </x:c>
      <x:c r="D1254" s="1" t="n">
        <x:v>4</x:v>
      </x:c>
      <x:c r="E1254" s="1" t="n">
        <x:v>45</x:v>
      </x:c>
      <x:c r="F1254" s="32" t="n">
        <x:v>47651</x:v>
      </x:c>
      <x:c r="G1254" s="36" t="n">
        <x:v>0</x:v>
      </x:c>
      <x:c r="H1254" s="36" t="n">
        <x:v>0</x:v>
      </x:c>
      <x:c r="I1254" s="36" t="n">
        <x:v>0</x:v>
      </x:c>
      <x:c r="J1254" s="36" t="n">
        <x:v>0</x:v>
      </x:c>
      <x:c r="K1254" s="36" t="n">
        <x:v>0</x:v>
      </x:c>
      <x:c r="L1254" s="36" t="n">
        <x:v>0</x:v>
      </x:c>
      <x:c r="M1254" s="38" t="n">
        <x:v>3.753593429158111</x:v>
      </x:c>
      <x:c r="N1254" s="36" t="n">
        <x:v>0</x:v>
      </x:c>
    </x:row>
    <x:row r="1255" ht="20" customHeight="1">
      <x:c r="C1255" s="1" t="n">
        <x:v>3</x:v>
      </x:c>
      <x:c r="D1255" s="1" t="n">
        <x:v>4</x:v>
      </x:c>
      <x:c r="E1255" s="1" t="n">
        <x:v>46</x:v>
      </x:c>
      <x:c r="F1255" s="32" t="n">
        <x:v>47679</x:v>
      </x:c>
      <x:c r="G1255" s="36" t="n">
        <x:v>0</x:v>
      </x:c>
      <x:c r="H1255" s="36" t="n">
        <x:v>0</x:v>
      </x:c>
      <x:c r="I1255" s="36" t="n">
        <x:v>0</x:v>
      </x:c>
      <x:c r="J1255" s="36" t="n">
        <x:v>0</x:v>
      </x:c>
      <x:c r="K1255" s="36" t="n">
        <x:v>0</x:v>
      </x:c>
      <x:c r="L1255" s="36" t="n">
        <x:v>0</x:v>
      </x:c>
      <x:c r="M1255" s="38" t="n">
        <x:v>3.8302532511978096</x:v>
      </x:c>
      <x:c r="N1255" s="36" t="n">
        <x:v>0</x:v>
      </x:c>
    </x:row>
    <x:row r="1256" ht="20" customHeight="1">
      <x:c r="C1256" s="1" t="n">
        <x:v>3</x:v>
      </x:c>
      <x:c r="D1256" s="1" t="n">
        <x:v>4</x:v>
      </x:c>
      <x:c r="E1256" s="1" t="n">
        <x:v>47</x:v>
      </x:c>
      <x:c r="F1256" s="32" t="n">
        <x:v>47710</x:v>
      </x:c>
      <x:c r="G1256" s="36" t="n">
        <x:v>0</x:v>
      </x:c>
      <x:c r="H1256" s="36" t="n">
        <x:v>0</x:v>
      </x:c>
      <x:c r="I1256" s="36" t="n">
        <x:v>0</x:v>
      </x:c>
      <x:c r="J1256" s="36" t="n">
        <x:v>0</x:v>
      </x:c>
      <x:c r="K1256" s="36" t="n">
        <x:v>0</x:v>
      </x:c>
      <x:c r="L1256" s="36" t="n">
        <x:v>0</x:v>
      </x:c>
      <x:c r="M1256" s="38" t="n">
        <x:v>3.915126625598905</x:v>
      </x:c>
      <x:c r="N1256" s="36" t="n">
        <x:v>0</x:v>
      </x:c>
    </x:row>
    <x:row r="1257" ht="20" customHeight="1">
      <x:c r="C1257" s="1" t="n">
        <x:v>3</x:v>
      </x:c>
      <x:c r="D1257" s="1" t="n">
        <x:v>4</x:v>
      </x:c>
      <x:c r="E1257" s="1" t="n">
        <x:v>48</x:v>
      </x:c>
      <x:c r="F1257" s="32" t="n">
        <x:v>47742</x:v>
      </x:c>
      <x:c r="G1257" s="36" t="n">
        <x:v>0</x:v>
      </x:c>
      <x:c r="H1257" s="36" t="n">
        <x:v>0</x:v>
      </x:c>
      <x:c r="I1257" s="36" t="n">
        <x:v>0</x:v>
      </x:c>
      <x:c r="J1257" s="36" t="n">
        <x:v>0</x:v>
      </x:c>
      <x:c r="K1257" s="36" t="n">
        <x:v>0</x:v>
      </x:c>
      <x:c r="L1257" s="36" t="n">
        <x:v>0</x:v>
      </x:c>
      <x:c r="M1257" s="38" t="n">
        <x:v>4.002737850787132</x:v>
      </x:c>
      <x:c r="N1257" s="36" t="n">
        <x:v>0</x:v>
      </x:c>
    </x:row>
    <x:row r="1258" ht="20" customHeight="1">
      <x:c r="C1258" s="1" t="n">
        <x:v>3</x:v>
      </x:c>
      <x:c r="D1258" s="1" t="n">
        <x:v>4</x:v>
      </x:c>
      <x:c r="E1258" s="1" t="n">
        <x:v>49</x:v>
      </x:c>
      <x:c r="F1258" s="32" t="n">
        <x:v>47771</x:v>
      </x:c>
      <x:c r="G1258" s="36" t="n">
        <x:v>0</x:v>
      </x:c>
      <x:c r="H1258" s="36" t="n">
        <x:v>0</x:v>
      </x:c>
      <x:c r="I1258" s="36" t="n">
        <x:v>0</x:v>
      </x:c>
      <x:c r="J1258" s="36" t="n">
        <x:v>0</x:v>
      </x:c>
      <x:c r="K1258" s="36" t="n">
        <x:v>0</x:v>
      </x:c>
      <x:c r="L1258" s="36" t="n">
        <x:v>0</x:v>
      </x:c>
      <x:c r="M1258" s="38" t="n">
        <x:v>4.082135523613963</x:v>
      </x:c>
      <x:c r="N1258" s="36" t="n">
        <x:v>0</x:v>
      </x:c>
    </x:row>
    <x:row r="1259" ht="20" customHeight="1">
      <x:c r="C1259" s="1" t="n">
        <x:v>3</x:v>
      </x:c>
      <x:c r="D1259" s="1" t="n">
        <x:v>4</x:v>
      </x:c>
      <x:c r="E1259" s="1" t="n">
        <x:v>50</x:v>
      </x:c>
      <x:c r="F1259" s="32" t="n">
        <x:v>47802</x:v>
      </x:c>
      <x:c r="G1259" s="36" t="n">
        <x:v>0</x:v>
      </x:c>
      <x:c r="H1259" s="36" t="n">
        <x:v>0</x:v>
      </x:c>
      <x:c r="I1259" s="36" t="n">
        <x:v>0</x:v>
      </x:c>
      <x:c r="J1259" s="36" t="n">
        <x:v>0</x:v>
      </x:c>
      <x:c r="K1259" s="36" t="n">
        <x:v>0</x:v>
      </x:c>
      <x:c r="L1259" s="36" t="n">
        <x:v>0</x:v>
      </x:c>
      <x:c r="M1259" s="38" t="n">
        <x:v>4.167008898015058</x:v>
      </x:c>
      <x:c r="N1259" s="36" t="n">
        <x:v>0</x:v>
      </x:c>
    </x:row>
    <x:row r="1260" ht="20" customHeight="1">
      <x:c r="C1260" s="1" t="n">
        <x:v>3</x:v>
      </x:c>
      <x:c r="D1260" s="1" t="n">
        <x:v>4</x:v>
      </x:c>
      <x:c r="E1260" s="1" t="n">
        <x:v>51</x:v>
      </x:c>
      <x:c r="F1260" s="32" t="n">
        <x:v>47833</x:v>
      </x:c>
      <x:c r="G1260" s="36" t="n">
        <x:v>0</x:v>
      </x:c>
      <x:c r="H1260" s="36" t="n">
        <x:v>0</x:v>
      </x:c>
      <x:c r="I1260" s="36" t="n">
        <x:v>0</x:v>
      </x:c>
      <x:c r="J1260" s="36" t="n">
        <x:v>0</x:v>
      </x:c>
      <x:c r="K1260" s="36" t="n">
        <x:v>0</x:v>
      </x:c>
      <x:c r="L1260" s="36" t="n">
        <x:v>0</x:v>
      </x:c>
      <x:c r="M1260" s="38" t="n">
        <x:v>4.251882272416153</x:v>
      </x:c>
      <x:c r="N1260" s="36" t="n">
        <x:v>0</x:v>
      </x:c>
    </x:row>
    <x:row r="1261" ht="20" customHeight="1">
      <x:c r="C1261" s="1" t="n">
        <x:v>3</x:v>
      </x:c>
      <x:c r="D1261" s="1" t="n">
        <x:v>4</x:v>
      </x:c>
      <x:c r="E1261" s="1" t="n">
        <x:v>52</x:v>
      </x:c>
      <x:c r="F1261" s="32" t="n">
        <x:v>47863</x:v>
      </x:c>
      <x:c r="G1261" s="36" t="n">
        <x:v>0</x:v>
      </x:c>
      <x:c r="H1261" s="36" t="n">
        <x:v>0</x:v>
      </x:c>
      <x:c r="I1261" s="36" t="n">
        <x:v>0</x:v>
      </x:c>
      <x:c r="J1261" s="36" t="n">
        <x:v>0</x:v>
      </x:c>
      <x:c r="K1261" s="36" t="n">
        <x:v>0</x:v>
      </x:c>
      <x:c r="L1261" s="36" t="n">
        <x:v>0</x:v>
      </x:c>
      <x:c r="M1261" s="38" t="n">
        <x:v>4.334017796030117</x:v>
      </x:c>
      <x:c r="N1261" s="36" t="n">
        <x:v>0</x:v>
      </x:c>
    </x:row>
    <x:row r="1262" ht="20" customHeight="1">
      <x:c r="C1262" s="1" t="n">
        <x:v>3</x:v>
      </x:c>
      <x:c r="D1262" s="1" t="n">
        <x:v>4</x:v>
      </x:c>
      <x:c r="E1262" s="1" t="n">
        <x:v>53</x:v>
      </x:c>
      <x:c r="F1262" s="32" t="n">
        <x:v>47897</x:v>
      </x:c>
      <x:c r="G1262" s="36" t="n">
        <x:v>0</x:v>
      </x:c>
      <x:c r="H1262" s="36" t="n">
        <x:v>0</x:v>
      </x:c>
      <x:c r="I1262" s="36" t="n">
        <x:v>0</x:v>
      </x:c>
      <x:c r="J1262" s="36" t="n">
        <x:v>0</x:v>
      </x:c>
      <x:c r="K1262" s="36" t="n">
        <x:v>0</x:v>
      </x:c>
      <x:c r="L1262" s="36" t="n">
        <x:v>0</x:v>
      </x:c>
      <x:c r="M1262" s="38" t="n">
        <x:v>4.427104722792608</x:v>
      </x:c>
      <x:c r="N1262" s="36" t="n">
        <x:v>0</x:v>
      </x:c>
    </x:row>
    <x:row r="1263" ht="20" customHeight="1">
      <x:c r="C1263" s="1" t="n">
        <x:v>3</x:v>
      </x:c>
      <x:c r="D1263" s="1" t="n">
        <x:v>4</x:v>
      </x:c>
      <x:c r="E1263" s="1" t="n">
        <x:v>54</x:v>
      </x:c>
      <x:c r="F1263" s="32" t="n">
        <x:v>47924</x:v>
      </x:c>
      <x:c r="G1263" s="36" t="n">
        <x:v>0</x:v>
      </x:c>
      <x:c r="H1263" s="36" t="n">
        <x:v>0</x:v>
      </x:c>
      <x:c r="I1263" s="36" t="n">
        <x:v>0</x:v>
      </x:c>
      <x:c r="J1263" s="36" t="n">
        <x:v>0</x:v>
      </x:c>
      <x:c r="K1263" s="36" t="n">
        <x:v>0</x:v>
      </x:c>
      <x:c r="L1263" s="36" t="n">
        <x:v>0</x:v>
      </x:c>
      <x:c r="M1263" s="38" t="n">
        <x:v>4.501026694045175</x:v>
      </x:c>
      <x:c r="N1263" s="36" t="n">
        <x:v>0</x:v>
      </x:c>
    </x:row>
    <x:row r="1264" ht="20" customHeight="1">
      <x:c r="C1264" s="1" t="n">
        <x:v>3</x:v>
      </x:c>
      <x:c r="D1264" s="1" t="n">
        <x:v>4</x:v>
      </x:c>
      <x:c r="E1264" s="1" t="n">
        <x:v>55</x:v>
      </x:c>
      <x:c r="F1264" s="32" t="n">
        <x:v>47953</x:v>
      </x:c>
      <x:c r="G1264" s="36" t="n">
        <x:v>0</x:v>
      </x:c>
      <x:c r="H1264" s="36" t="n">
        <x:v>0</x:v>
      </x:c>
      <x:c r="I1264" s="36" t="n">
        <x:v>0</x:v>
      </x:c>
      <x:c r="J1264" s="36" t="n">
        <x:v>0</x:v>
      </x:c>
      <x:c r="K1264" s="36" t="n">
        <x:v>0</x:v>
      </x:c>
      <x:c r="L1264" s="36" t="n">
        <x:v>0</x:v>
      </x:c>
      <x:c r="M1264" s="38" t="n">
        <x:v>4.5804243668720055</x:v>
      </x:c>
      <x:c r="N1264" s="36" t="n">
        <x:v>0</x:v>
      </x:c>
    </x:row>
    <x:row r="1265" ht="20" customHeight="1">
      <x:c r="C1265" s="1" t="n">
        <x:v>3</x:v>
      </x:c>
      <x:c r="D1265" s="1" t="n">
        <x:v>4</x:v>
      </x:c>
      <x:c r="E1265" s="1" t="n">
        <x:v>56</x:v>
      </x:c>
      <x:c r="F1265" s="32" t="n">
        <x:v>47983</x:v>
      </x:c>
      <x:c r="G1265" s="36" t="n">
        <x:v>0</x:v>
      </x:c>
      <x:c r="H1265" s="36" t="n">
        <x:v>0</x:v>
      </x:c>
      <x:c r="I1265" s="36" t="n">
        <x:v>0</x:v>
      </x:c>
      <x:c r="J1265" s="36" t="n">
        <x:v>0</x:v>
      </x:c>
      <x:c r="K1265" s="36" t="n">
        <x:v>0</x:v>
      </x:c>
      <x:c r="L1265" s="36" t="n">
        <x:v>0</x:v>
      </x:c>
      <x:c r="M1265" s="38" t="n">
        <x:v>4.662559890485968</x:v>
      </x:c>
      <x:c r="N1265" s="36" t="n">
        <x:v>0</x:v>
      </x:c>
    </x:row>
    <x:row r="1266" ht="20" customHeight="1">
      <x:c r="C1266" s="1" t="n">
        <x:v>3</x:v>
      </x:c>
      <x:c r="D1266" s="1" t="n">
        <x:v>4</x:v>
      </x:c>
      <x:c r="E1266" s="1" t="n">
        <x:v>57</x:v>
      </x:c>
      <x:c r="F1266" s="32" t="n">
        <x:v>48015</x:v>
      </x:c>
      <x:c r="G1266" s="36" t="n">
        <x:v>0</x:v>
      </x:c>
      <x:c r="H1266" s="36" t="n">
        <x:v>0</x:v>
      </x:c>
      <x:c r="I1266" s="36" t="n">
        <x:v>0</x:v>
      </x:c>
      <x:c r="J1266" s="36" t="n">
        <x:v>0</x:v>
      </x:c>
      <x:c r="K1266" s="36" t="n">
        <x:v>0</x:v>
      </x:c>
      <x:c r="L1266" s="36" t="n">
        <x:v>0</x:v>
      </x:c>
      <x:c r="M1266" s="38" t="n">
        <x:v>4.7501711156741955</x:v>
      </x:c>
      <x:c r="N1266" s="36" t="n">
        <x:v>0</x:v>
      </x:c>
    </x:row>
    <x:row r="1267" ht="20" customHeight="1">
      <x:c r="C1267" s="1" t="n">
        <x:v>3</x:v>
      </x:c>
      <x:c r="D1267" s="1" t="n">
        <x:v>4</x:v>
      </x:c>
      <x:c r="E1267" s="1" t="n">
        <x:v>58</x:v>
      </x:c>
      <x:c r="F1267" s="32" t="n">
        <x:v>48044</x:v>
      </x:c>
      <x:c r="G1267" s="36" t="n">
        <x:v>0</x:v>
      </x:c>
      <x:c r="H1267" s="36" t="n">
        <x:v>0</x:v>
      </x:c>
      <x:c r="I1267" s="36" t="n">
        <x:v>0</x:v>
      </x:c>
      <x:c r="J1267" s="36" t="n">
        <x:v>0</x:v>
      </x:c>
      <x:c r="K1267" s="36" t="n">
        <x:v>0</x:v>
      </x:c>
      <x:c r="L1267" s="36" t="n">
        <x:v>0</x:v>
      </x:c>
      <x:c r="M1267" s="38" t="n">
        <x:v>4.829568788501026</x:v>
      </x:c>
      <x:c r="N1267" s="36" t="n">
        <x:v>0</x:v>
      </x:c>
    </x:row>
    <x:row r="1268" ht="20" customHeight="1">
      <x:c r="C1268" s="1" t="n">
        <x:v>3</x:v>
      </x:c>
      <x:c r="D1268" s="1" t="n">
        <x:v>4</x:v>
      </x:c>
      <x:c r="E1268" s="1" t="n">
        <x:v>59</x:v>
      </x:c>
      <x:c r="F1268" s="32" t="n">
        <x:v>48075</x:v>
      </x:c>
      <x:c r="G1268" s="36" t="n">
        <x:v>0</x:v>
      </x:c>
      <x:c r="H1268" s="36" t="n">
        <x:v>0</x:v>
      </x:c>
      <x:c r="I1268" s="36" t="n">
        <x:v>0</x:v>
      </x:c>
      <x:c r="J1268" s="36" t="n">
        <x:v>0</x:v>
      </x:c>
      <x:c r="K1268" s="36" t="n">
        <x:v>0</x:v>
      </x:c>
      <x:c r="L1268" s="36" t="n">
        <x:v>0</x:v>
      </x:c>
      <x:c r="M1268" s="38" t="n">
        <x:v>4.914442162902122</x:v>
      </x:c>
      <x:c r="N1268" s="36" t="n">
        <x:v>0</x:v>
      </x:c>
    </x:row>
    <x:row r="1269" ht="20" customHeight="1">
      <x:c r="C1269" s="1" t="n">
        <x:v>3</x:v>
      </x:c>
      <x:c r="D1269" s="1" t="n">
        <x:v>4</x:v>
      </x:c>
      <x:c r="E1269" s="1" t="n">
        <x:v>60</x:v>
      </x:c>
      <x:c r="F1269" s="32" t="n">
        <x:v>48106</x:v>
      </x:c>
      <x:c r="G1269" s="36" t="n">
        <x:v>0</x:v>
      </x:c>
      <x:c r="H1269" s="36" t="n">
        <x:v>0</x:v>
      </x:c>
      <x:c r="I1269" s="36" t="n">
        <x:v>0</x:v>
      </x:c>
      <x:c r="J1269" s="36" t="n">
        <x:v>0</x:v>
      </x:c>
      <x:c r="K1269" s="36" t="n">
        <x:v>0</x:v>
      </x:c>
      <x:c r="L1269" s="36" t="n">
        <x:v>0</x:v>
      </x:c>
      <x:c r="M1269" s="38" t="n">
        <x:v>4.999315537303217</x:v>
      </x:c>
      <x:c r="N1269" s="36" t="n">
        <x:v>0</x:v>
      </x:c>
    </x:row>
    <x:row r="1270" ht="20" customHeight="1">
      <x:c r="C1270" s="1" t="n">
        <x:v>3</x:v>
      </x:c>
      <x:c r="D1270" s="1" t="n">
        <x:v>4</x:v>
      </x:c>
      <x:c r="E1270" s="1" t="n">
        <x:v>61</x:v>
      </x:c>
      <x:c r="F1270" s="32" t="n">
        <x:v>48136</x:v>
      </x:c>
      <x:c r="G1270" s="36" t="n">
        <x:v>0</x:v>
      </x:c>
      <x:c r="H1270" s="36" t="n">
        <x:v>0</x:v>
      </x:c>
      <x:c r="I1270" s="36" t="n">
        <x:v>0</x:v>
      </x:c>
      <x:c r="J1270" s="36" t="n">
        <x:v>0</x:v>
      </x:c>
      <x:c r="K1270" s="36" t="n">
        <x:v>0</x:v>
      </x:c>
      <x:c r="L1270" s="36" t="n">
        <x:v>0</x:v>
      </x:c>
      <x:c r="M1270" s="38" t="n">
        <x:v>5.08145106091718</x:v>
      </x:c>
      <x:c r="N1270" s="36" t="n">
        <x:v>0</x:v>
      </x:c>
    </x:row>
    <x:row r="1271" ht="20" customHeight="1">
      <x:c r="C1271" s="1" t="n">
        <x:v>3</x:v>
      </x:c>
      <x:c r="D1271" s="1" t="n">
        <x:v>4</x:v>
      </x:c>
      <x:c r="E1271" s="1" t="n">
        <x:v>62</x:v>
      </x:c>
      <x:c r="F1271" s="32" t="n">
        <x:v>48169</x:v>
      </x:c>
      <x:c r="G1271" s="36" t="n">
        <x:v>0</x:v>
      </x:c>
      <x:c r="H1271" s="36" t="n">
        <x:v>0</x:v>
      </x:c>
      <x:c r="I1271" s="36" t="n">
        <x:v>0</x:v>
      </x:c>
      <x:c r="J1271" s="36" t="n">
        <x:v>0</x:v>
      </x:c>
      <x:c r="K1271" s="36" t="n">
        <x:v>0</x:v>
      </x:c>
      <x:c r="L1271" s="36" t="n">
        <x:v>0</x:v>
      </x:c>
      <x:c r="M1271" s="38" t="n">
        <x:v>5.171800136892539</x:v>
      </x:c>
      <x:c r="N1271" s="36" t="n">
        <x:v>0</x:v>
      </x:c>
    </x:row>
    <x:row r="1272" ht="20" customHeight="1">
      <x:c r="C1272" s="1" t="n">
        <x:v>3</x:v>
      </x:c>
      <x:c r="D1272" s="1" t="n">
        <x:v>4</x:v>
      </x:c>
      <x:c r="E1272" s="1" t="n">
        <x:v>63</x:v>
      </x:c>
      <x:c r="F1272" s="32" t="n">
        <x:v>48197</x:v>
      </x:c>
      <x:c r="G1272" s="36" t="n">
        <x:v>0</x:v>
      </x:c>
      <x:c r="H1272" s="36" t="n">
        <x:v>0</x:v>
      </x:c>
      <x:c r="I1272" s="36" t="n">
        <x:v>0</x:v>
      </x:c>
      <x:c r="J1272" s="36" t="n">
        <x:v>0</x:v>
      </x:c>
      <x:c r="K1272" s="36" t="n">
        <x:v>0</x:v>
      </x:c>
      <x:c r="L1272" s="36" t="n">
        <x:v>0</x:v>
      </x:c>
      <x:c r="M1272" s="38" t="n">
        <x:v>5.248459958932238</x:v>
      </x:c>
      <x:c r="N1272" s="36" t="n">
        <x:v>0</x:v>
      </x:c>
    </x:row>
    <x:row r="1273" ht="20" customHeight="1">
      <x:c r="C1273" s="1" t="n">
        <x:v>3</x:v>
      </x:c>
      <x:c r="D1273" s="1" t="n">
        <x:v>4</x:v>
      </x:c>
      <x:c r="E1273" s="1" t="n">
        <x:v>64</x:v>
      </x:c>
      <x:c r="F1273" s="32" t="n">
        <x:v>48228</x:v>
      </x:c>
      <x:c r="G1273" s="36" t="n">
        <x:v>0</x:v>
      </x:c>
      <x:c r="H1273" s="36" t="n">
        <x:v>0</x:v>
      </x:c>
      <x:c r="I1273" s="36" t="n">
        <x:v>0</x:v>
      </x:c>
      <x:c r="J1273" s="36" t="n">
        <x:v>0</x:v>
      </x:c>
      <x:c r="K1273" s="36" t="n">
        <x:v>0</x:v>
      </x:c>
      <x:c r="L1273" s="36" t="n">
        <x:v>0</x:v>
      </x:c>
      <x:c r="M1273" s="38" t="n">
        <x:v>5.333333333333333</x:v>
      </x:c>
      <x:c r="N1273" s="36" t="n">
        <x:v>0</x:v>
      </x:c>
    </x:row>
    <x:row r="1274" ht="20" customHeight="1">
      <x:c r="C1274" s="1" t="n">
        <x:v>3</x:v>
      </x:c>
      <x:c r="D1274" s="1" t="n">
        <x:v>4</x:v>
      </x:c>
      <x:c r="E1274" s="1" t="n">
        <x:v>65</x:v>
      </x:c>
      <x:c r="F1274" s="32" t="n">
        <x:v>48261</x:v>
      </x:c>
      <x:c r="G1274" s="36" t="n">
        <x:v>0</x:v>
      </x:c>
      <x:c r="H1274" s="36" t="n">
        <x:v>0</x:v>
      </x:c>
      <x:c r="I1274" s="36" t="n">
        <x:v>0</x:v>
      </x:c>
      <x:c r="J1274" s="36" t="n">
        <x:v>0</x:v>
      </x:c>
      <x:c r="K1274" s="36" t="n">
        <x:v>0</x:v>
      </x:c>
      <x:c r="L1274" s="36" t="n">
        <x:v>0</x:v>
      </x:c>
      <x:c r="M1274" s="38" t="n">
        <x:v>5.423682409308693</x:v>
      </x:c>
      <x:c r="N1274" s="36" t="n">
        <x:v>0</x:v>
      </x:c>
    </x:row>
    <x:row r="1275" ht="20" customHeight="1">
      <x:c r="C1275" s="1" t="n">
        <x:v>3</x:v>
      </x:c>
      <x:c r="D1275" s="1" t="n">
        <x:v>4</x:v>
      </x:c>
      <x:c r="E1275" s="1" t="n">
        <x:v>66</x:v>
      </x:c>
      <x:c r="F1275" s="32" t="n">
        <x:v>48288</x:v>
      </x:c>
      <x:c r="G1275" s="36" t="n">
        <x:v>0</x:v>
      </x:c>
      <x:c r="H1275" s="36" t="n">
        <x:v>0</x:v>
      </x:c>
      <x:c r="I1275" s="36" t="n">
        <x:v>0</x:v>
      </x:c>
      <x:c r="J1275" s="36" t="n">
        <x:v>0</x:v>
      </x:c>
      <x:c r="K1275" s="36" t="n">
        <x:v>0</x:v>
      </x:c>
      <x:c r="L1275" s="36" t="n">
        <x:v>0</x:v>
      </x:c>
      <x:c r="M1275" s="38" t="n">
        <x:v>5.49760438056126</x:v>
      </x:c>
      <x:c r="N1275" s="36" t="n">
        <x:v>0</x:v>
      </x:c>
    </x:row>
    <x:row r="1276" ht="20" customHeight="1">
      <x:c r="C1276" s="1" t="n">
        <x:v>3</x:v>
      </x:c>
      <x:c r="D1276" s="1" t="n">
        <x:v>4</x:v>
      </x:c>
      <x:c r="E1276" s="1" t="n">
        <x:v>67</x:v>
      </x:c>
      <x:c r="F1276" s="32" t="n">
        <x:v>48319</x:v>
      </x:c>
      <x:c r="G1276" s="36" t="n">
        <x:v>0</x:v>
      </x:c>
      <x:c r="H1276" s="36" t="n">
        <x:v>0</x:v>
      </x:c>
      <x:c r="I1276" s="36" t="n">
        <x:v>0</x:v>
      </x:c>
      <x:c r="J1276" s="36" t="n">
        <x:v>0</x:v>
      </x:c>
      <x:c r="K1276" s="36" t="n">
        <x:v>0</x:v>
      </x:c>
      <x:c r="L1276" s="36" t="n">
        <x:v>0</x:v>
      </x:c>
      <x:c r="M1276" s="38" t="n">
        <x:v>5.582477754962355</x:v>
      </x:c>
      <x:c r="N1276" s="36" t="n">
        <x:v>0</x:v>
      </x:c>
    </x:row>
    <x:row r="1277" ht="20" customHeight="1">
      <x:c r="C1277" s="1" t="n">
        <x:v>3</x:v>
      </x:c>
      <x:c r="D1277" s="1" t="n">
        <x:v>5</x:v>
      </x:c>
      <x:c r="E1277" s="1" t="n">
        <x:v>1</x:v>
      </x:c>
      <x:c r="F1277" s="32" t="n">
        <x:v>46310</x:v>
      </x:c>
      <x:c r="G1277" s="36" t="n">
        <x:v>89000000</x:v>
      </x:c>
      <x:c r="H1277" s="36" t="n">
        <x:v>344875</x:v>
      </x:c>
      <x:c r="I1277" s="36" t="n">
        <x:v>0</x:v>
      </x:c>
      <x:c r="J1277" s="36" t="n">
        <x:v>0</x:v>
      </x:c>
      <x:c r="K1277" s="36" t="n">
        <x:v>89000000</x:v>
      </x:c>
      <x:c r="L1277" s="36" t="n">
        <x:v>0</x:v>
      </x:c>
      <x:c r="M1277" s="38" t="n">
        <x:v>0.08213552361396304</x:v>
      </x:c>
      <x:c r="N1277" s="36" t="n">
        <x:v>89000000</x:v>
      </x:c>
    </x:row>
    <x:row r="1278" ht="20" customHeight="1">
      <x:c r="C1278" s="1" t="n">
        <x:v>3</x:v>
      </x:c>
      <x:c r="D1278" s="1" t="n">
        <x:v>5</x:v>
      </x:c>
      <x:c r="E1278" s="1" t="n">
        <x:v>2</x:v>
      </x:c>
      <x:c r="F1278" s="32" t="n">
        <x:v>46342</x:v>
      </x:c>
      <x:c r="G1278" s="36" t="n">
        <x:v>89000000</x:v>
      </x:c>
      <x:c r="H1278" s="36" t="n">
        <x:v>344875</x:v>
      </x:c>
      <x:c r="I1278" s="36" t="n">
        <x:v>0</x:v>
      </x:c>
      <x:c r="J1278" s="36" t="n">
        <x:v>0</x:v>
      </x:c>
      <x:c r="K1278" s="36" t="n">
        <x:v>89000000</x:v>
      </x:c>
      <x:c r="L1278" s="36" t="n">
        <x:v>0</x:v>
      </x:c>
      <x:c r="M1278" s="38" t="n">
        <x:v>0.1697467488021903</x:v>
      </x:c>
      <x:c r="N1278" s="36" t="n">
        <x:v>89000000</x:v>
      </x:c>
    </x:row>
    <x:row r="1279" ht="20" customHeight="1">
      <x:c r="C1279" s="1" t="n">
        <x:v>3</x:v>
      </x:c>
      <x:c r="D1279" s="1" t="n">
        <x:v>5</x:v>
      </x:c>
      <x:c r="E1279" s="1" t="n">
        <x:v>3</x:v>
      </x:c>
      <x:c r="F1279" s="32" t="n">
        <x:v>46371</x:v>
      </x:c>
      <x:c r="G1279" s="36" t="n">
        <x:v>89000000</x:v>
      </x:c>
      <x:c r="H1279" s="36" t="n">
        <x:v>344875</x:v>
      </x:c>
      <x:c r="I1279" s="36" t="n">
        <x:v>0</x:v>
      </x:c>
      <x:c r="J1279" s="36" t="n">
        <x:v>0</x:v>
      </x:c>
      <x:c r="K1279" s="36" t="n">
        <x:v>89000000</x:v>
      </x:c>
      <x:c r="L1279" s="36" t="n">
        <x:v>0</x:v>
      </x:c>
      <x:c r="M1279" s="38" t="n">
        <x:v>0.24914442162902123</x:v>
      </x:c>
      <x:c r="N1279" s="36" t="n">
        <x:v>89000000</x:v>
      </x:c>
    </x:row>
    <x:row r="1280" ht="20" customHeight="1">
      <x:c r="C1280" s="1" t="n">
        <x:v>3</x:v>
      </x:c>
      <x:c r="D1280" s="1" t="n">
        <x:v>5</x:v>
      </x:c>
      <x:c r="E1280" s="1" t="n">
        <x:v>4</x:v>
      </x:c>
      <x:c r="F1280" s="32" t="n">
        <x:v>46402</x:v>
      </x:c>
      <x:c r="G1280" s="36" t="n">
        <x:v>89000000</x:v>
      </x:c>
      <x:c r="H1280" s="36" t="n">
        <x:v>344875</x:v>
      </x:c>
      <x:c r="I1280" s="36" t="n">
        <x:v>0</x:v>
      </x:c>
      <x:c r="J1280" s="36" t="n">
        <x:v>0</x:v>
      </x:c>
      <x:c r="K1280" s="36" t="n">
        <x:v>89000000</x:v>
      </x:c>
      <x:c r="L1280" s="36" t="n">
        <x:v>0</x:v>
      </x:c>
      <x:c r="M1280" s="38" t="n">
        <x:v>0.33401779603011633</x:v>
      </x:c>
      <x:c r="N1280" s="36" t="n">
        <x:v>89000000</x:v>
      </x:c>
    </x:row>
    <x:row r="1281" ht="20" customHeight="1">
      <x:c r="C1281" s="1" t="n">
        <x:v>3</x:v>
      </x:c>
      <x:c r="D1281" s="1" t="n">
        <x:v>5</x:v>
      </x:c>
      <x:c r="E1281" s="1" t="n">
        <x:v>5</x:v>
      </x:c>
      <x:c r="F1281" s="32" t="n">
        <x:v>46434</x:v>
      </x:c>
      <x:c r="G1281" s="36" t="n">
        <x:v>89000000</x:v>
      </x:c>
      <x:c r="H1281" s="36" t="n">
        <x:v>344875</x:v>
      </x:c>
      <x:c r="I1281" s="36" t="n">
        <x:v>0</x:v>
      </x:c>
      <x:c r="J1281" s="36" t="n">
        <x:v>0</x:v>
      </x:c>
      <x:c r="K1281" s="36" t="n">
        <x:v>89000000</x:v>
      </x:c>
      <x:c r="L1281" s="36" t="n">
        <x:v>0</x:v>
      </x:c>
      <x:c r="M1281" s="38" t="n">
        <x:v>0.4216290212183436</x:v>
      </x:c>
      <x:c r="N1281" s="36" t="n">
        <x:v>89000000</x:v>
      </x:c>
    </x:row>
    <x:row r="1282" ht="20" customHeight="1">
      <x:c r="C1282" s="1" t="n">
        <x:v>3</x:v>
      </x:c>
      <x:c r="D1282" s="1" t="n">
        <x:v>5</x:v>
      </x:c>
      <x:c r="E1282" s="1" t="n">
        <x:v>6</x:v>
      </x:c>
      <x:c r="F1282" s="32" t="n">
        <x:v>46461</x:v>
      </x:c>
      <x:c r="G1282" s="36" t="n">
        <x:v>89000000</x:v>
      </x:c>
      <x:c r="H1282" s="36" t="n">
        <x:v>344875</x:v>
      </x:c>
      <x:c r="I1282" s="36" t="n">
        <x:v>0</x:v>
      </x:c>
      <x:c r="J1282" s="36" t="n">
        <x:v>0</x:v>
      </x:c>
      <x:c r="K1282" s="36" t="n">
        <x:v>89000000</x:v>
      </x:c>
      <x:c r="L1282" s="36" t="n">
        <x:v>0</x:v>
      </x:c>
      <x:c r="M1282" s="38" t="n">
        <x:v>0.49555099247091033</x:v>
      </x:c>
      <x:c r="N1282" s="36" t="n">
        <x:v>89000000</x:v>
      </x:c>
    </x:row>
    <x:row r="1283" ht="20" customHeight="1">
      <x:c r="C1283" s="1" t="n">
        <x:v>3</x:v>
      </x:c>
      <x:c r="D1283" s="1" t="n">
        <x:v>5</x:v>
      </x:c>
      <x:c r="E1283" s="1" t="n">
        <x:v>7</x:v>
      </x:c>
      <x:c r="F1283" s="32" t="n">
        <x:v>46492</x:v>
      </x:c>
      <x:c r="G1283" s="36" t="n">
        <x:v>89000000</x:v>
      </x:c>
      <x:c r="H1283" s="36" t="n">
        <x:v>344875</x:v>
      </x:c>
      <x:c r="I1283" s="36" t="n">
        <x:v>0</x:v>
      </x:c>
      <x:c r="J1283" s="36" t="n">
        <x:v>0</x:v>
      </x:c>
      <x:c r="K1283" s="36" t="n">
        <x:v>89000000</x:v>
      </x:c>
      <x:c r="L1283" s="36" t="n">
        <x:v>0</x:v>
      </x:c>
      <x:c r="M1283" s="38" t="n">
        <x:v>0.5804243668720055</x:v>
      </x:c>
      <x:c r="N1283" s="36" t="n">
        <x:v>89000000</x:v>
      </x:c>
    </x:row>
    <x:row r="1284" ht="20" customHeight="1">
      <x:c r="C1284" s="1" t="n">
        <x:v>3</x:v>
      </x:c>
      <x:c r="D1284" s="1" t="n">
        <x:v>5</x:v>
      </x:c>
      <x:c r="E1284" s="1" t="n">
        <x:v>8</x:v>
      </x:c>
      <x:c r="F1284" s="32" t="n">
        <x:v>46524</x:v>
      </x:c>
      <x:c r="G1284" s="36" t="n">
        <x:v>89000000</x:v>
      </x:c>
      <x:c r="H1284" s="36" t="n">
        <x:v>344875</x:v>
      </x:c>
      <x:c r="I1284" s="36" t="n">
        <x:v>0</x:v>
      </x:c>
      <x:c r="J1284" s="36" t="n">
        <x:v>0</x:v>
      </x:c>
      <x:c r="K1284" s="36" t="n">
        <x:v>89000000</x:v>
      </x:c>
      <x:c r="L1284" s="36" t="n">
        <x:v>0</x:v>
      </x:c>
      <x:c r="M1284" s="38" t="n">
        <x:v>0.6680355920602327</x:v>
      </x:c>
      <x:c r="N1284" s="36" t="n">
        <x:v>89000000</x:v>
      </x:c>
    </x:row>
    <x:row r="1285" ht="20" customHeight="1">
      <x:c r="C1285" s="1" t="n">
        <x:v>3</x:v>
      </x:c>
      <x:c r="D1285" s="1" t="n">
        <x:v>5</x:v>
      </x:c>
      <x:c r="E1285" s="1" t="n">
        <x:v>9</x:v>
      </x:c>
      <x:c r="F1285" s="32" t="n">
        <x:v>46553</x:v>
      </x:c>
      <x:c r="G1285" s="36" t="n">
        <x:v>89000000</x:v>
      </x:c>
      <x:c r="H1285" s="36" t="n">
        <x:v>344875</x:v>
      </x:c>
      <x:c r="I1285" s="36" t="n">
        <x:v>0</x:v>
      </x:c>
      <x:c r="J1285" s="36" t="n">
        <x:v>0</x:v>
      </x:c>
      <x:c r="K1285" s="36" t="n">
        <x:v>89000000</x:v>
      </x:c>
      <x:c r="L1285" s="36" t="n">
        <x:v>0</x:v>
      </x:c>
      <x:c r="M1285" s="38" t="n">
        <x:v>0.7474332648870636</x:v>
      </x:c>
      <x:c r="N1285" s="36" t="n">
        <x:v>89000000</x:v>
      </x:c>
    </x:row>
    <x:row r="1286" ht="20" customHeight="1">
      <x:c r="C1286" s="1" t="n">
        <x:v>3</x:v>
      </x:c>
      <x:c r="D1286" s="1" t="n">
        <x:v>5</x:v>
      </x:c>
      <x:c r="E1286" s="1" t="n">
        <x:v>10</x:v>
      </x:c>
      <x:c r="F1286" s="32" t="n">
        <x:v>46583</x:v>
      </x:c>
      <x:c r="G1286" s="36" t="n">
        <x:v>89000000</x:v>
      </x:c>
      <x:c r="H1286" s="36" t="n">
        <x:v>344875</x:v>
      </x:c>
      <x:c r="I1286" s="36" t="n">
        <x:v>0</x:v>
      </x:c>
      <x:c r="J1286" s="36" t="n">
        <x:v>0</x:v>
      </x:c>
      <x:c r="K1286" s="36" t="n">
        <x:v>89000000</x:v>
      </x:c>
      <x:c r="L1286" s="36" t="n">
        <x:v>0</x:v>
      </x:c>
      <x:c r="M1286" s="38" t="n">
        <x:v>0.8295687885010267</x:v>
      </x:c>
      <x:c r="N1286" s="36" t="n">
        <x:v>89000000</x:v>
      </x:c>
    </x:row>
    <x:row r="1287" ht="20" customHeight="1">
      <x:c r="C1287" s="1" t="n">
        <x:v>3</x:v>
      </x:c>
      <x:c r="D1287" s="1" t="n">
        <x:v>5</x:v>
      </x:c>
      <x:c r="E1287" s="1" t="n">
        <x:v>11</x:v>
      </x:c>
      <x:c r="F1287" s="32" t="n">
        <x:v>46615</x:v>
      </x:c>
      <x:c r="G1287" s="36" t="n">
        <x:v>89000000</x:v>
      </x:c>
      <x:c r="H1287" s="36" t="n">
        <x:v>344875</x:v>
      </x:c>
      <x:c r="I1287" s="36" t="n">
        <x:v>0</x:v>
      </x:c>
      <x:c r="J1287" s="36" t="n">
        <x:v>0</x:v>
      </x:c>
      <x:c r="K1287" s="36" t="n">
        <x:v>89000000</x:v>
      </x:c>
      <x:c r="L1287" s="36" t="n">
        <x:v>0</x:v>
      </x:c>
      <x:c r="M1287" s="38" t="n">
        <x:v>0.917180013689254</x:v>
      </x:c>
      <x:c r="N1287" s="36" t="n">
        <x:v>89000000</x:v>
      </x:c>
    </x:row>
    <x:row r="1288" ht="20" customHeight="1">
      <x:c r="C1288" s="1" t="n">
        <x:v>3</x:v>
      </x:c>
      <x:c r="D1288" s="1" t="n">
        <x:v>5</x:v>
      </x:c>
      <x:c r="E1288" s="1" t="n">
        <x:v>12</x:v>
      </x:c>
      <x:c r="F1288" s="32" t="n">
        <x:v>46645</x:v>
      </x:c>
      <x:c r="G1288" s="36" t="n">
        <x:v>89000000</x:v>
      </x:c>
      <x:c r="H1288" s="36" t="n">
        <x:v>344875</x:v>
      </x:c>
      <x:c r="I1288" s="36" t="n">
        <x:v>0</x:v>
      </x:c>
      <x:c r="J1288" s="36" t="n">
        <x:v>0</x:v>
      </x:c>
      <x:c r="K1288" s="36" t="n">
        <x:v>89000000</x:v>
      </x:c>
      <x:c r="L1288" s="36" t="n">
        <x:v>0</x:v>
      </x:c>
      <x:c r="M1288" s="38" t="n">
        <x:v>0.999315537303217</x:v>
      </x:c>
      <x:c r="N1288" s="36" t="n">
        <x:v>89000000</x:v>
      </x:c>
    </x:row>
    <x:row r="1289" ht="20" customHeight="1">
      <x:c r="C1289" s="1" t="n">
        <x:v>3</x:v>
      </x:c>
      <x:c r="D1289" s="1" t="n">
        <x:v>5</x:v>
      </x:c>
      <x:c r="E1289" s="1" t="n">
        <x:v>13</x:v>
      </x:c>
      <x:c r="F1289" s="32" t="n">
        <x:v>46675</x:v>
      </x:c>
      <x:c r="G1289" s="36" t="n">
        <x:v>89000000</x:v>
      </x:c>
      <x:c r="H1289" s="36" t="n">
        <x:v>344875</x:v>
      </x:c>
      <x:c r="I1289" s="36" t="n">
        <x:v>0</x:v>
      </x:c>
      <x:c r="J1289" s="36" t="n">
        <x:v>0</x:v>
      </x:c>
      <x:c r="K1289" s="36" t="n">
        <x:v>89000000</x:v>
      </x:c>
      <x:c r="L1289" s="36" t="n">
        <x:v>0</x:v>
      </x:c>
      <x:c r="M1289" s="38" t="n">
        <x:v>1.08145106091718</x:v>
      </x:c>
      <x:c r="N1289" s="36" t="n">
        <x:v>89000000</x:v>
      </x:c>
    </x:row>
    <x:row r="1290" ht="20" customHeight="1">
      <x:c r="C1290" s="1" t="n">
        <x:v>3</x:v>
      </x:c>
      <x:c r="D1290" s="1" t="n">
        <x:v>5</x:v>
      </x:c>
      <x:c r="E1290" s="1" t="n">
        <x:v>14</x:v>
      </x:c>
      <x:c r="F1290" s="32" t="n">
        <x:v>46706</x:v>
      </x:c>
      <x:c r="G1290" s="36" t="n">
        <x:v>89000000</x:v>
      </x:c>
      <x:c r="H1290" s="36" t="n">
        <x:v>344875</x:v>
      </x:c>
      <x:c r="I1290" s="36" t="n">
        <x:v>0</x:v>
      </x:c>
      <x:c r="J1290" s="36" t="n">
        <x:v>0</x:v>
      </x:c>
      <x:c r="K1290" s="36" t="n">
        <x:v>89000000</x:v>
      </x:c>
      <x:c r="L1290" s="36" t="n">
        <x:v>0</x:v>
      </x:c>
      <x:c r="M1290" s="38" t="n">
        <x:v>1.1663244353182751</x:v>
      </x:c>
      <x:c r="N1290" s="36" t="n">
        <x:v>89000000</x:v>
      </x:c>
    </x:row>
    <x:row r="1291" ht="20" customHeight="1">
      <x:c r="C1291" s="1" t="n">
        <x:v>3</x:v>
      </x:c>
      <x:c r="D1291" s="1" t="n">
        <x:v>5</x:v>
      </x:c>
      <x:c r="E1291" s="1" t="n">
        <x:v>15</x:v>
      </x:c>
      <x:c r="F1291" s="32" t="n">
        <x:v>46736</x:v>
      </x:c>
      <x:c r="G1291" s="36" t="n">
        <x:v>89000000</x:v>
      </x:c>
      <x:c r="H1291" s="36" t="n">
        <x:v>344875</x:v>
      </x:c>
      <x:c r="I1291" s="36" t="n">
        <x:v>0</x:v>
      </x:c>
      <x:c r="J1291" s="36" t="n">
        <x:v>0</x:v>
      </x:c>
      <x:c r="K1291" s="36" t="n">
        <x:v>89000000</x:v>
      </x:c>
      <x:c r="L1291" s="36" t="n">
        <x:v>0</x:v>
      </x:c>
      <x:c r="M1291" s="38" t="n">
        <x:v>1.2484599589322383</x:v>
      </x:c>
      <x:c r="N1291" s="36" t="n">
        <x:v>89000000</x:v>
      </x:c>
    </x:row>
    <x:row r="1292" ht="20" customHeight="1">
      <x:c r="C1292" s="1" t="n">
        <x:v>3</x:v>
      </x:c>
      <x:c r="D1292" s="1" t="n">
        <x:v>5</x:v>
      </x:c>
      <x:c r="E1292" s="1" t="n">
        <x:v>16</x:v>
      </x:c>
      <x:c r="F1292" s="32" t="n">
        <x:v>46770</x:v>
      </x:c>
      <x:c r="G1292" s="36" t="n">
        <x:v>89000000</x:v>
      </x:c>
      <x:c r="H1292" s="36" t="n">
        <x:v>344875</x:v>
      </x:c>
      <x:c r="I1292" s="36" t="n">
        <x:v>0</x:v>
      </x:c>
      <x:c r="J1292" s="36" t="n">
        <x:v>0</x:v>
      </x:c>
      <x:c r="K1292" s="36" t="n">
        <x:v>89000000</x:v>
      </x:c>
      <x:c r="L1292" s="36" t="n">
        <x:v>0</x:v>
      </x:c>
      <x:c r="M1292" s="38" t="n">
        <x:v>1.3415468856947297</x:v>
      </x:c>
      <x:c r="N1292" s="36" t="n">
        <x:v>89000000</x:v>
      </x:c>
    </x:row>
    <x:row r="1293" ht="20" customHeight="1">
      <x:c r="C1293" s="1" t="n">
        <x:v>3</x:v>
      </x:c>
      <x:c r="D1293" s="1" t="n">
        <x:v>5</x:v>
      </x:c>
      <x:c r="E1293" s="1" t="n">
        <x:v>17</x:v>
      </x:c>
      <x:c r="F1293" s="32" t="n">
        <x:v>46798</x:v>
      </x:c>
      <x:c r="G1293" s="36" t="n">
        <x:v>89000000</x:v>
      </x:c>
      <x:c r="H1293" s="36" t="n">
        <x:v>344875</x:v>
      </x:c>
      <x:c r="I1293" s="36" t="n">
        <x:v>0</x:v>
      </x:c>
      <x:c r="J1293" s="36" t="n">
        <x:v>0</x:v>
      </x:c>
      <x:c r="K1293" s="36" t="n">
        <x:v>89000000</x:v>
      </x:c>
      <x:c r="L1293" s="36" t="n">
        <x:v>0</x:v>
      </x:c>
      <x:c r="M1293" s="38" t="n">
        <x:v>1.4182067077344285</x:v>
      </x:c>
      <x:c r="N1293" s="36" t="n">
        <x:v>89000000</x:v>
      </x:c>
    </x:row>
    <x:row r="1294" ht="20" customHeight="1">
      <x:c r="C1294" s="1" t="n">
        <x:v>3</x:v>
      </x:c>
      <x:c r="D1294" s="1" t="n">
        <x:v>5</x:v>
      </x:c>
      <x:c r="E1294" s="1" t="n">
        <x:v>18</x:v>
      </x:c>
      <x:c r="F1294" s="32" t="n">
        <x:v>46827</x:v>
      </x:c>
      <x:c r="G1294" s="36" t="n">
        <x:v>89000000</x:v>
      </x:c>
      <x:c r="H1294" s="36" t="n">
        <x:v>344875</x:v>
      </x:c>
      <x:c r="I1294" s="36" t="n">
        <x:v>0</x:v>
      </x:c>
      <x:c r="J1294" s="36" t="n">
        <x:v>0</x:v>
      </x:c>
      <x:c r="K1294" s="36" t="n">
        <x:v>89000000</x:v>
      </x:c>
      <x:c r="L1294" s="36" t="n">
        <x:v>0</x:v>
      </x:c>
      <x:c r="M1294" s="38" t="n">
        <x:v>1.4976043805612593</x:v>
      </x:c>
      <x:c r="N1294" s="36" t="n">
        <x:v>89000000</x:v>
      </x:c>
    </x:row>
    <x:row r="1295" ht="20" customHeight="1">
      <x:c r="C1295" s="1" t="n">
        <x:v>3</x:v>
      </x:c>
      <x:c r="D1295" s="1" t="n">
        <x:v>5</x:v>
      </x:c>
      <x:c r="E1295" s="1" t="n">
        <x:v>19</x:v>
      </x:c>
      <x:c r="F1295" s="32" t="n">
        <x:v>46860</x:v>
      </x:c>
      <x:c r="G1295" s="36" t="n">
        <x:v>89000000</x:v>
      </x:c>
      <x:c r="H1295" s="36" t="n">
        <x:v>344875</x:v>
      </x:c>
      <x:c r="I1295" s="36" t="n">
        <x:v>0</x:v>
      </x:c>
      <x:c r="J1295" s="36" t="n">
        <x:v>0</x:v>
      </x:c>
      <x:c r="K1295" s="36" t="n">
        <x:v>89000000</x:v>
      </x:c>
      <x:c r="L1295" s="36" t="n">
        <x:v>0</x:v>
      </x:c>
      <x:c r="M1295" s="38" t="n">
        <x:v>1.5879534565366187</x:v>
      </x:c>
      <x:c r="N1295" s="36" t="n">
        <x:v>89000000</x:v>
      </x:c>
    </x:row>
    <x:row r="1296" ht="20" customHeight="1">
      <x:c r="C1296" s="1" t="n">
        <x:v>3</x:v>
      </x:c>
      <x:c r="D1296" s="1" t="n">
        <x:v>5</x:v>
      </x:c>
      <x:c r="E1296" s="1" t="n">
        <x:v>20</x:v>
      </x:c>
      <x:c r="F1296" s="32" t="n">
        <x:v>46888</x:v>
      </x:c>
      <x:c r="G1296" s="36" t="n">
        <x:v>89000000</x:v>
      </x:c>
      <x:c r="H1296" s="36" t="n">
        <x:v>344875</x:v>
      </x:c>
      <x:c r="I1296" s="36" t="n">
        <x:v>0</x:v>
      </x:c>
      <x:c r="J1296" s="36" t="n">
        <x:v>0</x:v>
      </x:c>
      <x:c r="K1296" s="36" t="n">
        <x:v>89000000</x:v>
      </x:c>
      <x:c r="L1296" s="36" t="n">
        <x:v>0</x:v>
      </x:c>
      <x:c r="M1296" s="38" t="n">
        <x:v>1.6646132785763177</x:v>
      </x:c>
      <x:c r="N1296" s="36" t="n">
        <x:v>89000000</x:v>
      </x:c>
    </x:row>
    <x:row r="1297" ht="20" customHeight="1">
      <x:c r="C1297" s="1" t="n">
        <x:v>3</x:v>
      </x:c>
      <x:c r="D1297" s="1" t="n">
        <x:v>5</x:v>
      </x:c>
      <x:c r="E1297" s="1" t="n">
        <x:v>21</x:v>
      </x:c>
      <x:c r="F1297" s="32" t="n">
        <x:v>46919</x:v>
      </x:c>
      <x:c r="G1297" s="36" t="n">
        <x:v>89000000</x:v>
      </x:c>
      <x:c r="H1297" s="36" t="n">
        <x:v>344875</x:v>
      </x:c>
      <x:c r="I1297" s="36" t="n">
        <x:v>0</x:v>
      </x:c>
      <x:c r="J1297" s="36" t="n">
        <x:v>0</x:v>
      </x:c>
      <x:c r="K1297" s="36" t="n">
        <x:v>89000000</x:v>
      </x:c>
      <x:c r="L1297" s="36" t="n">
        <x:v>0</x:v>
      </x:c>
      <x:c r="M1297" s="38" t="n">
        <x:v>1.7494866529774127</x:v>
      </x:c>
      <x:c r="N1297" s="36" t="n">
        <x:v>89000000</x:v>
      </x:c>
    </x:row>
    <x:row r="1298" ht="20" customHeight="1">
      <x:c r="C1298" s="1" t="n">
        <x:v>3</x:v>
      </x:c>
      <x:c r="D1298" s="1" t="n">
        <x:v>5</x:v>
      </x:c>
      <x:c r="E1298" s="1" t="n">
        <x:v>22</x:v>
      </x:c>
      <x:c r="F1298" s="32" t="n">
        <x:v>46951</x:v>
      </x:c>
      <x:c r="G1298" s="36" t="n">
        <x:v>89000000</x:v>
      </x:c>
      <x:c r="H1298" s="36" t="n">
        <x:v>344875</x:v>
      </x:c>
      <x:c r="I1298" s="36" t="n">
        <x:v>0</x:v>
      </x:c>
      <x:c r="J1298" s="36" t="n">
        <x:v>0</x:v>
      </x:c>
      <x:c r="K1298" s="36" t="n">
        <x:v>89000000</x:v>
      </x:c>
      <x:c r="L1298" s="36" t="n">
        <x:v>0</x:v>
      </x:c>
      <x:c r="M1298" s="38" t="n">
        <x:v>1.83709787816564</x:v>
      </x:c>
      <x:c r="N1298" s="36" t="n">
        <x:v>89000000</x:v>
      </x:c>
    </x:row>
    <x:row r="1299" ht="20" customHeight="1">
      <x:c r="C1299" s="1" t="n">
        <x:v>3</x:v>
      </x:c>
      <x:c r="D1299" s="1" t="n">
        <x:v>5</x:v>
      </x:c>
      <x:c r="E1299" s="1" t="n">
        <x:v>23</x:v>
      </x:c>
      <x:c r="F1299" s="32" t="n">
        <x:v>46980</x:v>
      </x:c>
      <x:c r="G1299" s="36" t="n">
        <x:v>89000000</x:v>
      </x:c>
      <x:c r="H1299" s="36" t="n">
        <x:v>344875</x:v>
      </x:c>
      <x:c r="I1299" s="36" t="n">
        <x:v>0</x:v>
      </x:c>
      <x:c r="J1299" s="36" t="n">
        <x:v>0</x:v>
      </x:c>
      <x:c r="K1299" s="36" t="n">
        <x:v>89000000</x:v>
      </x:c>
      <x:c r="L1299" s="36" t="n">
        <x:v>0</x:v>
      </x:c>
      <x:c r="M1299" s="38" t="n">
        <x:v>1.9164955509924708</x:v>
      </x:c>
      <x:c r="N1299" s="36" t="n">
        <x:v>89000000</x:v>
      </x:c>
    </x:row>
    <x:row r="1300" ht="20" customHeight="1">
      <x:c r="C1300" s="1" t="n">
        <x:v>3</x:v>
      </x:c>
      <x:c r="D1300" s="1" t="n">
        <x:v>5</x:v>
      </x:c>
      <x:c r="E1300" s="1" t="n">
        <x:v>24</x:v>
      </x:c>
      <x:c r="F1300" s="32" t="n">
        <x:v>47011</x:v>
      </x:c>
      <x:c r="G1300" s="36" t="n">
        <x:v>89000000</x:v>
      </x:c>
      <x:c r="H1300" s="36" t="n">
        <x:v>344875</x:v>
      </x:c>
      <x:c r="I1300" s="36" t="n">
        <x:v>0</x:v>
      </x:c>
      <x:c r="J1300" s="36" t="n">
        <x:v>0</x:v>
      </x:c>
      <x:c r="K1300" s="36" t="n">
        <x:v>89000000</x:v>
      </x:c>
      <x:c r="L1300" s="36" t="n">
        <x:v>0</x:v>
      </x:c>
      <x:c r="M1300" s="38" t="n">
        <x:v>2.001368925393566</x:v>
      </x:c>
      <x:c r="N1300" s="36" t="n">
        <x:v>89000000</x:v>
      </x:c>
    </x:row>
    <x:row r="1301" ht="20" customHeight="1">
      <x:c r="C1301" s="1" t="n">
        <x:v>3</x:v>
      </x:c>
      <x:c r="D1301" s="1" t="n">
        <x:v>5</x:v>
      </x:c>
      <x:c r="E1301" s="1" t="n">
        <x:v>25</x:v>
      </x:c>
      <x:c r="F1301" s="32" t="n">
        <x:v>47042</x:v>
      </x:c>
      <x:c r="G1301" s="36" t="n">
        <x:v>89000000</x:v>
      </x:c>
      <x:c r="H1301" s="36" t="n">
        <x:v>344875</x:v>
      </x:c>
      <x:c r="I1301" s="36" t="n">
        <x:v>0</x:v>
      </x:c>
      <x:c r="J1301" s="36" t="n">
        <x:v>0</x:v>
      </x:c>
      <x:c r="K1301" s="36" t="n">
        <x:v>89000000</x:v>
      </x:c>
      <x:c r="L1301" s="36" t="n">
        <x:v>0</x:v>
      </x:c>
      <x:c r="M1301" s="38" t="n">
        <x:v>2.086242299794661</x:v>
      </x:c>
      <x:c r="N1301" s="36" t="n">
        <x:v>89000000</x:v>
      </x:c>
    </x:row>
    <x:row r="1302" ht="20" customHeight="1">
      <x:c r="C1302" s="1" t="n">
        <x:v>3</x:v>
      </x:c>
      <x:c r="D1302" s="1" t="n">
        <x:v>5</x:v>
      </x:c>
      <x:c r="E1302" s="1" t="n">
        <x:v>26</x:v>
      </x:c>
      <x:c r="F1302" s="32" t="n">
        <x:v>47072</x:v>
      </x:c>
      <x:c r="G1302" s="36" t="n">
        <x:v>89000000</x:v>
      </x:c>
      <x:c r="H1302" s="36" t="n">
        <x:v>344875</x:v>
      </x:c>
      <x:c r="I1302" s="36" t="n">
        <x:v>0</x:v>
      </x:c>
      <x:c r="J1302" s="36" t="n">
        <x:v>0</x:v>
      </x:c>
      <x:c r="K1302" s="36" t="n">
        <x:v>89000000</x:v>
      </x:c>
      <x:c r="L1302" s="36" t="n">
        <x:v>0</x:v>
      </x:c>
      <x:c r="M1302" s="38" t="n">
        <x:v>2.1683778234086244</x:v>
      </x:c>
      <x:c r="N1302" s="36" t="n">
        <x:v>89000000</x:v>
      </x:c>
    </x:row>
    <x:row r="1303" ht="20" customHeight="1">
      <x:c r="C1303" s="1" t="n">
        <x:v>3</x:v>
      </x:c>
      <x:c r="D1303" s="1" t="n">
        <x:v>5</x:v>
      </x:c>
      <x:c r="E1303" s="1" t="n">
        <x:v>27</x:v>
      </x:c>
      <x:c r="F1303" s="32" t="n">
        <x:v>47102</x:v>
      </x:c>
      <x:c r="G1303" s="36" t="n">
        <x:v>89000000</x:v>
      </x:c>
      <x:c r="H1303" s="36" t="n">
        <x:v>344875</x:v>
      </x:c>
      <x:c r="I1303" s="36" t="n">
        <x:v>0</x:v>
      </x:c>
      <x:c r="J1303" s="36" t="n">
        <x:v>0</x:v>
      </x:c>
      <x:c r="K1303" s="36" t="n">
        <x:v>89000000</x:v>
      </x:c>
      <x:c r="L1303" s="36" t="n">
        <x:v>0</x:v>
      </x:c>
      <x:c r="M1303" s="38" t="n">
        <x:v>2.2505133470225873</x:v>
      </x:c>
      <x:c r="N1303" s="36" t="n">
        <x:v>89000000</x:v>
      </x:c>
    </x:row>
    <x:row r="1304" ht="20" customHeight="1">
      <x:c r="C1304" s="1" t="n">
        <x:v>3</x:v>
      </x:c>
      <x:c r="D1304" s="1" t="n">
        <x:v>5</x:v>
      </x:c>
      <x:c r="E1304" s="1" t="n">
        <x:v>28</x:v>
      </x:c>
      <x:c r="F1304" s="32" t="n">
        <x:v>47134</x:v>
      </x:c>
      <x:c r="G1304" s="36" t="n">
        <x:v>89000000</x:v>
      </x:c>
      <x:c r="H1304" s="36" t="n">
        <x:v>344875</x:v>
      </x:c>
      <x:c r="I1304" s="36" t="n">
        <x:v>0</x:v>
      </x:c>
      <x:c r="J1304" s="36" t="n">
        <x:v>0</x:v>
      </x:c>
      <x:c r="K1304" s="36" t="n">
        <x:v>89000000</x:v>
      </x:c>
      <x:c r="L1304" s="36" t="n">
        <x:v>0</x:v>
      </x:c>
      <x:c r="M1304" s="38" t="n">
        <x:v>2.3381245722108144</x:v>
      </x:c>
      <x:c r="N1304" s="36" t="n">
        <x:v>89000000</x:v>
      </x:c>
    </x:row>
    <x:row r="1305" ht="20" customHeight="1">
      <x:c r="C1305" s="1" t="n">
        <x:v>3</x:v>
      </x:c>
      <x:c r="D1305" s="1" t="n">
        <x:v>5</x:v>
      </x:c>
      <x:c r="E1305" s="1" t="n">
        <x:v>29</x:v>
      </x:c>
      <x:c r="F1305" s="32" t="n">
        <x:v>47164</x:v>
      </x:c>
      <x:c r="G1305" s="36" t="n">
        <x:v>89000000</x:v>
      </x:c>
      <x:c r="H1305" s="36" t="n">
        <x:v>344875</x:v>
      </x:c>
      <x:c r="I1305" s="36" t="n">
        <x:v>0</x:v>
      </x:c>
      <x:c r="J1305" s="36" t="n">
        <x:v>0</x:v>
      </x:c>
      <x:c r="K1305" s="36" t="n">
        <x:v>89000000</x:v>
      </x:c>
      <x:c r="L1305" s="36" t="n">
        <x:v>0</x:v>
      </x:c>
      <x:c r="M1305" s="38" t="n">
        <x:v>2.4202600958247777</x:v>
      </x:c>
      <x:c r="N1305" s="36" t="n">
        <x:v>89000000</x:v>
      </x:c>
    </x:row>
    <x:row r="1306" ht="20" customHeight="1">
      <x:c r="C1306" s="1" t="n">
        <x:v>3</x:v>
      </x:c>
      <x:c r="D1306" s="1" t="n">
        <x:v>5</x:v>
      </x:c>
      <x:c r="E1306" s="1" t="n">
        <x:v>30</x:v>
      </x:c>
      <x:c r="F1306" s="32" t="n">
        <x:v>47192</x:v>
      </x:c>
      <x:c r="G1306" s="36" t="n">
        <x:v>89000000</x:v>
      </x:c>
      <x:c r="H1306" s="36" t="n">
        <x:v>344875</x:v>
      </x:c>
      <x:c r="I1306" s="36" t="n">
        <x:v>0</x:v>
      </x:c>
      <x:c r="J1306" s="36" t="n">
        <x:v>0</x:v>
      </x:c>
      <x:c r="K1306" s="36" t="n">
        <x:v>89000000</x:v>
      </x:c>
      <x:c r="L1306" s="36" t="n">
        <x:v>0</x:v>
      </x:c>
      <x:c r="M1306" s="38" t="n">
        <x:v>2.4969199178644765</x:v>
      </x:c>
      <x:c r="N1306" s="36" t="n">
        <x:v>89000000</x:v>
      </x:c>
    </x:row>
    <x:row r="1307" ht="20" customHeight="1">
      <x:c r="C1307" s="1" t="n">
        <x:v>3</x:v>
      </x:c>
      <x:c r="D1307" s="1" t="n">
        <x:v>5</x:v>
      </x:c>
      <x:c r="E1307" s="1" t="n">
        <x:v>31</x:v>
      </x:c>
      <x:c r="F1307" s="32" t="n">
        <x:v>47224</x:v>
      </x:c>
      <x:c r="G1307" s="36" t="n">
        <x:v>89000000</x:v>
      </x:c>
      <x:c r="H1307" s="36" t="n">
        <x:v>344875</x:v>
      </x:c>
      <x:c r="I1307" s="36" t="n">
        <x:v>0</x:v>
      </x:c>
      <x:c r="J1307" s="36" t="n">
        <x:v>0</x:v>
      </x:c>
      <x:c r="K1307" s="36" t="n">
        <x:v>89000000</x:v>
      </x:c>
      <x:c r="L1307" s="36" t="n">
        <x:v>0</x:v>
      </x:c>
      <x:c r="M1307" s="38" t="n">
        <x:v>2.5845311430527036</x:v>
      </x:c>
      <x:c r="N1307" s="36" t="n">
        <x:v>89000000</x:v>
      </x:c>
    </x:row>
    <x:row r="1308" ht="20" customHeight="1">
      <x:c r="C1308" s="1" t="n">
        <x:v>3</x:v>
      </x:c>
      <x:c r="D1308" s="1" t="n">
        <x:v>5</x:v>
      </x:c>
      <x:c r="E1308" s="1" t="n">
        <x:v>32</x:v>
      </x:c>
      <x:c r="F1308" s="32" t="n">
        <x:v>47253</x:v>
      </x:c>
      <x:c r="G1308" s="36" t="n">
        <x:v>89000000</x:v>
      </x:c>
      <x:c r="H1308" s="36" t="n">
        <x:v>344875</x:v>
      </x:c>
      <x:c r="I1308" s="36" t="n">
        <x:v>0</x:v>
      </x:c>
      <x:c r="J1308" s="36" t="n">
        <x:v>0</x:v>
      </x:c>
      <x:c r="K1308" s="36" t="n">
        <x:v>89000000</x:v>
      </x:c>
      <x:c r="L1308" s="36" t="n">
        <x:v>0</x:v>
      </x:c>
      <x:c r="M1308" s="38" t="n">
        <x:v>2.6639288158795345</x:v>
      </x:c>
      <x:c r="N1308" s="36" t="n">
        <x:v>89000000</x:v>
      </x:c>
    </x:row>
    <x:row r="1309" ht="20" customHeight="1">
      <x:c r="C1309" s="1" t="n">
        <x:v>3</x:v>
      </x:c>
      <x:c r="D1309" s="1" t="n">
        <x:v>5</x:v>
      </x:c>
      <x:c r="E1309" s="1" t="n">
        <x:v>33</x:v>
      </x:c>
      <x:c r="F1309" s="32" t="n">
        <x:v>47284</x:v>
      </x:c>
      <x:c r="G1309" s="36" t="n">
        <x:v>89000000</x:v>
      </x:c>
      <x:c r="H1309" s="36" t="n">
        <x:v>344875</x:v>
      </x:c>
      <x:c r="I1309" s="36" t="n">
        <x:v>0</x:v>
      </x:c>
      <x:c r="J1309" s="36" t="n">
        <x:v>0</x:v>
      </x:c>
      <x:c r="K1309" s="36" t="n">
        <x:v>89000000</x:v>
      </x:c>
      <x:c r="L1309" s="36" t="n">
        <x:v>0</x:v>
      </x:c>
      <x:c r="M1309" s="38" t="n">
        <x:v>2.74880219028063</x:v>
      </x:c>
      <x:c r="N1309" s="36" t="n">
        <x:v>89000000</x:v>
      </x:c>
    </x:row>
    <x:row r="1310" ht="20" customHeight="1">
      <x:c r="C1310" s="1" t="n">
        <x:v>3</x:v>
      </x:c>
      <x:c r="D1310" s="1" t="n">
        <x:v>5</x:v>
      </x:c>
      <x:c r="E1310" s="1" t="n">
        <x:v>34</x:v>
      </x:c>
      <x:c r="F1310" s="32" t="n">
        <x:v>47315</x:v>
      </x:c>
      <x:c r="G1310" s="36" t="n">
        <x:v>89000000</x:v>
      </x:c>
      <x:c r="H1310" s="36" t="n">
        <x:v>344875</x:v>
      </x:c>
      <x:c r="I1310" s="36" t="n">
        <x:v>0</x:v>
      </x:c>
      <x:c r="J1310" s="36" t="n">
        <x:v>0</x:v>
      </x:c>
      <x:c r="K1310" s="36" t="n">
        <x:v>89000000</x:v>
      </x:c>
      <x:c r="L1310" s="36" t="n">
        <x:v>0</x:v>
      </x:c>
      <x:c r="M1310" s="38" t="n">
        <x:v>2.833675564681725</x:v>
      </x:c>
      <x:c r="N1310" s="36" t="n">
        <x:v>89000000</x:v>
      </x:c>
    </x:row>
    <x:row r="1311" ht="20" customHeight="1">
      <x:c r="C1311" s="1" t="n">
        <x:v>3</x:v>
      </x:c>
      <x:c r="D1311" s="1" t="n">
        <x:v>5</x:v>
      </x:c>
      <x:c r="E1311" s="1" t="n">
        <x:v>35</x:v>
      </x:c>
      <x:c r="F1311" s="32" t="n">
        <x:v>47345</x:v>
      </x:c>
      <x:c r="G1311" s="36" t="n">
        <x:v>89000000</x:v>
      </x:c>
      <x:c r="H1311" s="36" t="n">
        <x:v>344875</x:v>
      </x:c>
      <x:c r="I1311" s="36" t="n">
        <x:v>0</x:v>
      </x:c>
      <x:c r="J1311" s="36" t="n">
        <x:v>0</x:v>
      </x:c>
      <x:c r="K1311" s="36" t="n">
        <x:v>89000000</x:v>
      </x:c>
      <x:c r="L1311" s="36" t="n">
        <x:v>0</x:v>
      </x:c>
      <x:c r="M1311" s="38" t="n">
        <x:v>2.915811088295688</x:v>
      </x:c>
      <x:c r="N1311" s="36" t="n">
        <x:v>89000000</x:v>
      </x:c>
    </x:row>
    <x:row r="1312" ht="20" customHeight="1">
      <x:c r="C1312" s="1" t="n">
        <x:v>3</x:v>
      </x:c>
      <x:c r="D1312" s="1" t="n">
        <x:v>5</x:v>
      </x:c>
      <x:c r="E1312" s="1" t="n">
        <x:v>36</x:v>
      </x:c>
      <x:c r="F1312" s="32" t="n">
        <x:v>47378</x:v>
      </x:c>
      <x:c r="G1312" s="36" t="n">
        <x:v>89000000</x:v>
      </x:c>
      <x:c r="H1312" s="36" t="n">
        <x:v>344875</x:v>
      </x:c>
      <x:c r="I1312" s="36" t="n">
        <x:v>0</x:v>
      </x:c>
      <x:c r="J1312" s="36" t="n">
        <x:v>0</x:v>
      </x:c>
      <x:c r="K1312" s="36" t="n">
        <x:v>89000000</x:v>
      </x:c>
      <x:c r="L1312" s="36" t="n">
        <x:v>0</x:v>
      </x:c>
      <x:c r="M1312" s="38" t="n">
        <x:v>3.0061601642710474</x:v>
      </x:c>
      <x:c r="N1312" s="36" t="n">
        <x:v>89000000</x:v>
      </x:c>
    </x:row>
    <x:row r="1313" ht="20" customHeight="1">
      <x:c r="C1313" s="1" t="n">
        <x:v>3</x:v>
      </x:c>
      <x:c r="D1313" s="1" t="n">
        <x:v>5</x:v>
      </x:c>
      <x:c r="E1313" s="1" t="n">
        <x:v>37</x:v>
      </x:c>
      <x:c r="F1313" s="32" t="n">
        <x:v>47406</x:v>
      </x:c>
      <x:c r="G1313" s="36" t="n">
        <x:v>89000000</x:v>
      </x:c>
      <x:c r="H1313" s="36" t="n">
        <x:v>344875</x:v>
      </x:c>
      <x:c r="I1313" s="36" t="n">
        <x:v>0</x:v>
      </x:c>
      <x:c r="J1313" s="36" t="n">
        <x:v>0</x:v>
      </x:c>
      <x:c r="K1313" s="36" t="n">
        <x:v>89000000</x:v>
      </x:c>
      <x:c r="L1313" s="36" t="n">
        <x:v>0</x:v>
      </x:c>
      <x:c r="M1313" s="38" t="n">
        <x:v>3.082819986310746</x:v>
      </x:c>
      <x:c r="N1313" s="36" t="n">
        <x:v>89000000</x:v>
      </x:c>
    </x:row>
    <x:row r="1314" ht="20" customHeight="1">
      <x:c r="C1314" s="1" t="n">
        <x:v>3</x:v>
      </x:c>
      <x:c r="D1314" s="1" t="n">
        <x:v>5</x:v>
      </x:c>
      <x:c r="E1314" s="1" t="n">
        <x:v>38</x:v>
      </x:c>
      <x:c r="F1314" s="32" t="n">
        <x:v>47437</x:v>
      </x:c>
      <x:c r="G1314" s="36" t="n">
        <x:v>89000000</x:v>
      </x:c>
      <x:c r="H1314" s="36" t="n">
        <x:v>344875</x:v>
      </x:c>
      <x:c r="I1314" s="36" t="n">
        <x:v>0</x:v>
      </x:c>
      <x:c r="J1314" s="36" t="n">
        <x:v>0</x:v>
      </x:c>
      <x:c r="K1314" s="36" t="n">
        <x:v>89000000</x:v>
      </x:c>
      <x:c r="L1314" s="36" t="n">
        <x:v>0</x:v>
      </x:c>
      <x:c r="M1314" s="38" t="n">
        <x:v>3.167693360711841</x:v>
      </x:c>
      <x:c r="N1314" s="36" t="n">
        <x:v>89000000</x:v>
      </x:c>
    </x:row>
    <x:row r="1315" ht="20" customHeight="1">
      <x:c r="C1315" s="1" t="n">
        <x:v>3</x:v>
      </x:c>
      <x:c r="D1315" s="1" t="n">
        <x:v>5</x:v>
      </x:c>
      <x:c r="E1315" s="1" t="n">
        <x:v>39</x:v>
      </x:c>
      <x:c r="F1315" s="32" t="n">
        <x:v>47469</x:v>
      </x:c>
      <x:c r="G1315" s="36" t="n">
        <x:v>89000000</x:v>
      </x:c>
      <x:c r="H1315" s="36" t="n">
        <x:v>344875</x:v>
      </x:c>
      <x:c r="I1315" s="36" t="n">
        <x:v>5084006.14</x:v>
      </x:c>
      <x:c r="J1315" s="36" t="n">
        <x:v>0</x:v>
      </x:c>
      <x:c r="K1315" s="36" t="n">
        <x:v>83915993.86</x:v>
      </x:c>
      <x:c r="L1315" s="36" t="n">
        <x:v>0</x:v>
      </x:c>
      <x:c r="M1315" s="38" t="n">
        <x:v>3.2553045859000687</x:v>
      </x:c>
      <x:c r="N1315" s="36" t="n">
        <x:v>83915993.86</x:v>
      </x:c>
    </x:row>
    <x:row r="1316" ht="20" customHeight="1">
      <x:c r="C1316" s="1" t="n">
        <x:v>3</x:v>
      </x:c>
      <x:c r="D1316" s="1" t="n">
        <x:v>5</x:v>
      </x:c>
      <x:c r="E1316" s="1" t="n">
        <x:v>40</x:v>
      </x:c>
      <x:c r="F1316" s="32" t="n">
        <x:v>47498</x:v>
      </x:c>
      <x:c r="G1316" s="36" t="n">
        <x:v>83915993.86</x:v>
      </x:c>
      <x:c r="H1316" s="36" t="n">
        <x:v>325174.48</x:v>
      </x:c>
      <x:c r="I1316" s="36" t="n">
        <x:v>8269963.95</x:v>
      </x:c>
      <x:c r="J1316" s="36" t="n">
        <x:v>0</x:v>
      </x:c>
      <x:c r="K1316" s="36" t="n">
        <x:v>75646029.91</x:v>
      </x:c>
      <x:c r="L1316" s="36" t="n">
        <x:v>0</x:v>
      </x:c>
      <x:c r="M1316" s="38" t="n">
        <x:v>3.3347022587268995</x:v>
      </x:c>
      <x:c r="N1316" s="36" t="n">
        <x:v>75646029.91</x:v>
      </x:c>
    </x:row>
    <x:row r="1317" ht="20" customHeight="1">
      <x:c r="C1317" s="1" t="n">
        <x:v>3</x:v>
      </x:c>
      <x:c r="D1317" s="1" t="n">
        <x:v>5</x:v>
      </x:c>
      <x:c r="E1317" s="1" t="n">
        <x:v>41</x:v>
      </x:c>
      <x:c r="F1317" s="32" t="n">
        <x:v>47529</x:v>
      </x:c>
      <x:c r="G1317" s="36" t="n">
        <x:v>75646029.91</x:v>
      </x:c>
      <x:c r="H1317" s="36" t="n">
        <x:v>293128.37</x:v>
      </x:c>
      <x:c r="I1317" s="36" t="n">
        <x:v>7491882.36</x:v>
      </x:c>
      <x:c r="J1317" s="36" t="n">
        <x:v>0</x:v>
      </x:c>
      <x:c r="K1317" s="36" t="n">
        <x:v>68154147.55</x:v>
      </x:c>
      <x:c r="L1317" s="36" t="n">
        <x:v>0</x:v>
      </x:c>
      <x:c r="M1317" s="38" t="n">
        <x:v>3.4195756331279945</x:v>
      </x:c>
      <x:c r="N1317" s="36" t="n">
        <x:v>68154147.55</x:v>
      </x:c>
    </x:row>
    <x:row r="1318" ht="20" customHeight="1">
      <x:c r="C1318" s="1" t="n">
        <x:v>3</x:v>
      </x:c>
      <x:c r="D1318" s="1" t="n">
        <x:v>5</x:v>
      </x:c>
      <x:c r="E1318" s="1" t="n">
        <x:v>42</x:v>
      </x:c>
      <x:c r="F1318" s="32" t="n">
        <x:v>47557</x:v>
      </x:c>
      <x:c r="G1318" s="36" t="n">
        <x:v>68154147.55</x:v>
      </x:c>
      <x:c r="H1318" s="36" t="n">
        <x:v>264097.32</x:v>
      </x:c>
      <x:c r="I1318" s="36" t="n">
        <x:v>6770959.21</x:v>
      </x:c>
      <x:c r="J1318" s="36" t="n">
        <x:v>0</x:v>
      </x:c>
      <x:c r="K1318" s="36" t="n">
        <x:v>61383188.34</x:v>
      </x:c>
      <x:c r="L1318" s="36" t="n">
        <x:v>0</x:v>
      </x:c>
      <x:c r="M1318" s="38" t="n">
        <x:v>3.4962354551676933</x:v>
      </x:c>
      <x:c r="N1318" s="36" t="n">
        <x:v>61383188.34</x:v>
      </x:c>
    </x:row>
    <x:row r="1319" ht="20" customHeight="1">
      <x:c r="C1319" s="1" t="n">
        <x:v>3</x:v>
      </x:c>
      <x:c r="D1319" s="1" t="n">
        <x:v>5</x:v>
      </x:c>
      <x:c r="E1319" s="1" t="n">
        <x:v>43</x:v>
      </x:c>
      <x:c r="F1319" s="32" t="n">
        <x:v>47588</x:v>
      </x:c>
      <x:c r="G1319" s="36" t="n">
        <x:v>61383188.34</x:v>
      </x:c>
      <x:c r="H1319" s="36" t="n">
        <x:v>237859.85</x:v>
      </x:c>
      <x:c r="I1319" s="36" t="n">
        <x:v>6019354.52</x:v>
      </x:c>
      <x:c r="J1319" s="36" t="n">
        <x:v>0</x:v>
      </x:c>
      <x:c r="K1319" s="36" t="n">
        <x:v>55363833.82</x:v>
      </x:c>
      <x:c r="L1319" s="36" t="n">
        <x:v>0</x:v>
      </x:c>
      <x:c r="M1319" s="38" t="n">
        <x:v>3.5811088295687883</x:v>
      </x:c>
      <x:c r="N1319" s="36" t="n">
        <x:v>55363833.82</x:v>
      </x:c>
    </x:row>
    <x:row r="1320" ht="20" customHeight="1">
      <x:c r="C1320" s="1" t="n">
        <x:v>3</x:v>
      </x:c>
      <x:c r="D1320" s="1" t="n">
        <x:v>5</x:v>
      </x:c>
      <x:c r="E1320" s="1" t="n">
        <x:v>44</x:v>
      </x:c>
      <x:c r="F1320" s="32" t="n">
        <x:v>47618</x:v>
      </x:c>
      <x:c r="G1320" s="36" t="n">
        <x:v>55363833.82</x:v>
      </x:c>
      <x:c r="H1320" s="36" t="n">
        <x:v>214534.86</x:v>
      </x:c>
      <x:c r="I1320" s="36" t="n">
        <x:v>5630535.6</x:v>
      </x:c>
      <x:c r="J1320" s="36" t="n">
        <x:v>0</x:v>
      </x:c>
      <x:c r="K1320" s="36" t="n">
        <x:v>49733298.22</x:v>
      </x:c>
      <x:c r="L1320" s="36" t="n">
        <x:v>0</x:v>
      </x:c>
      <x:c r="M1320" s="38" t="n">
        <x:v>3.6632443531827517</x:v>
      </x:c>
      <x:c r="N1320" s="36" t="n">
        <x:v>49733298.22</x:v>
      </x:c>
    </x:row>
    <x:row r="1321" ht="20" customHeight="1">
      <x:c r="C1321" s="1" t="n">
        <x:v>3</x:v>
      </x:c>
      <x:c r="D1321" s="1" t="n">
        <x:v>5</x:v>
      </x:c>
      <x:c r="E1321" s="1" t="n">
        <x:v>45</x:v>
      </x:c>
      <x:c r="F1321" s="32" t="n">
        <x:v>47651</x:v>
      </x:c>
      <x:c r="G1321" s="36" t="n">
        <x:v>49733298.22</x:v>
      </x:c>
      <x:c r="H1321" s="36" t="n">
        <x:v>192716.53</x:v>
      </x:c>
      <x:c r="I1321" s="36" t="n">
        <x:v>5312671.19</x:v>
      </x:c>
      <x:c r="J1321" s="36" t="n">
        <x:v>0</x:v>
      </x:c>
      <x:c r="K1321" s="36" t="n">
        <x:v>44420627.03</x:v>
      </x:c>
      <x:c r="L1321" s="36" t="n">
        <x:v>0</x:v>
      </x:c>
      <x:c r="M1321" s="38" t="n">
        <x:v>3.753593429158111</x:v>
      </x:c>
      <x:c r="N1321" s="36" t="n">
        <x:v>44420627.03</x:v>
      </x:c>
    </x:row>
    <x:row r="1322" ht="20" customHeight="1">
      <x:c r="C1322" s="1" t="n">
        <x:v>3</x:v>
      </x:c>
      <x:c r="D1322" s="1" t="n">
        <x:v>5</x:v>
      </x:c>
      <x:c r="E1322" s="1" t="n">
        <x:v>46</x:v>
      </x:c>
      <x:c r="F1322" s="32" t="n">
        <x:v>47679</x:v>
      </x:c>
      <x:c r="G1322" s="36" t="n">
        <x:v>44420627.03</x:v>
      </x:c>
      <x:c r="H1322" s="36" t="n">
        <x:v>172129.93</x:v>
      </x:c>
      <x:c r="I1322" s="36" t="n">
        <x:v>4935887.74</x:v>
      </x:c>
      <x:c r="J1322" s="36" t="n">
        <x:v>0</x:v>
      </x:c>
      <x:c r="K1322" s="36" t="n">
        <x:v>39484739.29</x:v>
      </x:c>
      <x:c r="L1322" s="36" t="n">
        <x:v>0</x:v>
      </x:c>
      <x:c r="M1322" s="38" t="n">
        <x:v>3.8302532511978096</x:v>
      </x:c>
      <x:c r="N1322" s="36" t="n">
        <x:v>39484739.29</x:v>
      </x:c>
    </x:row>
    <x:row r="1323" ht="20" customHeight="1">
      <x:c r="C1323" s="1" t="n">
        <x:v>3</x:v>
      </x:c>
      <x:c r="D1323" s="1" t="n">
        <x:v>5</x:v>
      </x:c>
      <x:c r="E1323" s="1" t="n">
        <x:v>47</x:v>
      </x:c>
      <x:c r="F1323" s="32" t="n">
        <x:v>47710</x:v>
      </x:c>
      <x:c r="G1323" s="36" t="n">
        <x:v>39484739.29</x:v>
      </x:c>
      <x:c r="H1323" s="36" t="n">
        <x:v>153003.36</x:v>
      </x:c>
      <x:c r="I1323" s="36" t="n">
        <x:v>4353760.46</x:v>
      </x:c>
      <x:c r="J1323" s="36" t="n">
        <x:v>0</x:v>
      </x:c>
      <x:c r="K1323" s="36" t="n">
        <x:v>35130978.83</x:v>
      </x:c>
      <x:c r="L1323" s="36" t="n">
        <x:v>0</x:v>
      </x:c>
      <x:c r="M1323" s="38" t="n">
        <x:v>3.915126625598905</x:v>
      </x:c>
      <x:c r="N1323" s="36" t="n">
        <x:v>35130978.83</x:v>
      </x:c>
    </x:row>
    <x:row r="1324" ht="20" customHeight="1">
      <x:c r="C1324" s="1" t="n">
        <x:v>3</x:v>
      </x:c>
      <x:c r="D1324" s="1" t="n">
        <x:v>5</x:v>
      </x:c>
      <x:c r="E1324" s="1" t="n">
        <x:v>48</x:v>
      </x:c>
      <x:c r="F1324" s="32" t="n">
        <x:v>47742</x:v>
      </x:c>
      <x:c r="G1324" s="36" t="n">
        <x:v>35130978.83</x:v>
      </x:c>
      <x:c r="H1324" s="36" t="n">
        <x:v>136132.54</x:v>
      </x:c>
      <x:c r="I1324" s="36" t="n">
        <x:v>3795933.27</x:v>
      </x:c>
      <x:c r="J1324" s="36" t="n">
        <x:v>0</x:v>
      </x:c>
      <x:c r="K1324" s="36" t="n">
        <x:v>31335045.56</x:v>
      </x:c>
      <x:c r="L1324" s="36" t="n">
        <x:v>0</x:v>
      </x:c>
      <x:c r="M1324" s="38" t="n">
        <x:v>4.002737850787132</x:v>
      </x:c>
      <x:c r="N1324" s="36" t="n">
        <x:v>31335045.56</x:v>
      </x:c>
    </x:row>
    <x:row r="1325" ht="20" customHeight="1">
      <x:c r="C1325" s="1" t="n">
        <x:v>3</x:v>
      </x:c>
      <x:c r="D1325" s="1" t="n">
        <x:v>5</x:v>
      </x:c>
      <x:c r="E1325" s="1" t="n">
        <x:v>49</x:v>
      </x:c>
      <x:c r="F1325" s="32" t="n">
        <x:v>47771</x:v>
      </x:c>
      <x:c r="G1325" s="36" t="n">
        <x:v>31335045.56</x:v>
      </x:c>
      <x:c r="H1325" s="36" t="n">
        <x:v>121423.3</x:v>
      </x:c>
      <x:c r="I1325" s="36" t="n">
        <x:v>3202236.56</x:v>
      </x:c>
      <x:c r="J1325" s="36" t="n">
        <x:v>0</x:v>
      </x:c>
      <x:c r="K1325" s="36" t="n">
        <x:v>28132809</x:v>
      </x:c>
      <x:c r="L1325" s="36" t="n">
        <x:v>0</x:v>
      </x:c>
      <x:c r="M1325" s="38" t="n">
        <x:v>4.082135523613963</x:v>
      </x:c>
      <x:c r="N1325" s="36" t="n">
        <x:v>28132809</x:v>
      </x:c>
    </x:row>
    <x:row r="1326" ht="20" customHeight="1">
      <x:c r="C1326" s="1" t="n">
        <x:v>3</x:v>
      </x:c>
      <x:c r="D1326" s="1" t="n">
        <x:v>5</x:v>
      </x:c>
      <x:c r="E1326" s="1" t="n">
        <x:v>50</x:v>
      </x:c>
      <x:c r="F1326" s="32" t="n">
        <x:v>47802</x:v>
      </x:c>
      <x:c r="G1326" s="36" t="n">
        <x:v>28132809</x:v>
      </x:c>
      <x:c r="H1326" s="36" t="n">
        <x:v>109014.63</x:v>
      </x:c>
      <x:c r="I1326" s="36" t="n">
        <x:v>2851828.08</x:v>
      </x:c>
      <x:c r="J1326" s="36" t="n">
        <x:v>0</x:v>
      </x:c>
      <x:c r="K1326" s="36" t="n">
        <x:v>25280980.92</x:v>
      </x:c>
      <x:c r="L1326" s="36" t="n">
        <x:v>0</x:v>
      </x:c>
      <x:c r="M1326" s="38" t="n">
        <x:v>4.167008898015058</x:v>
      </x:c>
      <x:c r="N1326" s="36" t="n">
        <x:v>25280980.92</x:v>
      </x:c>
    </x:row>
    <x:row r="1327" ht="20" customHeight="1">
      <x:c r="C1327" s="1" t="n">
        <x:v>3</x:v>
      </x:c>
      <x:c r="D1327" s="1" t="n">
        <x:v>5</x:v>
      </x:c>
      <x:c r="E1327" s="1" t="n">
        <x:v>51</x:v>
      </x:c>
      <x:c r="F1327" s="32" t="n">
        <x:v>47833</x:v>
      </x:c>
      <x:c r="G1327" s="36" t="n">
        <x:v>25280980.92</x:v>
      </x:c>
      <x:c r="H1327" s="36" t="n">
        <x:v>97963.8</x:v>
      </x:c>
      <x:c r="I1327" s="36" t="n">
        <x:v>2549898.13</x:v>
      </x:c>
      <x:c r="J1327" s="36" t="n">
        <x:v>0</x:v>
      </x:c>
      <x:c r="K1327" s="36" t="n">
        <x:v>22731082.79</x:v>
      </x:c>
      <x:c r="L1327" s="36" t="n">
        <x:v>0</x:v>
      </x:c>
      <x:c r="M1327" s="38" t="n">
        <x:v>4.251882272416153</x:v>
      </x:c>
      <x:c r="N1327" s="36" t="n">
        <x:v>22731082.79</x:v>
      </x:c>
    </x:row>
    <x:row r="1328" ht="20" customHeight="1">
      <x:c r="C1328" s="1" t="n">
        <x:v>3</x:v>
      </x:c>
      <x:c r="D1328" s="1" t="n">
        <x:v>5</x:v>
      </x:c>
      <x:c r="E1328" s="1" t="n">
        <x:v>52</x:v>
      </x:c>
      <x:c r="F1328" s="32" t="n">
        <x:v>47863</x:v>
      </x:c>
      <x:c r="G1328" s="36" t="n">
        <x:v>22731082.79</x:v>
      </x:c>
      <x:c r="H1328" s="36" t="n">
        <x:v>88082.95</x:v>
      </x:c>
      <x:c r="I1328" s="36" t="n">
        <x:v>2169314.89</x:v>
      </x:c>
      <x:c r="J1328" s="36" t="n">
        <x:v>0</x:v>
      </x:c>
      <x:c r="K1328" s="36" t="n">
        <x:v>20561767.9</x:v>
      </x:c>
      <x:c r="L1328" s="36" t="n">
        <x:v>0</x:v>
      </x:c>
      <x:c r="M1328" s="38" t="n">
        <x:v>4.334017796030117</x:v>
      </x:c>
      <x:c r="N1328" s="36" t="n">
        <x:v>20561767.9</x:v>
      </x:c>
    </x:row>
    <x:row r="1329" ht="20" customHeight="1">
      <x:c r="C1329" s="1" t="n">
        <x:v>3</x:v>
      </x:c>
      <x:c r="D1329" s="1" t="n">
        <x:v>5</x:v>
      </x:c>
      <x:c r="E1329" s="1" t="n">
        <x:v>53</x:v>
      </x:c>
      <x:c r="F1329" s="32" t="n">
        <x:v>47897</x:v>
      </x:c>
      <x:c r="G1329" s="36" t="n">
        <x:v>20561767.9</x:v>
      </x:c>
      <x:c r="H1329" s="36" t="n">
        <x:v>79676.85</x:v>
      </x:c>
      <x:c r="I1329" s="36" t="n">
        <x:v>1410107.09</x:v>
      </x:c>
      <x:c r="J1329" s="36" t="n">
        <x:v>0</x:v>
      </x:c>
      <x:c r="K1329" s="36" t="n">
        <x:v>19151660.81</x:v>
      </x:c>
      <x:c r="L1329" s="36" t="n">
        <x:v>0</x:v>
      </x:c>
      <x:c r="M1329" s="38" t="n">
        <x:v>4.427104722792608</x:v>
      </x:c>
      <x:c r="N1329" s="36" t="n">
        <x:v>19151660.81</x:v>
      </x:c>
    </x:row>
    <x:row r="1330" ht="20" customHeight="1">
      <x:c r="C1330" s="1" t="n">
        <x:v>3</x:v>
      </x:c>
      <x:c r="D1330" s="1" t="n">
        <x:v>5</x:v>
      </x:c>
      <x:c r="E1330" s="1" t="n">
        <x:v>54</x:v>
      </x:c>
      <x:c r="F1330" s="32" t="n">
        <x:v>47924</x:v>
      </x:c>
      <x:c r="G1330" s="36" t="n">
        <x:v>19151660.81</x:v>
      </x:c>
      <x:c r="H1330" s="36" t="n">
        <x:v>74212.69</x:v>
      </x:c>
      <x:c r="I1330" s="36" t="n">
        <x:v>744736.16</x:v>
      </x:c>
      <x:c r="J1330" s="36" t="n">
        <x:v>0</x:v>
      </x:c>
      <x:c r="K1330" s="36" t="n">
        <x:v>18406924.65</x:v>
      </x:c>
      <x:c r="L1330" s="36" t="n">
        <x:v>0</x:v>
      </x:c>
      <x:c r="M1330" s="38" t="n">
        <x:v>4.501026694045175</x:v>
      </x:c>
      <x:c r="N1330" s="36" t="n">
        <x:v>18406924.65</x:v>
      </x:c>
    </x:row>
    <x:row r="1331" ht="20" customHeight="1">
      <x:c r="C1331" s="1" t="n">
        <x:v>3</x:v>
      </x:c>
      <x:c r="D1331" s="1" t="n">
        <x:v>5</x:v>
      </x:c>
      <x:c r="E1331" s="1" t="n">
        <x:v>55</x:v>
      </x:c>
      <x:c r="F1331" s="32" t="n">
        <x:v>47953</x:v>
      </x:c>
      <x:c r="G1331" s="36" t="n">
        <x:v>18406924.65</x:v>
      </x:c>
      <x:c r="H1331" s="36" t="n">
        <x:v>71326.83</x:v>
      </x:c>
      <x:c r="I1331" s="36" t="n">
        <x:v>79325.14</x:v>
      </x:c>
      <x:c r="J1331" s="36" t="n">
        <x:v>0</x:v>
      </x:c>
      <x:c r="K1331" s="36" t="n">
        <x:v>18327599.51</x:v>
      </x:c>
      <x:c r="L1331" s="36" t="n">
        <x:v>0</x:v>
      </x:c>
      <x:c r="M1331" s="38" t="n">
        <x:v>4.5804243668720055</x:v>
      </x:c>
      <x:c r="N1331" s="36" t="n">
        <x:v>18327599.51</x:v>
      </x:c>
    </x:row>
    <x:row r="1332" ht="20" customHeight="1">
      <x:c r="C1332" s="1" t="n">
        <x:v>3</x:v>
      </x:c>
      <x:c r="D1332" s="1" t="n">
        <x:v>5</x:v>
      </x:c>
      <x:c r="E1332" s="1" t="n">
        <x:v>56</x:v>
      </x:c>
      <x:c r="F1332" s="32" t="n">
        <x:v>47983</x:v>
      </x:c>
      <x:c r="G1332" s="36" t="n">
        <x:v>18327599.51</x:v>
      </x:c>
      <x:c r="H1332" s="36" t="n">
        <x:v>49323.93</x:v>
      </x:c>
      <x:c r="I1332" s="36" t="n">
        <x:v>0</x:v>
      </x:c>
      <x:c r="J1332" s="36" t="n">
        <x:v>0</x:v>
      </x:c>
      <x:c r="K1332" s="36" t="n">
        <x:v>18327599.51</x:v>
      </x:c>
      <x:c r="L1332" s="36" t="n">
        <x:v>21695.52</x:v>
      </x:c>
      <x:c r="M1332" s="38" t="n">
        <x:v>4.662559890485968</x:v>
      </x:c>
      <x:c r="N1332" s="36" t="n">
        <x:v>18327599.51</x:v>
      </x:c>
    </x:row>
    <x:row r="1333" ht="20" customHeight="1">
      <x:c r="C1333" s="1" t="n">
        <x:v>3</x:v>
      </x:c>
      <x:c r="D1333" s="1" t="n">
        <x:v>5</x:v>
      </x:c>
      <x:c r="E1333" s="1" t="n">
        <x:v>57</x:v>
      </x:c>
      <x:c r="F1333" s="32" t="n">
        <x:v>48015</x:v>
      </x:c>
      <x:c r="G1333" s="36" t="n">
        <x:v>18327599.51</x:v>
      </x:c>
      <x:c r="H1333" s="36" t="n">
        <x:v>28757.25</x:v>
      </x:c>
      <x:c r="I1333" s="36" t="n">
        <x:v>0</x:v>
      </x:c>
      <x:c r="J1333" s="36" t="n">
        <x:v>0</x:v>
      </x:c>
      <x:c r="K1333" s="36" t="n">
        <x:v>18327599.51</x:v>
      </x:c>
      <x:c r="L1333" s="36" t="n">
        <x:v>64041.79</x:v>
      </x:c>
      <x:c r="M1333" s="38" t="n">
        <x:v>4.7501711156741955</x:v>
      </x:c>
      <x:c r="N1333" s="36" t="n">
        <x:v>18327599.51</x:v>
      </x:c>
    </x:row>
    <x:row r="1334" ht="20" customHeight="1">
      <x:c r="C1334" s="1" t="n">
        <x:v>3</x:v>
      </x:c>
      <x:c r="D1334" s="1" t="n">
        <x:v>5</x:v>
      </x:c>
      <x:c r="E1334" s="1" t="n">
        <x:v>58</x:v>
      </x:c>
      <x:c r="F1334" s="32" t="n">
        <x:v>48044</x:v>
      </x:c>
      <x:c r="G1334" s="36" t="n">
        <x:v>18327599.51</x:v>
      </x:c>
      <x:c r="H1334" s="36" t="n">
        <x:v>17044.52</x:v>
      </x:c>
      <x:c r="I1334" s="36" t="n">
        <x:v>0</x:v>
      </x:c>
      <x:c r="J1334" s="36" t="n">
        <x:v>0</x:v>
      </x:c>
      <x:c r="K1334" s="36" t="n">
        <x:v>18327599.51</x:v>
      </x:c>
      <x:c r="L1334" s="36" t="n">
        <x:v>118264.88</x:v>
      </x:c>
      <x:c r="M1334" s="38" t="n">
        <x:v>4.829568788501026</x:v>
      </x:c>
      <x:c r="N1334" s="36" t="n">
        <x:v>18327599.51</x:v>
      </x:c>
    </x:row>
    <x:row r="1335" ht="20" customHeight="1">
      <x:c r="C1335" s="1" t="n">
        <x:v>3</x:v>
      </x:c>
      <x:c r="D1335" s="1" t="n">
        <x:v>5</x:v>
      </x:c>
      <x:c r="E1335" s="1" t="n">
        <x:v>59</x:v>
      </x:c>
      <x:c r="F1335" s="32" t="n">
        <x:v>48075</x:v>
      </x:c>
      <x:c r="G1335" s="36" t="n">
        <x:v>18327599.51</x:v>
      </x:c>
      <x:c r="H1335" s="36" t="n">
        <x:v>10673.65</x:v>
      </x:c>
      <x:c r="I1335" s="36" t="n">
        <x:v>0</x:v>
      </x:c>
      <x:c r="J1335" s="36" t="n">
        <x:v>0</x:v>
      </x:c>
      <x:c r="K1335" s="36" t="n">
        <x:v>18327599.51</x:v>
      </x:c>
      <x:c r="L1335" s="36" t="n">
        <x:v>179068.96</x:v>
      </x:c>
      <x:c r="M1335" s="38" t="n">
        <x:v>4.914442162902122</x:v>
      </x:c>
      <x:c r="N1335" s="36" t="n">
        <x:v>18327599.51</x:v>
      </x:c>
    </x:row>
    <x:row r="1336" ht="20" customHeight="1">
      <x:c r="C1336" s="1" t="n">
        <x:v>3</x:v>
      </x:c>
      <x:c r="D1336" s="1" t="n">
        <x:v>5</x:v>
      </x:c>
      <x:c r="E1336" s="1" t="n">
        <x:v>60</x:v>
      </x:c>
      <x:c r="F1336" s="32" t="n">
        <x:v>48106</x:v>
      </x:c>
      <x:c r="G1336" s="36" t="n">
        <x:v>18327599.51</x:v>
      </x:c>
      <x:c r="H1336" s="36" t="n">
        <x:v>5186.85</x:v>
      </x:c>
      <x:c r="I1336" s="36" t="n">
        <x:v>0</x:v>
      </x:c>
      <x:c r="J1336" s="36" t="n">
        <x:v>0</x:v>
      </x:c>
      <x:c r="K1336" s="36" t="n">
        <x:v>18327599.51</x:v>
      </x:c>
      <x:c r="L1336" s="36" t="n">
        <x:v>245595.45</x:v>
      </x:c>
      <x:c r="M1336" s="38" t="n">
        <x:v>4.999315537303217</x:v>
      </x:c>
      <x:c r="N1336" s="36" t="n">
        <x:v>18327599.51</x:v>
      </x:c>
    </x:row>
    <x:row r="1337" ht="20" customHeight="1">
      <x:c r="C1337" s="1" t="n">
        <x:v>3</x:v>
      </x:c>
      <x:c r="D1337" s="1" t="n">
        <x:v>5</x:v>
      </x:c>
      <x:c r="E1337" s="1" t="n">
        <x:v>61</x:v>
      </x:c>
      <x:c r="F1337" s="32" t="n">
        <x:v>48136</x:v>
      </x:c>
      <x:c r="G1337" s="36" t="n">
        <x:v>18327599.51</x:v>
      </x:c>
      <x:c r="H1337" s="36" t="n">
        <x:v>1976.86</x:v>
      </x:c>
      <x:c r="I1337" s="36" t="n">
        <x:v>0</x:v>
      </x:c>
      <x:c r="J1337" s="36" t="n">
        <x:v>0</x:v>
      </x:c>
      <x:c r="K1337" s="36" t="n">
        <x:v>18327599.51</x:v>
      </x:c>
      <x:c r="L1337" s="36" t="n">
        <x:v>315589.72</x:v>
      </x:c>
      <x:c r="M1337" s="38" t="n">
        <x:v>5.08145106091718</x:v>
      </x:c>
      <x:c r="N1337" s="36" t="n">
        <x:v>18327599.51</x:v>
      </x:c>
    </x:row>
    <x:row r="1338" ht="20" customHeight="1">
      <x:c r="C1338" s="1" t="n">
        <x:v>3</x:v>
      </x:c>
      <x:c r="D1338" s="1" t="n">
        <x:v>5</x:v>
      </x:c>
      <x:c r="E1338" s="1" t="n">
        <x:v>62</x:v>
      </x:c>
      <x:c r="F1338" s="32" t="n">
        <x:v>48169</x:v>
      </x:c>
      <x:c r="G1338" s="36" t="n">
        <x:v>18327599.51</x:v>
      </x:c>
      <x:c r="H1338" s="36" t="n">
        <x:v>309.61</x:v>
      </x:c>
      <x:c r="I1338" s="36" t="n">
        <x:v>0</x:v>
      </x:c>
      <x:c r="J1338" s="36" t="n">
        <x:v>0</x:v>
      </x:c>
      <x:c r="K1338" s="36" t="n">
        <x:v>18327599.51</x:v>
      </x:c>
      <x:c r="L1338" s="36" t="n">
        <x:v>387522.47</x:v>
      </x:c>
      <x:c r="M1338" s="38" t="n">
        <x:v>5.171800136892539</x:v>
      </x:c>
      <x:c r="N1338" s="36" t="n">
        <x:v>18327599.51</x:v>
      </x:c>
    </x:row>
    <x:row r="1339" ht="20" customHeight="1">
      <x:c r="C1339" s="1" t="n">
        <x:v>3</x:v>
      </x:c>
      <x:c r="D1339" s="1" t="n">
        <x:v>5</x:v>
      </x:c>
      <x:c r="E1339" s="1" t="n">
        <x:v>63</x:v>
      </x:c>
      <x:c r="F1339" s="32" t="n">
        <x:v>48197</x:v>
      </x:c>
      <x:c r="G1339" s="36" t="n">
        <x:v>18327599.51</x:v>
      </x:c>
      <x:c r="H1339" s="36" t="n">
        <x:v>65.55</x:v>
      </x:c>
      <x:c r="I1339" s="36" t="n">
        <x:v>0</x:v>
      </x:c>
      <x:c r="J1339" s="36" t="n">
        <x:v>0</x:v>
      </x:c>
      <x:c r="K1339" s="36" t="n">
        <x:v>18327599.51</x:v>
      </x:c>
      <x:c r="L1339" s="36" t="n">
        <x:v>459974.48</x:v>
      </x:c>
      <x:c r="M1339" s="38" t="n">
        <x:v>5.248459958932238</x:v>
      </x:c>
      <x:c r="N1339" s="36" t="n">
        <x:v>18327599.51</x:v>
      </x:c>
    </x:row>
    <x:row r="1340" ht="20" customHeight="1">
      <x:c r="C1340" s="1" t="n">
        <x:v>3</x:v>
      </x:c>
      <x:c r="D1340" s="1" t="n">
        <x:v>5</x:v>
      </x:c>
      <x:c r="E1340" s="1" t="n">
        <x:v>64</x:v>
      </x:c>
      <x:c r="F1340" s="32" t="n">
        <x:v>48228</x:v>
      </x:c>
      <x:c r="G1340" s="36" t="n">
        <x:v>18327599.51</x:v>
      </x:c>
      <x:c r="H1340" s="36" t="n">
        <x:v>21.02</x:v>
      </x:c>
      <x:c r="I1340" s="36" t="n">
        <x:v>0</x:v>
      </x:c>
      <x:c r="J1340" s="36" t="n">
        <x:v>0</x:v>
      </x:c>
      <x:c r="K1340" s="36" t="n">
        <x:v>18327599.51</x:v>
      </x:c>
      <x:c r="L1340" s="36" t="n">
        <x:v>532746.22</x:v>
      </x:c>
      <x:c r="M1340" s="38" t="n">
        <x:v>5.333333333333333</x:v>
      </x:c>
      <x:c r="N1340" s="36" t="n">
        <x:v>18327599.51</x:v>
      </x:c>
    </x:row>
    <x:row r="1341" ht="20" customHeight="1">
      <x:c r="C1341" s="1" t="n">
        <x:v>3</x:v>
      </x:c>
      <x:c r="D1341" s="1" t="n">
        <x:v>5</x:v>
      </x:c>
      <x:c r="E1341" s="1" t="n">
        <x:v>65</x:v>
      </x:c>
      <x:c r="F1341" s="32" t="n">
        <x:v>48261</x:v>
      </x:c>
      <x:c r="G1341" s="36" t="n">
        <x:v>18327599.51</x:v>
      </x:c>
      <x:c r="H1341" s="36" t="n">
        <x:v>5.71</x:v>
      </x:c>
      <x:c r="I1341" s="36" t="n">
        <x:v>0</x:v>
      </x:c>
      <x:c r="J1341" s="36" t="n">
        <x:v>0</x:v>
      </x:c>
      <x:c r="K1341" s="36" t="n">
        <x:v>18327599.51</x:v>
      </x:c>
      <x:c r="L1341" s="36" t="n">
        <x:v>605808.47</x:v>
      </x:c>
      <x:c r="M1341" s="38" t="n">
        <x:v>5.423682409308693</x:v>
      </x:c>
      <x:c r="N1341" s="36" t="n">
        <x:v>18327599.51</x:v>
      </x:c>
    </x:row>
    <x:row r="1342" ht="20" customHeight="1">
      <x:c r="C1342" s="1" t="n">
        <x:v>3</x:v>
      </x:c>
      <x:c r="D1342" s="1" t="n">
        <x:v>5</x:v>
      </x:c>
      <x:c r="E1342" s="1" t="n">
        <x:v>66</x:v>
      </x:c>
      <x:c r="F1342" s="32" t="n">
        <x:v>48288</x:v>
      </x:c>
      <x:c r="G1342" s="36" t="n">
        <x:v>18327599.51</x:v>
      </x:c>
      <x:c r="H1342" s="36" t="n">
        <x:v>2.13</x:v>
      </x:c>
      <x:c r="I1342" s="36" t="n">
        <x:v>0</x:v>
      </x:c>
      <x:c r="J1342" s="36" t="n">
        <x:v>0</x:v>
      </x:c>
      <x:c r="K1342" s="36" t="n">
        <x:v>18327599.51</x:v>
      </x:c>
      <x:c r="L1342" s="36" t="n">
        <x:v>679149.5</x:v>
      </x:c>
      <x:c r="M1342" s="38" t="n">
        <x:v>5.49760438056126</x:v>
      </x:c>
      <x:c r="N1342" s="36" t="n">
        <x:v>18327599.51</x:v>
      </x:c>
    </x:row>
    <x:row r="1343" ht="20" customHeight="1">
      <x:c r="C1343" s="1" t="n">
        <x:v>3</x:v>
      </x:c>
      <x:c r="D1343" s="1" t="n">
        <x:v>5</x:v>
      </x:c>
      <x:c r="E1343" s="1" t="n">
        <x:v>67</x:v>
      </x:c>
      <x:c r="F1343" s="32" t="n">
        <x:v>48319</x:v>
      </x:c>
      <x:c r="G1343" s="36" t="n">
        <x:v>18327599.51</x:v>
      </x:c>
      <x:c r="H1343" s="36" t="n">
        <x:v>0.24</x:v>
      </x:c>
      <x:c r="I1343" s="36" t="n">
        <x:v>0</x:v>
      </x:c>
      <x:c r="J1343" s="36" t="n">
        <x:v>18327599.51</x:v>
      </x:c>
      <x:c r="K1343" s="36" t="n">
        <x:v>0</x:v>
      </x:c>
      <x:c r="L1343" s="36" t="n">
        <x:v>752767.62</x:v>
      </x:c>
      <x:c r="M1343" s="38" t="n">
        <x:v>5.582477754962355</x:v>
      </x:c>
      <x:c r="N1343" s="36" t="n">
        <x:v>18327599.51</x:v>
      </x:c>
    </x:row>
    <x:row r="1344" ht="20" customHeight="1">
      <x:c r="C1344" s="1" t="n">
        <x:v>3</x:v>
      </x:c>
      <x:c r="D1344" s="1" t="n">
        <x:v>6</x:v>
      </x:c>
      <x:c r="E1344" s="1" t="n">
        <x:v>1</x:v>
      </x:c>
      <x:c r="F1344" s="32" t="n">
        <x:v>46310</x:v>
      </x:c>
      <x:c r="G1344" s="36" t="n">
        <x:v>28920000</x:v>
      </x:c>
      <x:c r="H1344" s="36" t="n">
        <x:v>119536</x:v>
      </x:c>
      <x:c r="I1344" s="36" t="n">
        <x:v>0</x:v>
      </x:c>
      <x:c r="J1344" s="36" t="n">
        <x:v>0</x:v>
      </x:c>
      <x:c r="K1344" s="36" t="n">
        <x:v>28920000</x:v>
      </x:c>
      <x:c r="L1344" s="36" t="n">
        <x:v>0</x:v>
      </x:c>
      <x:c r="M1344" s="38" t="n">
        <x:v>0.08213552361396304</x:v>
      </x:c>
      <x:c r="N1344" s="36" t="n">
        <x:v>28920000</x:v>
      </x:c>
    </x:row>
    <x:row r="1345" ht="20" customHeight="1">
      <x:c r="C1345" s="1" t="n">
        <x:v>3</x:v>
      </x:c>
      <x:c r="D1345" s="1" t="n">
        <x:v>6</x:v>
      </x:c>
      <x:c r="E1345" s="1" t="n">
        <x:v>2</x:v>
      </x:c>
      <x:c r="F1345" s="32" t="n">
        <x:v>46342</x:v>
      </x:c>
      <x:c r="G1345" s="36" t="n">
        <x:v>28920000</x:v>
      </x:c>
      <x:c r="H1345" s="36" t="n">
        <x:v>119536</x:v>
      </x:c>
      <x:c r="I1345" s="36" t="n">
        <x:v>0</x:v>
      </x:c>
      <x:c r="J1345" s="36" t="n">
        <x:v>0</x:v>
      </x:c>
      <x:c r="K1345" s="36" t="n">
        <x:v>28920000</x:v>
      </x:c>
      <x:c r="L1345" s="36" t="n">
        <x:v>0</x:v>
      </x:c>
      <x:c r="M1345" s="38" t="n">
        <x:v>0.1697467488021903</x:v>
      </x:c>
      <x:c r="N1345" s="36" t="n">
        <x:v>28920000</x:v>
      </x:c>
    </x:row>
    <x:row r="1346" ht="20" customHeight="1">
      <x:c r="C1346" s="1" t="n">
        <x:v>3</x:v>
      </x:c>
      <x:c r="D1346" s="1" t="n">
        <x:v>6</x:v>
      </x:c>
      <x:c r="E1346" s="1" t="n">
        <x:v>3</x:v>
      </x:c>
      <x:c r="F1346" s="32" t="n">
        <x:v>46371</x:v>
      </x:c>
      <x:c r="G1346" s="36" t="n">
        <x:v>28920000</x:v>
      </x:c>
      <x:c r="H1346" s="36" t="n">
        <x:v>119536</x:v>
      </x:c>
      <x:c r="I1346" s="36" t="n">
        <x:v>0</x:v>
      </x:c>
      <x:c r="J1346" s="36" t="n">
        <x:v>0</x:v>
      </x:c>
      <x:c r="K1346" s="36" t="n">
        <x:v>28920000</x:v>
      </x:c>
      <x:c r="L1346" s="36" t="n">
        <x:v>0</x:v>
      </x:c>
      <x:c r="M1346" s="38" t="n">
        <x:v>0.24914442162902123</x:v>
      </x:c>
      <x:c r="N1346" s="36" t="n">
        <x:v>28920000</x:v>
      </x:c>
    </x:row>
    <x:row r="1347" ht="20" customHeight="1">
      <x:c r="C1347" s="1" t="n">
        <x:v>3</x:v>
      </x:c>
      <x:c r="D1347" s="1" t="n">
        <x:v>6</x:v>
      </x:c>
      <x:c r="E1347" s="1" t="n">
        <x:v>4</x:v>
      </x:c>
      <x:c r="F1347" s="32" t="n">
        <x:v>46402</x:v>
      </x:c>
      <x:c r="G1347" s="36" t="n">
        <x:v>28920000</x:v>
      </x:c>
      <x:c r="H1347" s="36" t="n">
        <x:v>119536</x:v>
      </x:c>
      <x:c r="I1347" s="36" t="n">
        <x:v>0</x:v>
      </x:c>
      <x:c r="J1347" s="36" t="n">
        <x:v>0</x:v>
      </x:c>
      <x:c r="K1347" s="36" t="n">
        <x:v>28920000</x:v>
      </x:c>
      <x:c r="L1347" s="36" t="n">
        <x:v>0</x:v>
      </x:c>
      <x:c r="M1347" s="38" t="n">
        <x:v>0.33401779603011633</x:v>
      </x:c>
      <x:c r="N1347" s="36" t="n">
        <x:v>28920000</x:v>
      </x:c>
    </x:row>
    <x:row r="1348" ht="20" customHeight="1">
      <x:c r="C1348" s="1" t="n">
        <x:v>3</x:v>
      </x:c>
      <x:c r="D1348" s="1" t="n">
        <x:v>6</x:v>
      </x:c>
      <x:c r="E1348" s="1" t="n">
        <x:v>5</x:v>
      </x:c>
      <x:c r="F1348" s="32" t="n">
        <x:v>46434</x:v>
      </x:c>
      <x:c r="G1348" s="36" t="n">
        <x:v>28920000</x:v>
      </x:c>
      <x:c r="H1348" s="36" t="n">
        <x:v>119536</x:v>
      </x:c>
      <x:c r="I1348" s="36" t="n">
        <x:v>0</x:v>
      </x:c>
      <x:c r="J1348" s="36" t="n">
        <x:v>0</x:v>
      </x:c>
      <x:c r="K1348" s="36" t="n">
        <x:v>28920000</x:v>
      </x:c>
      <x:c r="L1348" s="36" t="n">
        <x:v>0</x:v>
      </x:c>
      <x:c r="M1348" s="38" t="n">
        <x:v>0.4216290212183436</x:v>
      </x:c>
      <x:c r="N1348" s="36" t="n">
        <x:v>28920000</x:v>
      </x:c>
    </x:row>
    <x:row r="1349" ht="20" customHeight="1">
      <x:c r="C1349" s="1" t="n">
        <x:v>3</x:v>
      </x:c>
      <x:c r="D1349" s="1" t="n">
        <x:v>6</x:v>
      </x:c>
      <x:c r="E1349" s="1" t="n">
        <x:v>6</x:v>
      </x:c>
      <x:c r="F1349" s="32" t="n">
        <x:v>46461</x:v>
      </x:c>
      <x:c r="G1349" s="36" t="n">
        <x:v>28920000</x:v>
      </x:c>
      <x:c r="H1349" s="36" t="n">
        <x:v>119536</x:v>
      </x:c>
      <x:c r="I1349" s="36" t="n">
        <x:v>0</x:v>
      </x:c>
      <x:c r="J1349" s="36" t="n">
        <x:v>0</x:v>
      </x:c>
      <x:c r="K1349" s="36" t="n">
        <x:v>28920000</x:v>
      </x:c>
      <x:c r="L1349" s="36" t="n">
        <x:v>0</x:v>
      </x:c>
      <x:c r="M1349" s="38" t="n">
        <x:v>0.49555099247091033</x:v>
      </x:c>
      <x:c r="N1349" s="36" t="n">
        <x:v>28920000</x:v>
      </x:c>
    </x:row>
    <x:row r="1350" ht="20" customHeight="1">
      <x:c r="C1350" s="1" t="n">
        <x:v>3</x:v>
      </x:c>
      <x:c r="D1350" s="1" t="n">
        <x:v>6</x:v>
      </x:c>
      <x:c r="E1350" s="1" t="n">
        <x:v>7</x:v>
      </x:c>
      <x:c r="F1350" s="32" t="n">
        <x:v>46492</x:v>
      </x:c>
      <x:c r="G1350" s="36" t="n">
        <x:v>28920000</x:v>
      </x:c>
      <x:c r="H1350" s="36" t="n">
        <x:v>119536</x:v>
      </x:c>
      <x:c r="I1350" s="36" t="n">
        <x:v>0</x:v>
      </x:c>
      <x:c r="J1350" s="36" t="n">
        <x:v>0</x:v>
      </x:c>
      <x:c r="K1350" s="36" t="n">
        <x:v>28920000</x:v>
      </x:c>
      <x:c r="L1350" s="36" t="n">
        <x:v>0</x:v>
      </x:c>
      <x:c r="M1350" s="38" t="n">
        <x:v>0.5804243668720055</x:v>
      </x:c>
      <x:c r="N1350" s="36" t="n">
        <x:v>28920000</x:v>
      </x:c>
    </x:row>
    <x:row r="1351" ht="20" customHeight="1">
      <x:c r="C1351" s="1" t="n">
        <x:v>3</x:v>
      </x:c>
      <x:c r="D1351" s="1" t="n">
        <x:v>6</x:v>
      </x:c>
      <x:c r="E1351" s="1" t="n">
        <x:v>8</x:v>
      </x:c>
      <x:c r="F1351" s="32" t="n">
        <x:v>46524</x:v>
      </x:c>
      <x:c r="G1351" s="36" t="n">
        <x:v>28920000</x:v>
      </x:c>
      <x:c r="H1351" s="36" t="n">
        <x:v>119536</x:v>
      </x:c>
      <x:c r="I1351" s="36" t="n">
        <x:v>0</x:v>
      </x:c>
      <x:c r="J1351" s="36" t="n">
        <x:v>0</x:v>
      </x:c>
      <x:c r="K1351" s="36" t="n">
        <x:v>28920000</x:v>
      </x:c>
      <x:c r="L1351" s="36" t="n">
        <x:v>0</x:v>
      </x:c>
      <x:c r="M1351" s="38" t="n">
        <x:v>0.6680355920602327</x:v>
      </x:c>
      <x:c r="N1351" s="36" t="n">
        <x:v>28920000</x:v>
      </x:c>
    </x:row>
    <x:row r="1352" ht="20" customHeight="1">
      <x:c r="C1352" s="1" t="n">
        <x:v>3</x:v>
      </x:c>
      <x:c r="D1352" s="1" t="n">
        <x:v>6</x:v>
      </x:c>
      <x:c r="E1352" s="1" t="n">
        <x:v>9</x:v>
      </x:c>
      <x:c r="F1352" s="32" t="n">
        <x:v>46553</x:v>
      </x:c>
      <x:c r="G1352" s="36" t="n">
        <x:v>28920000</x:v>
      </x:c>
      <x:c r="H1352" s="36" t="n">
        <x:v>119536</x:v>
      </x:c>
      <x:c r="I1352" s="36" t="n">
        <x:v>0</x:v>
      </x:c>
      <x:c r="J1352" s="36" t="n">
        <x:v>0</x:v>
      </x:c>
      <x:c r="K1352" s="36" t="n">
        <x:v>28920000</x:v>
      </x:c>
      <x:c r="L1352" s="36" t="n">
        <x:v>0</x:v>
      </x:c>
      <x:c r="M1352" s="38" t="n">
        <x:v>0.7474332648870636</x:v>
      </x:c>
      <x:c r="N1352" s="36" t="n">
        <x:v>28920000</x:v>
      </x:c>
    </x:row>
    <x:row r="1353" ht="20" customHeight="1">
      <x:c r="C1353" s="1" t="n">
        <x:v>3</x:v>
      </x:c>
      <x:c r="D1353" s="1" t="n">
        <x:v>6</x:v>
      </x:c>
      <x:c r="E1353" s="1" t="n">
        <x:v>10</x:v>
      </x:c>
      <x:c r="F1353" s="32" t="n">
        <x:v>46583</x:v>
      </x:c>
      <x:c r="G1353" s="36" t="n">
        <x:v>28920000</x:v>
      </x:c>
      <x:c r="H1353" s="36" t="n">
        <x:v>119536</x:v>
      </x:c>
      <x:c r="I1353" s="36" t="n">
        <x:v>0</x:v>
      </x:c>
      <x:c r="J1353" s="36" t="n">
        <x:v>0</x:v>
      </x:c>
      <x:c r="K1353" s="36" t="n">
        <x:v>28920000</x:v>
      </x:c>
      <x:c r="L1353" s="36" t="n">
        <x:v>0</x:v>
      </x:c>
      <x:c r="M1353" s="38" t="n">
        <x:v>0.8295687885010267</x:v>
      </x:c>
      <x:c r="N1353" s="36" t="n">
        <x:v>28920000</x:v>
      </x:c>
    </x:row>
    <x:row r="1354" ht="20" customHeight="1">
      <x:c r="C1354" s="1" t="n">
        <x:v>3</x:v>
      </x:c>
      <x:c r="D1354" s="1" t="n">
        <x:v>6</x:v>
      </x:c>
      <x:c r="E1354" s="1" t="n">
        <x:v>11</x:v>
      </x:c>
      <x:c r="F1354" s="32" t="n">
        <x:v>46615</x:v>
      </x:c>
      <x:c r="G1354" s="36" t="n">
        <x:v>28920000</x:v>
      </x:c>
      <x:c r="H1354" s="36" t="n">
        <x:v>119536</x:v>
      </x:c>
      <x:c r="I1354" s="36" t="n">
        <x:v>0</x:v>
      </x:c>
      <x:c r="J1354" s="36" t="n">
        <x:v>0</x:v>
      </x:c>
      <x:c r="K1354" s="36" t="n">
        <x:v>28920000</x:v>
      </x:c>
      <x:c r="L1354" s="36" t="n">
        <x:v>0</x:v>
      </x:c>
      <x:c r="M1354" s="38" t="n">
        <x:v>0.917180013689254</x:v>
      </x:c>
      <x:c r="N1354" s="36" t="n">
        <x:v>28920000</x:v>
      </x:c>
    </x:row>
    <x:row r="1355" ht="20" customHeight="1">
      <x:c r="C1355" s="1" t="n">
        <x:v>3</x:v>
      </x:c>
      <x:c r="D1355" s="1" t="n">
        <x:v>6</x:v>
      </x:c>
      <x:c r="E1355" s="1" t="n">
        <x:v>12</x:v>
      </x:c>
      <x:c r="F1355" s="32" t="n">
        <x:v>46645</x:v>
      </x:c>
      <x:c r="G1355" s="36" t="n">
        <x:v>28920000</x:v>
      </x:c>
      <x:c r="H1355" s="36" t="n">
        <x:v>119536</x:v>
      </x:c>
      <x:c r="I1355" s="36" t="n">
        <x:v>0</x:v>
      </x:c>
      <x:c r="J1355" s="36" t="n">
        <x:v>0</x:v>
      </x:c>
      <x:c r="K1355" s="36" t="n">
        <x:v>28920000</x:v>
      </x:c>
      <x:c r="L1355" s="36" t="n">
        <x:v>0</x:v>
      </x:c>
      <x:c r="M1355" s="38" t="n">
        <x:v>0.999315537303217</x:v>
      </x:c>
      <x:c r="N1355" s="36" t="n">
        <x:v>28920000</x:v>
      </x:c>
    </x:row>
    <x:row r="1356" ht="20" customHeight="1">
      <x:c r="C1356" s="1" t="n">
        <x:v>3</x:v>
      </x:c>
      <x:c r="D1356" s="1" t="n">
        <x:v>6</x:v>
      </x:c>
      <x:c r="E1356" s="1" t="n">
        <x:v>13</x:v>
      </x:c>
      <x:c r="F1356" s="32" t="n">
        <x:v>46675</x:v>
      </x:c>
      <x:c r="G1356" s="36" t="n">
        <x:v>28920000</x:v>
      </x:c>
      <x:c r="H1356" s="36" t="n">
        <x:v>119536</x:v>
      </x:c>
      <x:c r="I1356" s="36" t="n">
        <x:v>0</x:v>
      </x:c>
      <x:c r="J1356" s="36" t="n">
        <x:v>0</x:v>
      </x:c>
      <x:c r="K1356" s="36" t="n">
        <x:v>28920000</x:v>
      </x:c>
      <x:c r="L1356" s="36" t="n">
        <x:v>0</x:v>
      </x:c>
      <x:c r="M1356" s="38" t="n">
        <x:v>1.08145106091718</x:v>
      </x:c>
      <x:c r="N1356" s="36" t="n">
        <x:v>28920000</x:v>
      </x:c>
    </x:row>
    <x:row r="1357" ht="20" customHeight="1">
      <x:c r="C1357" s="1" t="n">
        <x:v>3</x:v>
      </x:c>
      <x:c r="D1357" s="1" t="n">
        <x:v>6</x:v>
      </x:c>
      <x:c r="E1357" s="1" t="n">
        <x:v>14</x:v>
      </x:c>
      <x:c r="F1357" s="32" t="n">
        <x:v>46706</x:v>
      </x:c>
      <x:c r="G1357" s="36" t="n">
        <x:v>28920000</x:v>
      </x:c>
      <x:c r="H1357" s="36" t="n">
        <x:v>119536</x:v>
      </x:c>
      <x:c r="I1357" s="36" t="n">
        <x:v>0</x:v>
      </x:c>
      <x:c r="J1357" s="36" t="n">
        <x:v>0</x:v>
      </x:c>
      <x:c r="K1357" s="36" t="n">
        <x:v>28920000</x:v>
      </x:c>
      <x:c r="L1357" s="36" t="n">
        <x:v>0</x:v>
      </x:c>
      <x:c r="M1357" s="38" t="n">
        <x:v>1.1663244353182751</x:v>
      </x:c>
      <x:c r="N1357" s="36" t="n">
        <x:v>28920000</x:v>
      </x:c>
    </x:row>
    <x:row r="1358" ht="20" customHeight="1">
      <x:c r="C1358" s="1" t="n">
        <x:v>3</x:v>
      </x:c>
      <x:c r="D1358" s="1" t="n">
        <x:v>6</x:v>
      </x:c>
      <x:c r="E1358" s="1" t="n">
        <x:v>15</x:v>
      </x:c>
      <x:c r="F1358" s="32" t="n">
        <x:v>46736</x:v>
      </x:c>
      <x:c r="G1358" s="36" t="n">
        <x:v>28920000</x:v>
      </x:c>
      <x:c r="H1358" s="36" t="n">
        <x:v>119536</x:v>
      </x:c>
      <x:c r="I1358" s="36" t="n">
        <x:v>0</x:v>
      </x:c>
      <x:c r="J1358" s="36" t="n">
        <x:v>0</x:v>
      </x:c>
      <x:c r="K1358" s="36" t="n">
        <x:v>28920000</x:v>
      </x:c>
      <x:c r="L1358" s="36" t="n">
        <x:v>0</x:v>
      </x:c>
      <x:c r="M1358" s="38" t="n">
        <x:v>1.2484599589322383</x:v>
      </x:c>
      <x:c r="N1358" s="36" t="n">
        <x:v>28920000</x:v>
      </x:c>
    </x:row>
    <x:row r="1359" ht="20" customHeight="1">
      <x:c r="C1359" s="1" t="n">
        <x:v>3</x:v>
      </x:c>
      <x:c r="D1359" s="1" t="n">
        <x:v>6</x:v>
      </x:c>
      <x:c r="E1359" s="1" t="n">
        <x:v>16</x:v>
      </x:c>
      <x:c r="F1359" s="32" t="n">
        <x:v>46770</x:v>
      </x:c>
      <x:c r="G1359" s="36" t="n">
        <x:v>28920000</x:v>
      </x:c>
      <x:c r="H1359" s="36" t="n">
        <x:v>119536</x:v>
      </x:c>
      <x:c r="I1359" s="36" t="n">
        <x:v>0</x:v>
      </x:c>
      <x:c r="J1359" s="36" t="n">
        <x:v>0</x:v>
      </x:c>
      <x:c r="K1359" s="36" t="n">
        <x:v>28920000</x:v>
      </x:c>
      <x:c r="L1359" s="36" t="n">
        <x:v>0</x:v>
      </x:c>
      <x:c r="M1359" s="38" t="n">
        <x:v>1.3415468856947297</x:v>
      </x:c>
      <x:c r="N1359" s="36" t="n">
        <x:v>28920000</x:v>
      </x:c>
    </x:row>
    <x:row r="1360" ht="20" customHeight="1">
      <x:c r="C1360" s="1" t="n">
        <x:v>3</x:v>
      </x:c>
      <x:c r="D1360" s="1" t="n">
        <x:v>6</x:v>
      </x:c>
      <x:c r="E1360" s="1" t="n">
        <x:v>17</x:v>
      </x:c>
      <x:c r="F1360" s="32" t="n">
        <x:v>46798</x:v>
      </x:c>
      <x:c r="G1360" s="36" t="n">
        <x:v>28920000</x:v>
      </x:c>
      <x:c r="H1360" s="36" t="n">
        <x:v>119536</x:v>
      </x:c>
      <x:c r="I1360" s="36" t="n">
        <x:v>0</x:v>
      </x:c>
      <x:c r="J1360" s="36" t="n">
        <x:v>0</x:v>
      </x:c>
      <x:c r="K1360" s="36" t="n">
        <x:v>28920000</x:v>
      </x:c>
      <x:c r="L1360" s="36" t="n">
        <x:v>0</x:v>
      </x:c>
      <x:c r="M1360" s="38" t="n">
        <x:v>1.4182067077344285</x:v>
      </x:c>
      <x:c r="N1360" s="36" t="n">
        <x:v>28920000</x:v>
      </x:c>
    </x:row>
    <x:row r="1361" ht="20" customHeight="1">
      <x:c r="C1361" s="1" t="n">
        <x:v>3</x:v>
      </x:c>
      <x:c r="D1361" s="1" t="n">
        <x:v>6</x:v>
      </x:c>
      <x:c r="E1361" s="1" t="n">
        <x:v>18</x:v>
      </x:c>
      <x:c r="F1361" s="32" t="n">
        <x:v>46827</x:v>
      </x:c>
      <x:c r="G1361" s="36" t="n">
        <x:v>28920000</x:v>
      </x:c>
      <x:c r="H1361" s="36" t="n">
        <x:v>119536</x:v>
      </x:c>
      <x:c r="I1361" s="36" t="n">
        <x:v>0</x:v>
      </x:c>
      <x:c r="J1361" s="36" t="n">
        <x:v>0</x:v>
      </x:c>
      <x:c r="K1361" s="36" t="n">
        <x:v>28920000</x:v>
      </x:c>
      <x:c r="L1361" s="36" t="n">
        <x:v>0</x:v>
      </x:c>
      <x:c r="M1361" s="38" t="n">
        <x:v>1.4976043805612593</x:v>
      </x:c>
      <x:c r="N1361" s="36" t="n">
        <x:v>28920000</x:v>
      </x:c>
    </x:row>
    <x:row r="1362" ht="20" customHeight="1">
      <x:c r="C1362" s="1" t="n">
        <x:v>3</x:v>
      </x:c>
      <x:c r="D1362" s="1" t="n">
        <x:v>6</x:v>
      </x:c>
      <x:c r="E1362" s="1" t="n">
        <x:v>19</x:v>
      </x:c>
      <x:c r="F1362" s="32" t="n">
        <x:v>46860</x:v>
      </x:c>
      <x:c r="G1362" s="36" t="n">
        <x:v>28920000</x:v>
      </x:c>
      <x:c r="H1362" s="36" t="n">
        <x:v>119536</x:v>
      </x:c>
      <x:c r="I1362" s="36" t="n">
        <x:v>0</x:v>
      </x:c>
      <x:c r="J1362" s="36" t="n">
        <x:v>0</x:v>
      </x:c>
      <x:c r="K1362" s="36" t="n">
        <x:v>28920000</x:v>
      </x:c>
      <x:c r="L1362" s="36" t="n">
        <x:v>0</x:v>
      </x:c>
      <x:c r="M1362" s="38" t="n">
        <x:v>1.5879534565366187</x:v>
      </x:c>
      <x:c r="N1362" s="36" t="n">
        <x:v>28920000</x:v>
      </x:c>
    </x:row>
    <x:row r="1363" ht="20" customHeight="1">
      <x:c r="C1363" s="1" t="n">
        <x:v>3</x:v>
      </x:c>
      <x:c r="D1363" s="1" t="n">
        <x:v>6</x:v>
      </x:c>
      <x:c r="E1363" s="1" t="n">
        <x:v>20</x:v>
      </x:c>
      <x:c r="F1363" s="32" t="n">
        <x:v>46888</x:v>
      </x:c>
      <x:c r="G1363" s="36" t="n">
        <x:v>28920000</x:v>
      </x:c>
      <x:c r="H1363" s="36" t="n">
        <x:v>119536</x:v>
      </x:c>
      <x:c r="I1363" s="36" t="n">
        <x:v>0</x:v>
      </x:c>
      <x:c r="J1363" s="36" t="n">
        <x:v>0</x:v>
      </x:c>
      <x:c r="K1363" s="36" t="n">
        <x:v>28920000</x:v>
      </x:c>
      <x:c r="L1363" s="36" t="n">
        <x:v>0</x:v>
      </x:c>
      <x:c r="M1363" s="38" t="n">
        <x:v>1.6646132785763177</x:v>
      </x:c>
      <x:c r="N1363" s="36" t="n">
        <x:v>28920000</x:v>
      </x:c>
    </x:row>
    <x:row r="1364" ht="20" customHeight="1">
      <x:c r="C1364" s="1" t="n">
        <x:v>3</x:v>
      </x:c>
      <x:c r="D1364" s="1" t="n">
        <x:v>6</x:v>
      </x:c>
      <x:c r="E1364" s="1" t="n">
        <x:v>21</x:v>
      </x:c>
      <x:c r="F1364" s="32" t="n">
        <x:v>46919</x:v>
      </x:c>
      <x:c r="G1364" s="36" t="n">
        <x:v>28920000</x:v>
      </x:c>
      <x:c r="H1364" s="36" t="n">
        <x:v>119536</x:v>
      </x:c>
      <x:c r="I1364" s="36" t="n">
        <x:v>0</x:v>
      </x:c>
      <x:c r="J1364" s="36" t="n">
        <x:v>0</x:v>
      </x:c>
      <x:c r="K1364" s="36" t="n">
        <x:v>28920000</x:v>
      </x:c>
      <x:c r="L1364" s="36" t="n">
        <x:v>0</x:v>
      </x:c>
      <x:c r="M1364" s="38" t="n">
        <x:v>1.7494866529774127</x:v>
      </x:c>
      <x:c r="N1364" s="36" t="n">
        <x:v>28920000</x:v>
      </x:c>
    </x:row>
    <x:row r="1365" ht="20" customHeight="1">
      <x:c r="C1365" s="1" t="n">
        <x:v>3</x:v>
      </x:c>
      <x:c r="D1365" s="1" t="n">
        <x:v>6</x:v>
      </x:c>
      <x:c r="E1365" s="1" t="n">
        <x:v>22</x:v>
      </x:c>
      <x:c r="F1365" s="32" t="n">
        <x:v>46951</x:v>
      </x:c>
      <x:c r="G1365" s="36" t="n">
        <x:v>28920000</x:v>
      </x:c>
      <x:c r="H1365" s="36" t="n">
        <x:v>0</x:v>
      </x:c>
      <x:c r="I1365" s="36" t="n">
        <x:v>0</x:v>
      </x:c>
      <x:c r="J1365" s="36" t="n">
        <x:v>0</x:v>
      </x:c>
      <x:c r="K1365" s="36" t="n">
        <x:v>28920000</x:v>
      </x:c>
      <x:c r="L1365" s="36" t="n">
        <x:v>119536</x:v>
      </x:c>
      <x:c r="M1365" s="38" t="n">
        <x:v>1.83709787816564</x:v>
      </x:c>
      <x:c r="N1365" s="36" t="n">
        <x:v>28920000</x:v>
      </x:c>
    </x:row>
    <x:row r="1366" ht="20" customHeight="1">
      <x:c r="C1366" s="1" t="n">
        <x:v>3</x:v>
      </x:c>
      <x:c r="D1366" s="1" t="n">
        <x:v>6</x:v>
      </x:c>
      <x:c r="E1366" s="1" t="n">
        <x:v>23</x:v>
      </x:c>
      <x:c r="F1366" s="32" t="n">
        <x:v>46980</x:v>
      </x:c>
      <x:c r="G1366" s="36" t="n">
        <x:v>28920000</x:v>
      </x:c>
      <x:c r="H1366" s="36" t="n">
        <x:v>0</x:v>
      </x:c>
      <x:c r="I1366" s="36" t="n">
        <x:v>0</x:v>
      </x:c>
      <x:c r="J1366" s="36" t="n">
        <x:v>0</x:v>
      </x:c>
      <x:c r="K1366" s="36" t="n">
        <x:v>28920000</x:v>
      </x:c>
      <x:c r="L1366" s="36" t="n">
        <x:v>239566.08</x:v>
      </x:c>
      <x:c r="M1366" s="38" t="n">
        <x:v>1.9164955509924708</x:v>
      </x:c>
      <x:c r="N1366" s="36" t="n">
        <x:v>28920000</x:v>
      </x:c>
    </x:row>
    <x:row r="1367" ht="20" customHeight="1">
      <x:c r="C1367" s="1" t="n">
        <x:v>3</x:v>
      </x:c>
      <x:c r="D1367" s="1" t="n">
        <x:v>6</x:v>
      </x:c>
      <x:c r="E1367" s="1" t="n">
        <x:v>24</x:v>
      </x:c>
      <x:c r="F1367" s="32" t="n">
        <x:v>47011</x:v>
      </x:c>
      <x:c r="G1367" s="36" t="n">
        <x:v>28920000</x:v>
      </x:c>
      <x:c r="H1367" s="36" t="n">
        <x:v>0</x:v>
      </x:c>
      <x:c r="I1367" s="36" t="n">
        <x:v>0</x:v>
      </x:c>
      <x:c r="J1367" s="36" t="n">
        <x:v>0</x:v>
      </x:c>
      <x:c r="K1367" s="36" t="n">
        <x:v>28920000</x:v>
      </x:c>
      <x:c r="L1367" s="36" t="n">
        <x:v>360090.24</x:v>
      </x:c>
      <x:c r="M1367" s="38" t="n">
        <x:v>2.001368925393566</x:v>
      </x:c>
      <x:c r="N1367" s="36" t="n">
        <x:v>28920000</x:v>
      </x:c>
    </x:row>
    <x:row r="1368" ht="20" customHeight="1">
      <x:c r="C1368" s="1" t="n">
        <x:v>3</x:v>
      </x:c>
      <x:c r="D1368" s="1" t="n">
        <x:v>6</x:v>
      </x:c>
      <x:c r="E1368" s="1" t="n">
        <x:v>25</x:v>
      </x:c>
      <x:c r="F1368" s="32" t="n">
        <x:v>47042</x:v>
      </x:c>
      <x:c r="G1368" s="36" t="n">
        <x:v>28920000</x:v>
      </x:c>
      <x:c r="H1368" s="36" t="n">
        <x:v>0</x:v>
      </x:c>
      <x:c r="I1368" s="36" t="n">
        <x:v>0</x:v>
      </x:c>
      <x:c r="J1368" s="36" t="n">
        <x:v>0</x:v>
      </x:c>
      <x:c r="K1368" s="36" t="n">
        <x:v>28920000</x:v>
      </x:c>
      <x:c r="L1368" s="36" t="n">
        <x:v>481108.49</x:v>
      </x:c>
      <x:c r="M1368" s="38" t="n">
        <x:v>2.086242299794661</x:v>
      </x:c>
      <x:c r="N1368" s="36" t="n">
        <x:v>28920000</x:v>
      </x:c>
    </x:row>
    <x:row r="1369" ht="20" customHeight="1">
      <x:c r="C1369" s="1" t="n">
        <x:v>3</x:v>
      </x:c>
      <x:c r="D1369" s="1" t="n">
        <x:v>6</x:v>
      </x:c>
      <x:c r="E1369" s="1" t="n">
        <x:v>26</x:v>
      </x:c>
      <x:c r="F1369" s="32" t="n">
        <x:v>47072</x:v>
      </x:c>
      <x:c r="G1369" s="36" t="n">
        <x:v>28920000</x:v>
      </x:c>
      <x:c r="H1369" s="36" t="n">
        <x:v>0</x:v>
      </x:c>
      <x:c r="I1369" s="36" t="n">
        <x:v>0</x:v>
      </x:c>
      <x:c r="J1369" s="36" t="n">
        <x:v>0</x:v>
      </x:c>
      <x:c r="K1369" s="36" t="n">
        <x:v>28920000</x:v>
      </x:c>
      <x:c r="L1369" s="36" t="n">
        <x:v>602620.82</x:v>
      </x:c>
      <x:c r="M1369" s="38" t="n">
        <x:v>2.1683778234086244</x:v>
      </x:c>
      <x:c r="N1369" s="36" t="n">
        <x:v>28920000</x:v>
      </x:c>
    </x:row>
    <x:row r="1370" ht="20" customHeight="1">
      <x:c r="C1370" s="1" t="n">
        <x:v>3</x:v>
      </x:c>
      <x:c r="D1370" s="1" t="n">
        <x:v>6</x:v>
      </x:c>
      <x:c r="E1370" s="1" t="n">
        <x:v>27</x:v>
      </x:c>
      <x:c r="F1370" s="32" t="n">
        <x:v>47102</x:v>
      </x:c>
      <x:c r="G1370" s="36" t="n">
        <x:v>28920000</x:v>
      </x:c>
      <x:c r="H1370" s="36" t="n">
        <x:v>0</x:v>
      </x:c>
      <x:c r="I1370" s="36" t="n">
        <x:v>0</x:v>
      </x:c>
      <x:c r="J1370" s="36" t="n">
        <x:v>0</x:v>
      </x:c>
      <x:c r="K1370" s="36" t="n">
        <x:v>28920000</x:v>
      </x:c>
      <x:c r="L1370" s="36" t="n">
        <x:v>724627.23</x:v>
      </x:c>
      <x:c r="M1370" s="38" t="n">
        <x:v>2.2505133470225873</x:v>
      </x:c>
      <x:c r="N1370" s="36" t="n">
        <x:v>28920000</x:v>
      </x:c>
    </x:row>
    <x:row r="1371" ht="20" customHeight="1">
      <x:c r="C1371" s="1" t="n">
        <x:v>3</x:v>
      </x:c>
      <x:c r="D1371" s="1" t="n">
        <x:v>6</x:v>
      </x:c>
      <x:c r="E1371" s="1" t="n">
        <x:v>28</x:v>
      </x:c>
      <x:c r="F1371" s="32" t="n">
        <x:v>47134</x:v>
      </x:c>
      <x:c r="G1371" s="36" t="n">
        <x:v>28920000</x:v>
      </x:c>
      <x:c r="H1371" s="36" t="n">
        <x:v>0</x:v>
      </x:c>
      <x:c r="I1371" s="36" t="n">
        <x:v>0</x:v>
      </x:c>
      <x:c r="J1371" s="36" t="n">
        <x:v>0</x:v>
      </x:c>
      <x:c r="K1371" s="36" t="n">
        <x:v>28920000</x:v>
      </x:c>
      <x:c r="L1371" s="36" t="n">
        <x:v>847127.72</x:v>
      </x:c>
      <x:c r="M1371" s="38" t="n">
        <x:v>2.3381245722108144</x:v>
      </x:c>
      <x:c r="N1371" s="36" t="n">
        <x:v>28920000</x:v>
      </x:c>
    </x:row>
    <x:row r="1372" ht="20" customHeight="1">
      <x:c r="C1372" s="1" t="n">
        <x:v>3</x:v>
      </x:c>
      <x:c r="D1372" s="1" t="n">
        <x:v>6</x:v>
      </x:c>
      <x:c r="E1372" s="1" t="n">
        <x:v>29</x:v>
      </x:c>
      <x:c r="F1372" s="32" t="n">
        <x:v>47164</x:v>
      </x:c>
      <x:c r="G1372" s="36" t="n">
        <x:v>28920000</x:v>
      </x:c>
      <x:c r="H1372" s="36" t="n">
        <x:v>0</x:v>
      </x:c>
      <x:c r="I1372" s="36" t="n">
        <x:v>0</x:v>
      </x:c>
      <x:c r="J1372" s="36" t="n">
        <x:v>0</x:v>
      </x:c>
      <x:c r="K1372" s="36" t="n">
        <x:v>28920000</x:v>
      </x:c>
      <x:c r="L1372" s="36" t="n">
        <x:v>970122.29</x:v>
      </x:c>
      <x:c r="M1372" s="38" t="n">
        <x:v>2.4202600958247777</x:v>
      </x:c>
      <x:c r="N1372" s="36" t="n">
        <x:v>28920000</x:v>
      </x:c>
    </x:row>
    <x:row r="1373" ht="20" customHeight="1">
      <x:c r="C1373" s="1" t="n">
        <x:v>3</x:v>
      </x:c>
      <x:c r="D1373" s="1" t="n">
        <x:v>6</x:v>
      </x:c>
      <x:c r="E1373" s="1" t="n">
        <x:v>30</x:v>
      </x:c>
      <x:c r="F1373" s="32" t="n">
        <x:v>47192</x:v>
      </x:c>
      <x:c r="G1373" s="36" t="n">
        <x:v>28920000</x:v>
      </x:c>
      <x:c r="H1373" s="36" t="n">
        <x:v>0</x:v>
      </x:c>
      <x:c r="I1373" s="36" t="n">
        <x:v>0</x:v>
      </x:c>
      <x:c r="J1373" s="36" t="n">
        <x:v>0</x:v>
      </x:c>
      <x:c r="K1373" s="36" t="n">
        <x:v>28920000</x:v>
      </x:c>
      <x:c r="L1373" s="36" t="n">
        <x:v>1093610.95</x:v>
      </x:c>
      <x:c r="M1373" s="38" t="n">
        <x:v>2.4969199178644765</x:v>
      </x:c>
      <x:c r="N1373" s="36" t="n">
        <x:v>28920000</x:v>
      </x:c>
    </x:row>
    <x:row r="1374" ht="20" customHeight="1">
      <x:c r="C1374" s="1" t="n">
        <x:v>3</x:v>
      </x:c>
      <x:c r="D1374" s="1" t="n">
        <x:v>6</x:v>
      </x:c>
      <x:c r="E1374" s="1" t="n">
        <x:v>31</x:v>
      </x:c>
      <x:c r="F1374" s="32" t="n">
        <x:v>47224</x:v>
      </x:c>
      <x:c r="G1374" s="36" t="n">
        <x:v>28920000</x:v>
      </x:c>
      <x:c r="H1374" s="36" t="n">
        <x:v>0</x:v>
      </x:c>
      <x:c r="I1374" s="36" t="n">
        <x:v>0</x:v>
      </x:c>
      <x:c r="J1374" s="36" t="n">
        <x:v>0</x:v>
      </x:c>
      <x:c r="K1374" s="36" t="n">
        <x:v>28920000</x:v>
      </x:c>
      <x:c r="L1374" s="36" t="n">
        <x:v>1217593.69</x:v>
      </x:c>
      <x:c r="M1374" s="38" t="n">
        <x:v>2.5845311430527036</x:v>
      </x:c>
      <x:c r="N1374" s="36" t="n">
        <x:v>28920000</x:v>
      </x:c>
    </x:row>
    <x:row r="1375" ht="20" customHeight="1">
      <x:c r="C1375" s="1" t="n">
        <x:v>3</x:v>
      </x:c>
      <x:c r="D1375" s="1" t="n">
        <x:v>6</x:v>
      </x:c>
      <x:c r="E1375" s="1" t="n">
        <x:v>32</x:v>
      </x:c>
      <x:c r="F1375" s="32" t="n">
        <x:v>47253</x:v>
      </x:c>
      <x:c r="G1375" s="36" t="n">
        <x:v>28920000</x:v>
      </x:c>
      <x:c r="H1375" s="36" t="n">
        <x:v>0</x:v>
      </x:c>
      <x:c r="I1375" s="36" t="n">
        <x:v>0</x:v>
      </x:c>
      <x:c r="J1375" s="36" t="n">
        <x:v>0</x:v>
      </x:c>
      <x:c r="K1375" s="36" t="n">
        <x:v>28920000</x:v>
      </x:c>
      <x:c r="L1375" s="36" t="n">
        <x:v>1342070.51</x:v>
      </x:c>
      <x:c r="M1375" s="38" t="n">
        <x:v>2.6639288158795345</x:v>
      </x:c>
      <x:c r="N1375" s="36" t="n">
        <x:v>28920000</x:v>
      </x:c>
    </x:row>
    <x:row r="1376" ht="20" customHeight="1">
      <x:c r="C1376" s="1" t="n">
        <x:v>3</x:v>
      </x:c>
      <x:c r="D1376" s="1" t="n">
        <x:v>6</x:v>
      </x:c>
      <x:c r="E1376" s="1" t="n">
        <x:v>33</x:v>
      </x:c>
      <x:c r="F1376" s="32" t="n">
        <x:v>47284</x:v>
      </x:c>
      <x:c r="G1376" s="36" t="n">
        <x:v>28920000</x:v>
      </x:c>
      <x:c r="H1376" s="36" t="n">
        <x:v>0</x:v>
      </x:c>
      <x:c r="I1376" s="36" t="n">
        <x:v>0</x:v>
      </x:c>
      <x:c r="J1376" s="36" t="n">
        <x:v>0</x:v>
      </x:c>
      <x:c r="K1376" s="36" t="n">
        <x:v>28920000</x:v>
      </x:c>
      <x:c r="L1376" s="36" t="n">
        <x:v>1467041.41</x:v>
      </x:c>
      <x:c r="M1376" s="38" t="n">
        <x:v>2.74880219028063</x:v>
      </x:c>
      <x:c r="N1376" s="36" t="n">
        <x:v>28920000</x:v>
      </x:c>
    </x:row>
    <x:row r="1377" ht="20" customHeight="1">
      <x:c r="C1377" s="1" t="n">
        <x:v>3</x:v>
      </x:c>
      <x:c r="D1377" s="1" t="n">
        <x:v>6</x:v>
      </x:c>
      <x:c r="E1377" s="1" t="n">
        <x:v>34</x:v>
      </x:c>
      <x:c r="F1377" s="32" t="n">
        <x:v>47315</x:v>
      </x:c>
      <x:c r="G1377" s="36" t="n">
        <x:v>28920000</x:v>
      </x:c>
      <x:c r="H1377" s="36" t="n">
        <x:v>0</x:v>
      </x:c>
      <x:c r="I1377" s="36" t="n">
        <x:v>0</x:v>
      </x:c>
      <x:c r="J1377" s="36" t="n">
        <x:v>0</x:v>
      </x:c>
      <x:c r="K1377" s="36" t="n">
        <x:v>28920000</x:v>
      </x:c>
      <x:c r="L1377" s="36" t="n">
        <x:v>1592506.4</x:v>
      </x:c>
      <x:c r="M1377" s="38" t="n">
        <x:v>2.833675564681725</x:v>
      </x:c>
      <x:c r="N1377" s="36" t="n">
        <x:v>28920000</x:v>
      </x:c>
    </x:row>
    <x:row r="1378" ht="20" customHeight="1">
      <x:c r="C1378" s="1" t="n">
        <x:v>3</x:v>
      </x:c>
      <x:c r="D1378" s="1" t="n">
        <x:v>6</x:v>
      </x:c>
      <x:c r="E1378" s="1" t="n">
        <x:v>35</x:v>
      </x:c>
      <x:c r="F1378" s="32" t="n">
        <x:v>47345</x:v>
      </x:c>
      <x:c r="G1378" s="36" t="n">
        <x:v>28920000</x:v>
      </x:c>
      <x:c r="H1378" s="36" t="n">
        <x:v>0</x:v>
      </x:c>
      <x:c r="I1378" s="36" t="n">
        <x:v>0</x:v>
      </x:c>
      <x:c r="J1378" s="36" t="n">
        <x:v>0</x:v>
      </x:c>
      <x:c r="K1378" s="36" t="n">
        <x:v>28920000</x:v>
      </x:c>
      <x:c r="L1378" s="36" t="n">
        <x:v>1718465.47</x:v>
      </x:c>
      <x:c r="M1378" s="38" t="n">
        <x:v>2.915811088295688</x:v>
      </x:c>
      <x:c r="N1378" s="36" t="n">
        <x:v>28920000</x:v>
      </x:c>
    </x:row>
    <x:row r="1379" ht="20" customHeight="1">
      <x:c r="C1379" s="1" t="n">
        <x:v>3</x:v>
      </x:c>
      <x:c r="D1379" s="1" t="n">
        <x:v>6</x:v>
      </x:c>
      <x:c r="E1379" s="1" t="n">
        <x:v>36</x:v>
      </x:c>
      <x:c r="F1379" s="32" t="n">
        <x:v>47378</x:v>
      </x:c>
      <x:c r="G1379" s="36" t="n">
        <x:v>28920000</x:v>
      </x:c>
      <x:c r="H1379" s="36" t="n">
        <x:v>0</x:v>
      </x:c>
      <x:c r="I1379" s="36" t="n">
        <x:v>0</x:v>
      </x:c>
      <x:c r="J1379" s="36" t="n">
        <x:v>0</x:v>
      </x:c>
      <x:c r="K1379" s="36" t="n">
        <x:v>28920000</x:v>
      </x:c>
      <x:c r="L1379" s="36" t="n">
        <x:v>1844918.62</x:v>
      </x:c>
      <x:c r="M1379" s="38" t="n">
        <x:v>3.0061601642710474</x:v>
      </x:c>
      <x:c r="N1379" s="36" t="n">
        <x:v>28920000</x:v>
      </x:c>
    </x:row>
    <x:row r="1380" ht="20" customHeight="1">
      <x:c r="C1380" s="1" t="n">
        <x:v>3</x:v>
      </x:c>
      <x:c r="D1380" s="1" t="n">
        <x:v>6</x:v>
      </x:c>
      <x:c r="E1380" s="1" t="n">
        <x:v>37</x:v>
      </x:c>
      <x:c r="F1380" s="32" t="n">
        <x:v>47406</x:v>
      </x:c>
      <x:c r="G1380" s="36" t="n">
        <x:v>28920000</x:v>
      </x:c>
      <x:c r="H1380" s="36" t="n">
        <x:v>0</x:v>
      </x:c>
      <x:c r="I1380" s="36" t="n">
        <x:v>0</x:v>
      </x:c>
      <x:c r="J1380" s="36" t="n">
        <x:v>0</x:v>
      </x:c>
      <x:c r="K1380" s="36" t="n">
        <x:v>28920000</x:v>
      </x:c>
      <x:c r="L1380" s="36" t="n">
        <x:v>1971865.85</x:v>
      </x:c>
      <x:c r="M1380" s="38" t="n">
        <x:v>3.082819986310746</x:v>
      </x:c>
      <x:c r="N1380" s="36" t="n">
        <x:v>28920000</x:v>
      </x:c>
    </x:row>
    <x:row r="1381" ht="20" customHeight="1">
      <x:c r="C1381" s="1" t="n">
        <x:v>3</x:v>
      </x:c>
      <x:c r="D1381" s="1" t="n">
        <x:v>6</x:v>
      </x:c>
      <x:c r="E1381" s="1" t="n">
        <x:v>38</x:v>
      </x:c>
      <x:c r="F1381" s="32" t="n">
        <x:v>47437</x:v>
      </x:c>
      <x:c r="G1381" s="36" t="n">
        <x:v>28920000</x:v>
      </x:c>
      <x:c r="H1381" s="36" t="n">
        <x:v>0</x:v>
      </x:c>
      <x:c r="I1381" s="36" t="n">
        <x:v>0</x:v>
      </x:c>
      <x:c r="J1381" s="36" t="n">
        <x:v>0</x:v>
      </x:c>
      <x:c r="K1381" s="36" t="n">
        <x:v>28920000</x:v>
      </x:c>
      <x:c r="L1381" s="36" t="n">
        <x:v>2099307.16</x:v>
      </x:c>
      <x:c r="M1381" s="38" t="n">
        <x:v>3.167693360711841</x:v>
      </x:c>
      <x:c r="N1381" s="36" t="n">
        <x:v>28920000</x:v>
      </x:c>
    </x:row>
    <x:row r="1382" ht="20" customHeight="1">
      <x:c r="C1382" s="1" t="n">
        <x:v>3</x:v>
      </x:c>
      <x:c r="D1382" s="1" t="n">
        <x:v>6</x:v>
      </x:c>
      <x:c r="E1382" s="1" t="n">
        <x:v>39</x:v>
      </x:c>
      <x:c r="F1382" s="32" t="n">
        <x:v>47469</x:v>
      </x:c>
      <x:c r="G1382" s="36" t="n">
        <x:v>28920000</x:v>
      </x:c>
      <x:c r="H1382" s="36" t="n">
        <x:v>0</x:v>
      </x:c>
      <x:c r="I1382" s="36" t="n">
        <x:v>0</x:v>
      </x:c>
      <x:c r="J1382" s="36" t="n">
        <x:v>0</x:v>
      </x:c>
      <x:c r="K1382" s="36" t="n">
        <x:v>28920000</x:v>
      </x:c>
      <x:c r="L1382" s="36" t="n">
        <x:v>2227242.56</x:v>
      </x:c>
      <x:c r="M1382" s="38" t="n">
        <x:v>3.2553045859000687</x:v>
      </x:c>
      <x:c r="N1382" s="36" t="n">
        <x:v>28920000</x:v>
      </x:c>
    </x:row>
    <x:row r="1383" ht="20" customHeight="1">
      <x:c r="C1383" s="1" t="n">
        <x:v>3</x:v>
      </x:c>
      <x:c r="D1383" s="1" t="n">
        <x:v>6</x:v>
      </x:c>
      <x:c r="E1383" s="1" t="n">
        <x:v>40</x:v>
      </x:c>
      <x:c r="F1383" s="32" t="n">
        <x:v>47498</x:v>
      </x:c>
      <x:c r="G1383" s="36" t="n">
        <x:v>28920000</x:v>
      </x:c>
      <x:c r="H1383" s="36" t="n">
        <x:v>0</x:v>
      </x:c>
      <x:c r="I1383" s="36" t="n">
        <x:v>0</x:v>
      </x:c>
      <x:c r="J1383" s="36" t="n">
        <x:v>0</x:v>
      </x:c>
      <x:c r="K1383" s="36" t="n">
        <x:v>28920000</x:v>
      </x:c>
      <x:c r="L1383" s="36" t="n">
        <x:v>2355672.04</x:v>
      </x:c>
      <x:c r="M1383" s="38" t="n">
        <x:v>3.3347022587268995</x:v>
      </x:c>
      <x:c r="N1383" s="36" t="n">
        <x:v>28920000</x:v>
      </x:c>
    </x:row>
    <x:row r="1384" ht="20" customHeight="1">
      <x:c r="C1384" s="1" t="n">
        <x:v>3</x:v>
      </x:c>
      <x:c r="D1384" s="1" t="n">
        <x:v>6</x:v>
      </x:c>
      <x:c r="E1384" s="1" t="n">
        <x:v>41</x:v>
      </x:c>
      <x:c r="F1384" s="32" t="n">
        <x:v>47529</x:v>
      </x:c>
      <x:c r="G1384" s="36" t="n">
        <x:v>28920000</x:v>
      </x:c>
      <x:c r="H1384" s="36" t="n">
        <x:v>0</x:v>
      </x:c>
      <x:c r="I1384" s="36" t="n">
        <x:v>0</x:v>
      </x:c>
      <x:c r="J1384" s="36" t="n">
        <x:v>0</x:v>
      </x:c>
      <x:c r="K1384" s="36" t="n">
        <x:v>28920000</x:v>
      </x:c>
      <x:c r="L1384" s="36" t="n">
        <x:v>2484595.6</x:v>
      </x:c>
      <x:c r="M1384" s="38" t="n">
        <x:v>3.4195756331279945</x:v>
      </x:c>
      <x:c r="N1384" s="36" t="n">
        <x:v>28920000</x:v>
      </x:c>
    </x:row>
    <x:row r="1385" ht="20" customHeight="1">
      <x:c r="C1385" s="1" t="n">
        <x:v>3</x:v>
      </x:c>
      <x:c r="D1385" s="1" t="n">
        <x:v>6</x:v>
      </x:c>
      <x:c r="E1385" s="1" t="n">
        <x:v>42</x:v>
      </x:c>
      <x:c r="F1385" s="32" t="n">
        <x:v>47557</x:v>
      </x:c>
      <x:c r="G1385" s="36" t="n">
        <x:v>28920000</x:v>
      </x:c>
      <x:c r="H1385" s="36" t="n">
        <x:v>0</x:v>
      </x:c>
      <x:c r="I1385" s="36" t="n">
        <x:v>0</x:v>
      </x:c>
      <x:c r="J1385" s="36" t="n">
        <x:v>0</x:v>
      </x:c>
      <x:c r="K1385" s="36" t="n">
        <x:v>28920000</x:v>
      </x:c>
      <x:c r="L1385" s="36" t="n">
        <x:v>2614013.24</x:v>
      </x:c>
      <x:c r="M1385" s="38" t="n">
        <x:v>3.4962354551676933</x:v>
      </x:c>
      <x:c r="N1385" s="36" t="n">
        <x:v>28920000</x:v>
      </x:c>
    </x:row>
    <x:row r="1386" ht="20" customHeight="1">
      <x:c r="C1386" s="1" t="n">
        <x:v>3</x:v>
      </x:c>
      <x:c r="D1386" s="1" t="n">
        <x:v>6</x:v>
      </x:c>
      <x:c r="E1386" s="1" t="n">
        <x:v>43</x:v>
      </x:c>
      <x:c r="F1386" s="32" t="n">
        <x:v>47588</x:v>
      </x:c>
      <x:c r="G1386" s="36" t="n">
        <x:v>28920000</x:v>
      </x:c>
      <x:c r="H1386" s="36" t="n">
        <x:v>0</x:v>
      </x:c>
      <x:c r="I1386" s="36" t="n">
        <x:v>0</x:v>
      </x:c>
      <x:c r="J1386" s="36" t="n">
        <x:v>0</x:v>
      </x:c>
      <x:c r="K1386" s="36" t="n">
        <x:v>28920000</x:v>
      </x:c>
      <x:c r="L1386" s="36" t="n">
        <x:v>2743924.96</x:v>
      </x:c>
      <x:c r="M1386" s="38" t="n">
        <x:v>3.5811088295687883</x:v>
      </x:c>
      <x:c r="N1386" s="36" t="n">
        <x:v>28920000</x:v>
      </x:c>
    </x:row>
    <x:row r="1387" ht="20" customHeight="1">
      <x:c r="C1387" s="1" t="n">
        <x:v>3</x:v>
      </x:c>
      <x:c r="D1387" s="1" t="n">
        <x:v>6</x:v>
      </x:c>
      <x:c r="E1387" s="1" t="n">
        <x:v>44</x:v>
      </x:c>
      <x:c r="F1387" s="32" t="n">
        <x:v>47618</x:v>
      </x:c>
      <x:c r="G1387" s="36" t="n">
        <x:v>28920000</x:v>
      </x:c>
      <x:c r="H1387" s="36" t="n">
        <x:v>0</x:v>
      </x:c>
      <x:c r="I1387" s="36" t="n">
        <x:v>0</x:v>
      </x:c>
      <x:c r="J1387" s="36" t="n">
        <x:v>0</x:v>
      </x:c>
      <x:c r="K1387" s="36" t="n">
        <x:v>28920000</x:v>
      </x:c>
      <x:c r="L1387" s="36" t="n">
        <x:v>2874330.77</x:v>
      </x:c>
      <x:c r="M1387" s="38" t="n">
        <x:v>3.6632443531827517</x:v>
      </x:c>
      <x:c r="N1387" s="36" t="n">
        <x:v>28920000</x:v>
      </x:c>
    </x:row>
    <x:row r="1388" ht="20" customHeight="1">
      <x:c r="C1388" s="1" t="n">
        <x:v>3</x:v>
      </x:c>
      <x:c r="D1388" s="1" t="n">
        <x:v>6</x:v>
      </x:c>
      <x:c r="E1388" s="1" t="n">
        <x:v>45</x:v>
      </x:c>
      <x:c r="F1388" s="32" t="n">
        <x:v>47651</x:v>
      </x:c>
      <x:c r="G1388" s="36" t="n">
        <x:v>28920000</x:v>
      </x:c>
      <x:c r="H1388" s="36" t="n">
        <x:v>0</x:v>
      </x:c>
      <x:c r="I1388" s="36" t="n">
        <x:v>0</x:v>
      </x:c>
      <x:c r="J1388" s="36" t="n">
        <x:v>0</x:v>
      </x:c>
      <x:c r="K1388" s="36" t="n">
        <x:v>28920000</x:v>
      </x:c>
      <x:c r="L1388" s="36" t="n">
        <x:v>3005230.66</x:v>
      </x:c>
      <x:c r="M1388" s="38" t="n">
        <x:v>3.753593429158111</x:v>
      </x:c>
      <x:c r="N1388" s="36" t="n">
        <x:v>28920000</x:v>
      </x:c>
    </x:row>
    <x:row r="1389" ht="20" customHeight="1">
      <x:c r="C1389" s="1" t="n">
        <x:v>3</x:v>
      </x:c>
      <x:c r="D1389" s="1" t="n">
        <x:v>6</x:v>
      </x:c>
      <x:c r="E1389" s="1" t="n">
        <x:v>46</x:v>
      </x:c>
      <x:c r="F1389" s="32" t="n">
        <x:v>47679</x:v>
      </x:c>
      <x:c r="G1389" s="36" t="n">
        <x:v>28920000</x:v>
      </x:c>
      <x:c r="H1389" s="36" t="n">
        <x:v>0</x:v>
      </x:c>
      <x:c r="I1389" s="36" t="n">
        <x:v>0</x:v>
      </x:c>
      <x:c r="J1389" s="36" t="n">
        <x:v>0</x:v>
      </x:c>
      <x:c r="K1389" s="36" t="n">
        <x:v>28920000</x:v>
      </x:c>
      <x:c r="L1389" s="36" t="n">
        <x:v>3136624.63</x:v>
      </x:c>
      <x:c r="M1389" s="38" t="n">
        <x:v>3.8302532511978096</x:v>
      </x:c>
      <x:c r="N1389" s="36" t="n">
        <x:v>28920000</x:v>
      </x:c>
    </x:row>
    <x:row r="1390" ht="20" customHeight="1">
      <x:c r="C1390" s="1" t="n">
        <x:v>3</x:v>
      </x:c>
      <x:c r="D1390" s="1" t="n">
        <x:v>6</x:v>
      </x:c>
      <x:c r="E1390" s="1" t="n">
        <x:v>47</x:v>
      </x:c>
      <x:c r="F1390" s="32" t="n">
        <x:v>47710</x:v>
      </x:c>
      <x:c r="G1390" s="36" t="n">
        <x:v>28920000</x:v>
      </x:c>
      <x:c r="H1390" s="36" t="n">
        <x:v>0</x:v>
      </x:c>
      <x:c r="I1390" s="36" t="n">
        <x:v>0</x:v>
      </x:c>
      <x:c r="J1390" s="36" t="n">
        <x:v>0</x:v>
      </x:c>
      <x:c r="K1390" s="36" t="n">
        <x:v>28920000</x:v>
      </x:c>
      <x:c r="L1390" s="36" t="n">
        <x:v>3268512.68</x:v>
      </x:c>
      <x:c r="M1390" s="38" t="n">
        <x:v>3.915126625598905</x:v>
      </x:c>
      <x:c r="N1390" s="36" t="n">
        <x:v>28920000</x:v>
      </x:c>
    </x:row>
    <x:row r="1391" ht="20" customHeight="1">
      <x:c r="C1391" s="1" t="n">
        <x:v>3</x:v>
      </x:c>
      <x:c r="D1391" s="1" t="n">
        <x:v>6</x:v>
      </x:c>
      <x:c r="E1391" s="1" t="n">
        <x:v>48</x:v>
      </x:c>
      <x:c r="F1391" s="32" t="n">
        <x:v>47742</x:v>
      </x:c>
      <x:c r="G1391" s="36" t="n">
        <x:v>28920000</x:v>
      </x:c>
      <x:c r="H1391" s="36" t="n">
        <x:v>0</x:v>
      </x:c>
      <x:c r="I1391" s="36" t="n">
        <x:v>0</x:v>
      </x:c>
      <x:c r="J1391" s="36" t="n">
        <x:v>0</x:v>
      </x:c>
      <x:c r="K1391" s="36" t="n">
        <x:v>28920000</x:v>
      </x:c>
      <x:c r="L1391" s="36" t="n">
        <x:v>3400894.82</x:v>
      </x:c>
      <x:c r="M1391" s="38" t="n">
        <x:v>4.002737850787132</x:v>
      </x:c>
      <x:c r="N1391" s="36" t="n">
        <x:v>28920000</x:v>
      </x:c>
    </x:row>
    <x:row r="1392" ht="20" customHeight="1">
      <x:c r="C1392" s="1" t="n">
        <x:v>3</x:v>
      </x:c>
      <x:c r="D1392" s="1" t="n">
        <x:v>6</x:v>
      </x:c>
      <x:c r="E1392" s="1" t="n">
        <x:v>49</x:v>
      </x:c>
      <x:c r="F1392" s="32" t="n">
        <x:v>47771</x:v>
      </x:c>
      <x:c r="G1392" s="36" t="n">
        <x:v>28920000</x:v>
      </x:c>
      <x:c r="H1392" s="36" t="n">
        <x:v>0</x:v>
      </x:c>
      <x:c r="I1392" s="36" t="n">
        <x:v>0</x:v>
      </x:c>
      <x:c r="J1392" s="36" t="n">
        <x:v>0</x:v>
      </x:c>
      <x:c r="K1392" s="36" t="n">
        <x:v>28920000</x:v>
      </x:c>
      <x:c r="L1392" s="36" t="n">
        <x:v>3533771.04</x:v>
      </x:c>
      <x:c r="M1392" s="38" t="n">
        <x:v>4.082135523613963</x:v>
      </x:c>
      <x:c r="N1392" s="36" t="n">
        <x:v>28920000</x:v>
      </x:c>
    </x:row>
    <x:row r="1393" ht="20" customHeight="1">
      <x:c r="C1393" s="1" t="n">
        <x:v>3</x:v>
      </x:c>
      <x:c r="D1393" s="1" t="n">
        <x:v>6</x:v>
      </x:c>
      <x:c r="E1393" s="1" t="n">
        <x:v>50</x:v>
      </x:c>
      <x:c r="F1393" s="32" t="n">
        <x:v>47802</x:v>
      </x:c>
      <x:c r="G1393" s="36" t="n">
        <x:v>28920000</x:v>
      </x:c>
      <x:c r="H1393" s="36" t="n">
        <x:v>0</x:v>
      </x:c>
      <x:c r="I1393" s="36" t="n">
        <x:v>0</x:v>
      </x:c>
      <x:c r="J1393" s="36" t="n">
        <x:v>0</x:v>
      </x:c>
      <x:c r="K1393" s="36" t="n">
        <x:v>28920000</x:v>
      </x:c>
      <x:c r="L1393" s="36" t="n">
        <x:v>3667141.34</x:v>
      </x:c>
      <x:c r="M1393" s="38" t="n">
        <x:v>4.167008898015058</x:v>
      </x:c>
      <x:c r="N1393" s="36" t="n">
        <x:v>28920000</x:v>
      </x:c>
    </x:row>
    <x:row r="1394" ht="20" customHeight="1">
      <x:c r="C1394" s="1" t="n">
        <x:v>3</x:v>
      </x:c>
      <x:c r="D1394" s="1" t="n">
        <x:v>6</x:v>
      </x:c>
      <x:c r="E1394" s="1" t="n">
        <x:v>51</x:v>
      </x:c>
      <x:c r="F1394" s="32" t="n">
        <x:v>47833</x:v>
      </x:c>
      <x:c r="G1394" s="36" t="n">
        <x:v>28920000</x:v>
      </x:c>
      <x:c r="H1394" s="36" t="n">
        <x:v>0</x:v>
      </x:c>
      <x:c r="I1394" s="36" t="n">
        <x:v>0</x:v>
      </x:c>
      <x:c r="J1394" s="36" t="n">
        <x:v>0</x:v>
      </x:c>
      <x:c r="K1394" s="36" t="n">
        <x:v>28920000</x:v>
      </x:c>
      <x:c r="L1394" s="36" t="n">
        <x:v>3801005.72</x:v>
      </x:c>
      <x:c r="M1394" s="38" t="n">
        <x:v>4.251882272416153</x:v>
      </x:c>
      <x:c r="N1394" s="36" t="n">
        <x:v>28920000</x:v>
      </x:c>
    </x:row>
    <x:row r="1395" ht="20" customHeight="1">
      <x:c r="C1395" s="1" t="n">
        <x:v>3</x:v>
      </x:c>
      <x:c r="D1395" s="1" t="n">
        <x:v>6</x:v>
      </x:c>
      <x:c r="E1395" s="1" t="n">
        <x:v>52</x:v>
      </x:c>
      <x:c r="F1395" s="32" t="n">
        <x:v>47863</x:v>
      </x:c>
      <x:c r="G1395" s="36" t="n">
        <x:v>28920000</x:v>
      </x:c>
      <x:c r="H1395" s="36" t="n">
        <x:v>0</x:v>
      </x:c>
      <x:c r="I1395" s="36" t="n">
        <x:v>0</x:v>
      </x:c>
      <x:c r="J1395" s="36" t="n">
        <x:v>0</x:v>
      </x:c>
      <x:c r="K1395" s="36" t="n">
        <x:v>28920000</x:v>
      </x:c>
      <x:c r="L1395" s="36" t="n">
        <x:v>3935364.18</x:v>
      </x:c>
      <x:c r="M1395" s="38" t="n">
        <x:v>4.334017796030117</x:v>
      </x:c>
      <x:c r="N1395" s="36" t="n">
        <x:v>28920000</x:v>
      </x:c>
    </x:row>
    <x:row r="1396" ht="20" customHeight="1">
      <x:c r="C1396" s="1" t="n">
        <x:v>3</x:v>
      </x:c>
      <x:c r="D1396" s="1" t="n">
        <x:v>6</x:v>
      </x:c>
      <x:c r="E1396" s="1" t="n">
        <x:v>53</x:v>
      </x:c>
      <x:c r="F1396" s="32" t="n">
        <x:v>47897</x:v>
      </x:c>
      <x:c r="G1396" s="36" t="n">
        <x:v>28920000</x:v>
      </x:c>
      <x:c r="H1396" s="36" t="n">
        <x:v>0</x:v>
      </x:c>
      <x:c r="I1396" s="36" t="n">
        <x:v>0</x:v>
      </x:c>
      <x:c r="J1396" s="36" t="n">
        <x:v>0</x:v>
      </x:c>
      <x:c r="K1396" s="36" t="n">
        <x:v>28920000</x:v>
      </x:c>
      <x:c r="L1396" s="36" t="n">
        <x:v>4070216.73</x:v>
      </x:c>
      <x:c r="M1396" s="38" t="n">
        <x:v>4.427104722792608</x:v>
      </x:c>
      <x:c r="N1396" s="36" t="n">
        <x:v>28920000</x:v>
      </x:c>
    </x:row>
    <x:row r="1397" ht="20" customHeight="1">
      <x:c r="C1397" s="1" t="n">
        <x:v>3</x:v>
      </x:c>
      <x:c r="D1397" s="1" t="n">
        <x:v>6</x:v>
      </x:c>
      <x:c r="E1397" s="1" t="n">
        <x:v>54</x:v>
      </x:c>
      <x:c r="F1397" s="32" t="n">
        <x:v>47924</x:v>
      </x:c>
      <x:c r="G1397" s="36" t="n">
        <x:v>28920000</x:v>
      </x:c>
      <x:c r="H1397" s="36" t="n">
        <x:v>0</x:v>
      </x:c>
      <x:c r="I1397" s="36" t="n">
        <x:v>0</x:v>
      </x:c>
      <x:c r="J1397" s="36" t="n">
        <x:v>0</x:v>
      </x:c>
      <x:c r="K1397" s="36" t="n">
        <x:v>28920000</x:v>
      </x:c>
      <x:c r="L1397" s="36" t="n">
        <x:v>4205563.36</x:v>
      </x:c>
      <x:c r="M1397" s="38" t="n">
        <x:v>4.501026694045175</x:v>
      </x:c>
      <x:c r="N1397" s="36" t="n">
        <x:v>28920000</x:v>
      </x:c>
    </x:row>
    <x:row r="1398" ht="20" customHeight="1">
      <x:c r="C1398" s="1" t="n">
        <x:v>3</x:v>
      </x:c>
      <x:c r="D1398" s="1" t="n">
        <x:v>6</x:v>
      </x:c>
      <x:c r="E1398" s="1" t="n">
        <x:v>55</x:v>
      </x:c>
      <x:c r="F1398" s="32" t="n">
        <x:v>47953</x:v>
      </x:c>
      <x:c r="G1398" s="36" t="n">
        <x:v>28920000</x:v>
      </x:c>
      <x:c r="H1398" s="36" t="n">
        <x:v>0</x:v>
      </x:c>
      <x:c r="I1398" s="36" t="n">
        <x:v>0</x:v>
      </x:c>
      <x:c r="J1398" s="36" t="n">
        <x:v>0</x:v>
      </x:c>
      <x:c r="K1398" s="36" t="n">
        <x:v>28920000</x:v>
      </x:c>
      <x:c r="L1398" s="36" t="n">
        <x:v>4341404.07</x:v>
      </x:c>
      <x:c r="M1398" s="38" t="n">
        <x:v>4.5804243668720055</x:v>
      </x:c>
      <x:c r="N1398" s="36" t="n">
        <x:v>28920000</x:v>
      </x:c>
    </x:row>
    <x:row r="1399" ht="20" customHeight="1">
      <x:c r="C1399" s="1" t="n">
        <x:v>3</x:v>
      </x:c>
      <x:c r="D1399" s="1" t="n">
        <x:v>6</x:v>
      </x:c>
      <x:c r="E1399" s="1" t="n">
        <x:v>56</x:v>
      </x:c>
      <x:c r="F1399" s="32" t="n">
        <x:v>47983</x:v>
      </x:c>
      <x:c r="G1399" s="36" t="n">
        <x:v>28920000</x:v>
      </x:c>
      <x:c r="H1399" s="36" t="n">
        <x:v>0</x:v>
      </x:c>
      <x:c r="I1399" s="36" t="n">
        <x:v>0</x:v>
      </x:c>
      <x:c r="J1399" s="36" t="n">
        <x:v>0</x:v>
      </x:c>
      <x:c r="K1399" s="36" t="n">
        <x:v>28920000</x:v>
      </x:c>
      <x:c r="L1399" s="36" t="n">
        <x:v>4477738.86</x:v>
      </x:c>
      <x:c r="M1399" s="38" t="n">
        <x:v>4.662559890485968</x:v>
      </x:c>
      <x:c r="N1399" s="36" t="n">
        <x:v>28920000</x:v>
      </x:c>
    </x:row>
    <x:row r="1400" ht="20" customHeight="1">
      <x:c r="C1400" s="1" t="n">
        <x:v>3</x:v>
      </x:c>
      <x:c r="D1400" s="1" t="n">
        <x:v>6</x:v>
      </x:c>
      <x:c r="E1400" s="1" t="n">
        <x:v>57</x:v>
      </x:c>
      <x:c r="F1400" s="32" t="n">
        <x:v>48015</x:v>
      </x:c>
      <x:c r="G1400" s="36" t="n">
        <x:v>28920000</x:v>
      </x:c>
      <x:c r="H1400" s="36" t="n">
        <x:v>0</x:v>
      </x:c>
      <x:c r="I1400" s="36" t="n">
        <x:v>0</x:v>
      </x:c>
      <x:c r="J1400" s="36" t="n">
        <x:v>0</x:v>
      </x:c>
      <x:c r="K1400" s="36" t="n">
        <x:v>28920000</x:v>
      </x:c>
      <x:c r="L1400" s="36" t="n">
        <x:v>4614567.73</x:v>
      </x:c>
      <x:c r="M1400" s="38" t="n">
        <x:v>4.7501711156741955</x:v>
      </x:c>
      <x:c r="N1400" s="36" t="n">
        <x:v>28920000</x:v>
      </x:c>
    </x:row>
    <x:row r="1401" ht="20" customHeight="1">
      <x:c r="C1401" s="1" t="n">
        <x:v>3</x:v>
      </x:c>
      <x:c r="D1401" s="1" t="n">
        <x:v>6</x:v>
      </x:c>
      <x:c r="E1401" s="1" t="n">
        <x:v>58</x:v>
      </x:c>
      <x:c r="F1401" s="32" t="n">
        <x:v>48044</x:v>
      </x:c>
      <x:c r="G1401" s="36" t="n">
        <x:v>28920000</x:v>
      </x:c>
      <x:c r="H1401" s="36" t="n">
        <x:v>0</x:v>
      </x:c>
      <x:c r="I1401" s="36" t="n">
        <x:v>0</x:v>
      </x:c>
      <x:c r="J1401" s="36" t="n">
        <x:v>0</x:v>
      </x:c>
      <x:c r="K1401" s="36" t="n">
        <x:v>28920000</x:v>
      </x:c>
      <x:c r="L1401" s="36" t="n">
        <x:v>4751890.69</x:v>
      </x:c>
      <x:c r="M1401" s="38" t="n">
        <x:v>4.829568788501026</x:v>
      </x:c>
      <x:c r="N1401" s="36" t="n">
        <x:v>28920000</x:v>
      </x:c>
    </x:row>
    <x:row r="1402" ht="20" customHeight="1">
      <x:c r="C1402" s="1" t="n">
        <x:v>3</x:v>
      </x:c>
      <x:c r="D1402" s="1" t="n">
        <x:v>6</x:v>
      </x:c>
      <x:c r="E1402" s="1" t="n">
        <x:v>59</x:v>
      </x:c>
      <x:c r="F1402" s="32" t="n">
        <x:v>48075</x:v>
      </x:c>
      <x:c r="G1402" s="36" t="n">
        <x:v>28920000</x:v>
      </x:c>
      <x:c r="H1402" s="36" t="n">
        <x:v>0</x:v>
      </x:c>
      <x:c r="I1402" s="36" t="n">
        <x:v>0</x:v>
      </x:c>
      <x:c r="J1402" s="36" t="n">
        <x:v>0</x:v>
      </x:c>
      <x:c r="K1402" s="36" t="n">
        <x:v>28920000</x:v>
      </x:c>
      <x:c r="L1402" s="36" t="n">
        <x:v>4889707.73</x:v>
      </x:c>
      <x:c r="M1402" s="38" t="n">
        <x:v>4.914442162902122</x:v>
      </x:c>
      <x:c r="N1402" s="36" t="n">
        <x:v>28920000</x:v>
      </x:c>
    </x:row>
    <x:row r="1403" ht="20" customHeight="1">
      <x:c r="C1403" s="1" t="n">
        <x:v>3</x:v>
      </x:c>
      <x:c r="D1403" s="1" t="n">
        <x:v>6</x:v>
      </x:c>
      <x:c r="E1403" s="1" t="n">
        <x:v>60</x:v>
      </x:c>
      <x:c r="F1403" s="32" t="n">
        <x:v>48106</x:v>
      </x:c>
      <x:c r="G1403" s="36" t="n">
        <x:v>28920000</x:v>
      </x:c>
      <x:c r="H1403" s="36" t="n">
        <x:v>0</x:v>
      </x:c>
      <x:c r="I1403" s="36" t="n">
        <x:v>0</x:v>
      </x:c>
      <x:c r="J1403" s="36" t="n">
        <x:v>0</x:v>
      </x:c>
      <x:c r="K1403" s="36" t="n">
        <x:v>28920000</x:v>
      </x:c>
      <x:c r="L1403" s="36" t="n">
        <x:v>5028018.85</x:v>
      </x:c>
      <x:c r="M1403" s="38" t="n">
        <x:v>4.999315537303217</x:v>
      </x:c>
      <x:c r="N1403" s="36" t="n">
        <x:v>28920000</x:v>
      </x:c>
    </x:row>
    <x:row r="1404" ht="20" customHeight="1">
      <x:c r="C1404" s="1" t="n">
        <x:v>3</x:v>
      </x:c>
      <x:c r="D1404" s="1" t="n">
        <x:v>6</x:v>
      </x:c>
      <x:c r="E1404" s="1" t="n">
        <x:v>61</x:v>
      </x:c>
      <x:c r="F1404" s="32" t="n">
        <x:v>48136</x:v>
      </x:c>
      <x:c r="G1404" s="36" t="n">
        <x:v>28920000</x:v>
      </x:c>
      <x:c r="H1404" s="36" t="n">
        <x:v>0</x:v>
      </x:c>
      <x:c r="I1404" s="36" t="n">
        <x:v>0</x:v>
      </x:c>
      <x:c r="J1404" s="36" t="n">
        <x:v>0</x:v>
      </x:c>
      <x:c r="K1404" s="36" t="n">
        <x:v>28920000</x:v>
      </x:c>
      <x:c r="L1404" s="36" t="n">
        <x:v>5166824.05</x:v>
      </x:c>
      <x:c r="M1404" s="38" t="n">
        <x:v>5.08145106091718</x:v>
      </x:c>
      <x:c r="N1404" s="36" t="n">
        <x:v>28920000</x:v>
      </x:c>
    </x:row>
    <x:row r="1405" ht="20" customHeight="1">
      <x:c r="C1405" s="1" t="n">
        <x:v>3</x:v>
      </x:c>
      <x:c r="D1405" s="1" t="n">
        <x:v>6</x:v>
      </x:c>
      <x:c r="E1405" s="1" t="n">
        <x:v>62</x:v>
      </x:c>
      <x:c r="F1405" s="32" t="n">
        <x:v>48169</x:v>
      </x:c>
      <x:c r="G1405" s="36" t="n">
        <x:v>28920000</x:v>
      </x:c>
      <x:c r="H1405" s="36" t="n">
        <x:v>0</x:v>
      </x:c>
      <x:c r="I1405" s="36" t="n">
        <x:v>0</x:v>
      </x:c>
      <x:c r="J1405" s="36" t="n">
        <x:v>0</x:v>
      </x:c>
      <x:c r="K1405" s="36" t="n">
        <x:v>28920000</x:v>
      </x:c>
      <x:c r="L1405" s="36" t="n">
        <x:v>5306123.34</x:v>
      </x:c>
      <x:c r="M1405" s="38" t="n">
        <x:v>5.171800136892539</x:v>
      </x:c>
      <x:c r="N1405" s="36" t="n">
        <x:v>28920000</x:v>
      </x:c>
    </x:row>
    <x:row r="1406" ht="20" customHeight="1">
      <x:c r="C1406" s="1" t="n">
        <x:v>3</x:v>
      </x:c>
      <x:c r="D1406" s="1" t="n">
        <x:v>6</x:v>
      </x:c>
      <x:c r="E1406" s="1" t="n">
        <x:v>63</x:v>
      </x:c>
      <x:c r="F1406" s="32" t="n">
        <x:v>48197</x:v>
      </x:c>
      <x:c r="G1406" s="36" t="n">
        <x:v>28920000</x:v>
      </x:c>
      <x:c r="H1406" s="36" t="n">
        <x:v>0</x:v>
      </x:c>
      <x:c r="I1406" s="36" t="n">
        <x:v>0</x:v>
      </x:c>
      <x:c r="J1406" s="36" t="n">
        <x:v>0</x:v>
      </x:c>
      <x:c r="K1406" s="36" t="n">
        <x:v>28920000</x:v>
      </x:c>
      <x:c r="L1406" s="36" t="n">
        <x:v>5445916.71</x:v>
      </x:c>
      <x:c r="M1406" s="38" t="n">
        <x:v>5.248459958932238</x:v>
      </x:c>
      <x:c r="N1406" s="36" t="n">
        <x:v>28920000</x:v>
      </x:c>
    </x:row>
    <x:row r="1407" ht="20" customHeight="1">
      <x:c r="C1407" s="1" t="n">
        <x:v>3</x:v>
      </x:c>
      <x:c r="D1407" s="1" t="n">
        <x:v>6</x:v>
      </x:c>
      <x:c r="E1407" s="1" t="n">
        <x:v>64</x:v>
      </x:c>
      <x:c r="F1407" s="32" t="n">
        <x:v>48228</x:v>
      </x:c>
      <x:c r="G1407" s="36" t="n">
        <x:v>28920000</x:v>
      </x:c>
      <x:c r="H1407" s="36" t="n">
        <x:v>0</x:v>
      </x:c>
      <x:c r="I1407" s="36" t="n">
        <x:v>0</x:v>
      </x:c>
      <x:c r="J1407" s="36" t="n">
        <x:v>0</x:v>
      </x:c>
      <x:c r="K1407" s="36" t="n">
        <x:v>28920000</x:v>
      </x:c>
      <x:c r="L1407" s="36" t="n">
        <x:v>5586204.16</x:v>
      </x:c>
      <x:c r="M1407" s="38" t="n">
        <x:v>5.333333333333333</x:v>
      </x:c>
      <x:c r="N1407" s="36" t="n">
        <x:v>28920000</x:v>
      </x:c>
    </x:row>
    <x:row r="1408" ht="20" customHeight="1">
      <x:c r="C1408" s="1" t="n">
        <x:v>3</x:v>
      </x:c>
      <x:c r="D1408" s="1" t="n">
        <x:v>6</x:v>
      </x:c>
      <x:c r="E1408" s="1" t="n">
        <x:v>65</x:v>
      </x:c>
      <x:c r="F1408" s="32" t="n">
        <x:v>48261</x:v>
      </x:c>
      <x:c r="G1408" s="36" t="n">
        <x:v>28920000</x:v>
      </x:c>
      <x:c r="H1408" s="36" t="n">
        <x:v>0</x:v>
      </x:c>
      <x:c r="I1408" s="36" t="n">
        <x:v>0</x:v>
      </x:c>
      <x:c r="J1408" s="36" t="n">
        <x:v>0</x:v>
      </x:c>
      <x:c r="K1408" s="36" t="n">
        <x:v>28920000</x:v>
      </x:c>
      <x:c r="L1408" s="36" t="n">
        <x:v>5726985.69</x:v>
      </x:c>
      <x:c r="M1408" s="38" t="n">
        <x:v>5.423682409308693</x:v>
      </x:c>
      <x:c r="N1408" s="36" t="n">
        <x:v>28920000</x:v>
      </x:c>
    </x:row>
    <x:row r="1409" ht="20" customHeight="1">
      <x:c r="C1409" s="1" t="n">
        <x:v>3</x:v>
      </x:c>
      <x:c r="D1409" s="1" t="n">
        <x:v>6</x:v>
      </x:c>
      <x:c r="E1409" s="1" t="n">
        <x:v>66</x:v>
      </x:c>
      <x:c r="F1409" s="32" t="n">
        <x:v>48288</x:v>
      </x:c>
      <x:c r="G1409" s="36" t="n">
        <x:v>28920000</x:v>
      </x:c>
      <x:c r="H1409" s="36" t="n">
        <x:v>0</x:v>
      </x:c>
      <x:c r="I1409" s="36" t="n">
        <x:v>0</x:v>
      </x:c>
      <x:c r="J1409" s="36" t="n">
        <x:v>0</x:v>
      </x:c>
      <x:c r="K1409" s="36" t="n">
        <x:v>28920000</x:v>
      </x:c>
      <x:c r="L1409" s="36" t="n">
        <x:v>5868261.3</x:v>
      </x:c>
      <x:c r="M1409" s="38" t="n">
        <x:v>5.49760438056126</x:v>
      </x:c>
      <x:c r="N1409" s="36" t="n">
        <x:v>28920000</x:v>
      </x:c>
    </x:row>
    <x:row r="1410" ht="20" customHeight="1">
      <x:c r="C1410" s="1" t="n">
        <x:v>3</x:v>
      </x:c>
      <x:c r="D1410" s="1" t="n">
        <x:v>6</x:v>
      </x:c>
      <x:c r="E1410" s="1" t="n">
        <x:v>67</x:v>
      </x:c>
      <x:c r="F1410" s="32" t="n">
        <x:v>48319</x:v>
      </x:c>
      <x:c r="G1410" s="36" t="n">
        <x:v>28920000</x:v>
      </x:c>
      <x:c r="H1410" s="36" t="n">
        <x:v>0</x:v>
      </x:c>
      <x:c r="I1410" s="36" t="n">
        <x:v>0</x:v>
      </x:c>
      <x:c r="J1410" s="36" t="n">
        <x:v>28920000</x:v>
      </x:c>
      <x:c r="K1410" s="36" t="n">
        <x:v>0</x:v>
      </x:c>
      <x:c r="L1410" s="36" t="n">
        <x:v>6010031</x:v>
      </x:c>
      <x:c r="M1410" s="38" t="n">
        <x:v>5.582477754962355</x:v>
      </x:c>
      <x:c r="N1410" s="36" t="n">
        <x:v>28920000</x:v>
      </x:c>
    </x:row>
    <x:row r="1411" ht="20" customHeight="1">
      <x:c r="C1411" s="1" t="n">
        <x:v>3</x:v>
      </x:c>
      <x:c r="D1411" s="1" t="n">
        <x:v>7</x:v>
      </x:c>
      <x:c r="E1411" s="1" t="n">
        <x:v>1</x:v>
      </x:c>
      <x:c r="F1411" s="32" t="n">
        <x:v>46310</x:v>
      </x:c>
      <x:c r="G1411" s="36" t="n">
        <x:v>21160000</x:v>
      </x:c>
      <x:c r="H1411" s="36" t="n">
        <x:v>90988</x:v>
      </x:c>
      <x:c r="I1411" s="36" t="n">
        <x:v>0</x:v>
      </x:c>
      <x:c r="J1411" s="36" t="n">
        <x:v>0</x:v>
      </x:c>
      <x:c r="K1411" s="36" t="n">
        <x:v>21160000</x:v>
      </x:c>
      <x:c r="L1411" s="36" t="n">
        <x:v>0</x:v>
      </x:c>
      <x:c r="M1411" s="38" t="n">
        <x:v>0.08213552361396304</x:v>
      </x:c>
      <x:c r="N1411" s="36" t="n">
        <x:v>21160000</x:v>
      </x:c>
    </x:row>
    <x:row r="1412" ht="20" customHeight="1">
      <x:c r="C1412" s="1" t="n">
        <x:v>3</x:v>
      </x:c>
      <x:c r="D1412" s="1" t="n">
        <x:v>7</x:v>
      </x:c>
      <x:c r="E1412" s="1" t="n">
        <x:v>2</x:v>
      </x:c>
      <x:c r="F1412" s="32" t="n">
        <x:v>46342</x:v>
      </x:c>
      <x:c r="G1412" s="36" t="n">
        <x:v>21160000</x:v>
      </x:c>
      <x:c r="H1412" s="36" t="n">
        <x:v>90988</x:v>
      </x:c>
      <x:c r="I1412" s="36" t="n">
        <x:v>0</x:v>
      </x:c>
      <x:c r="J1412" s="36" t="n">
        <x:v>0</x:v>
      </x:c>
      <x:c r="K1412" s="36" t="n">
        <x:v>21160000</x:v>
      </x:c>
      <x:c r="L1412" s="36" t="n">
        <x:v>0</x:v>
      </x:c>
      <x:c r="M1412" s="38" t="n">
        <x:v>0.1697467488021903</x:v>
      </x:c>
      <x:c r="N1412" s="36" t="n">
        <x:v>21160000</x:v>
      </x:c>
    </x:row>
    <x:row r="1413" ht="20" customHeight="1">
      <x:c r="C1413" s="1" t="n">
        <x:v>3</x:v>
      </x:c>
      <x:c r="D1413" s="1" t="n">
        <x:v>7</x:v>
      </x:c>
      <x:c r="E1413" s="1" t="n">
        <x:v>3</x:v>
      </x:c>
      <x:c r="F1413" s="32" t="n">
        <x:v>46371</x:v>
      </x:c>
      <x:c r="G1413" s="36" t="n">
        <x:v>21160000</x:v>
      </x:c>
      <x:c r="H1413" s="36" t="n">
        <x:v>90988</x:v>
      </x:c>
      <x:c r="I1413" s="36" t="n">
        <x:v>0</x:v>
      </x:c>
      <x:c r="J1413" s="36" t="n">
        <x:v>0</x:v>
      </x:c>
      <x:c r="K1413" s="36" t="n">
        <x:v>21160000</x:v>
      </x:c>
      <x:c r="L1413" s="36" t="n">
        <x:v>0</x:v>
      </x:c>
      <x:c r="M1413" s="38" t="n">
        <x:v>0.24914442162902123</x:v>
      </x:c>
      <x:c r="N1413" s="36" t="n">
        <x:v>21160000</x:v>
      </x:c>
    </x:row>
    <x:row r="1414" ht="20" customHeight="1">
      <x:c r="C1414" s="1" t="n">
        <x:v>3</x:v>
      </x:c>
      <x:c r="D1414" s="1" t="n">
        <x:v>7</x:v>
      </x:c>
      <x:c r="E1414" s="1" t="n">
        <x:v>4</x:v>
      </x:c>
      <x:c r="F1414" s="32" t="n">
        <x:v>46402</x:v>
      </x:c>
      <x:c r="G1414" s="36" t="n">
        <x:v>21160000</x:v>
      </x:c>
      <x:c r="H1414" s="36" t="n">
        <x:v>90988</x:v>
      </x:c>
      <x:c r="I1414" s="36" t="n">
        <x:v>0</x:v>
      </x:c>
      <x:c r="J1414" s="36" t="n">
        <x:v>0</x:v>
      </x:c>
      <x:c r="K1414" s="36" t="n">
        <x:v>21160000</x:v>
      </x:c>
      <x:c r="L1414" s="36" t="n">
        <x:v>0</x:v>
      </x:c>
      <x:c r="M1414" s="38" t="n">
        <x:v>0.33401779603011633</x:v>
      </x:c>
      <x:c r="N1414" s="36" t="n">
        <x:v>21160000</x:v>
      </x:c>
    </x:row>
    <x:row r="1415" ht="20" customHeight="1">
      <x:c r="C1415" s="1" t="n">
        <x:v>3</x:v>
      </x:c>
      <x:c r="D1415" s="1" t="n">
        <x:v>7</x:v>
      </x:c>
      <x:c r="E1415" s="1" t="n">
        <x:v>5</x:v>
      </x:c>
      <x:c r="F1415" s="32" t="n">
        <x:v>46434</x:v>
      </x:c>
      <x:c r="G1415" s="36" t="n">
        <x:v>21160000</x:v>
      </x:c>
      <x:c r="H1415" s="36" t="n">
        <x:v>90988</x:v>
      </x:c>
      <x:c r="I1415" s="36" t="n">
        <x:v>0</x:v>
      </x:c>
      <x:c r="J1415" s="36" t="n">
        <x:v>0</x:v>
      </x:c>
      <x:c r="K1415" s="36" t="n">
        <x:v>21160000</x:v>
      </x:c>
      <x:c r="L1415" s="36" t="n">
        <x:v>0</x:v>
      </x:c>
      <x:c r="M1415" s="38" t="n">
        <x:v>0.4216290212183436</x:v>
      </x:c>
      <x:c r="N1415" s="36" t="n">
        <x:v>21160000</x:v>
      </x:c>
    </x:row>
    <x:row r="1416" ht="20" customHeight="1">
      <x:c r="C1416" s="1" t="n">
        <x:v>3</x:v>
      </x:c>
      <x:c r="D1416" s="1" t="n">
        <x:v>7</x:v>
      </x:c>
      <x:c r="E1416" s="1" t="n">
        <x:v>6</x:v>
      </x:c>
      <x:c r="F1416" s="32" t="n">
        <x:v>46461</x:v>
      </x:c>
      <x:c r="G1416" s="36" t="n">
        <x:v>21160000</x:v>
      </x:c>
      <x:c r="H1416" s="36" t="n">
        <x:v>90988</x:v>
      </x:c>
      <x:c r="I1416" s="36" t="n">
        <x:v>0</x:v>
      </x:c>
      <x:c r="J1416" s="36" t="n">
        <x:v>0</x:v>
      </x:c>
      <x:c r="K1416" s="36" t="n">
        <x:v>21160000</x:v>
      </x:c>
      <x:c r="L1416" s="36" t="n">
        <x:v>0</x:v>
      </x:c>
      <x:c r="M1416" s="38" t="n">
        <x:v>0.49555099247091033</x:v>
      </x:c>
      <x:c r="N1416" s="36" t="n">
        <x:v>21160000</x:v>
      </x:c>
    </x:row>
    <x:row r="1417" ht="20" customHeight="1">
      <x:c r="C1417" s="1" t="n">
        <x:v>3</x:v>
      </x:c>
      <x:c r="D1417" s="1" t="n">
        <x:v>7</x:v>
      </x:c>
      <x:c r="E1417" s="1" t="n">
        <x:v>7</x:v>
      </x:c>
      <x:c r="F1417" s="32" t="n">
        <x:v>46492</x:v>
      </x:c>
      <x:c r="G1417" s="36" t="n">
        <x:v>21160000</x:v>
      </x:c>
      <x:c r="H1417" s="36" t="n">
        <x:v>90988</x:v>
      </x:c>
      <x:c r="I1417" s="36" t="n">
        <x:v>0</x:v>
      </x:c>
      <x:c r="J1417" s="36" t="n">
        <x:v>0</x:v>
      </x:c>
      <x:c r="K1417" s="36" t="n">
        <x:v>21160000</x:v>
      </x:c>
      <x:c r="L1417" s="36" t="n">
        <x:v>0</x:v>
      </x:c>
      <x:c r="M1417" s="38" t="n">
        <x:v>0.5804243668720055</x:v>
      </x:c>
      <x:c r="N1417" s="36" t="n">
        <x:v>21160000</x:v>
      </x:c>
    </x:row>
    <x:row r="1418" ht="20" customHeight="1">
      <x:c r="C1418" s="1" t="n">
        <x:v>3</x:v>
      </x:c>
      <x:c r="D1418" s="1" t="n">
        <x:v>7</x:v>
      </x:c>
      <x:c r="E1418" s="1" t="n">
        <x:v>8</x:v>
      </x:c>
      <x:c r="F1418" s="32" t="n">
        <x:v>46524</x:v>
      </x:c>
      <x:c r="G1418" s="36" t="n">
        <x:v>21160000</x:v>
      </x:c>
      <x:c r="H1418" s="36" t="n">
        <x:v>90988</x:v>
      </x:c>
      <x:c r="I1418" s="36" t="n">
        <x:v>0</x:v>
      </x:c>
      <x:c r="J1418" s="36" t="n">
        <x:v>0</x:v>
      </x:c>
      <x:c r="K1418" s="36" t="n">
        <x:v>21160000</x:v>
      </x:c>
      <x:c r="L1418" s="36" t="n">
        <x:v>0</x:v>
      </x:c>
      <x:c r="M1418" s="38" t="n">
        <x:v>0.6680355920602327</x:v>
      </x:c>
      <x:c r="N1418" s="36" t="n">
        <x:v>21160000</x:v>
      </x:c>
    </x:row>
    <x:row r="1419" ht="20" customHeight="1">
      <x:c r="C1419" s="1" t="n">
        <x:v>3</x:v>
      </x:c>
      <x:c r="D1419" s="1" t="n">
        <x:v>7</x:v>
      </x:c>
      <x:c r="E1419" s="1" t="n">
        <x:v>9</x:v>
      </x:c>
      <x:c r="F1419" s="32" t="n">
        <x:v>46553</x:v>
      </x:c>
      <x:c r="G1419" s="36" t="n">
        <x:v>21160000</x:v>
      </x:c>
      <x:c r="H1419" s="36" t="n">
        <x:v>90988</x:v>
      </x:c>
      <x:c r="I1419" s="36" t="n">
        <x:v>0</x:v>
      </x:c>
      <x:c r="J1419" s="36" t="n">
        <x:v>0</x:v>
      </x:c>
      <x:c r="K1419" s="36" t="n">
        <x:v>21160000</x:v>
      </x:c>
      <x:c r="L1419" s="36" t="n">
        <x:v>0</x:v>
      </x:c>
      <x:c r="M1419" s="38" t="n">
        <x:v>0.7474332648870636</x:v>
      </x:c>
      <x:c r="N1419" s="36" t="n">
        <x:v>21160000</x:v>
      </x:c>
    </x:row>
    <x:row r="1420" ht="20" customHeight="1">
      <x:c r="C1420" s="1" t="n">
        <x:v>3</x:v>
      </x:c>
      <x:c r="D1420" s="1" t="n">
        <x:v>7</x:v>
      </x:c>
      <x:c r="E1420" s="1" t="n">
        <x:v>10</x:v>
      </x:c>
      <x:c r="F1420" s="32" t="n">
        <x:v>46583</x:v>
      </x:c>
      <x:c r="G1420" s="36" t="n">
        <x:v>21160000</x:v>
      </x:c>
      <x:c r="H1420" s="36" t="n">
        <x:v>0</x:v>
      </x:c>
      <x:c r="I1420" s="36" t="n">
        <x:v>0</x:v>
      </x:c>
      <x:c r="J1420" s="36" t="n">
        <x:v>0</x:v>
      </x:c>
      <x:c r="K1420" s="36" t="n">
        <x:v>21160000</x:v>
      </x:c>
      <x:c r="L1420" s="36" t="n">
        <x:v>90988</x:v>
      </x:c>
      <x:c r="M1420" s="38" t="n">
        <x:v>0.8295687885010267</x:v>
      </x:c>
      <x:c r="N1420" s="36" t="n">
        <x:v>21160000</x:v>
      </x:c>
    </x:row>
    <x:row r="1421" ht="20" customHeight="1">
      <x:c r="C1421" s="1" t="n">
        <x:v>3</x:v>
      </x:c>
      <x:c r="D1421" s="1" t="n">
        <x:v>7</x:v>
      </x:c>
      <x:c r="E1421" s="1" t="n">
        <x:v>11</x:v>
      </x:c>
      <x:c r="F1421" s="32" t="n">
        <x:v>46615</x:v>
      </x:c>
      <x:c r="G1421" s="36" t="n">
        <x:v>21160000</x:v>
      </x:c>
      <x:c r="H1421" s="36" t="n">
        <x:v>0</x:v>
      </x:c>
      <x:c r="I1421" s="36" t="n">
        <x:v>0</x:v>
      </x:c>
      <x:c r="J1421" s="36" t="n">
        <x:v>0</x:v>
      </x:c>
      <x:c r="K1421" s="36" t="n">
        <x:v>21160000</x:v>
      </x:c>
      <x:c r="L1421" s="36" t="n">
        <x:v>182367.25</x:v>
      </x:c>
      <x:c r="M1421" s="38" t="n">
        <x:v>0.917180013689254</x:v>
      </x:c>
      <x:c r="N1421" s="36" t="n">
        <x:v>21160000</x:v>
      </x:c>
    </x:row>
    <x:row r="1422" ht="20" customHeight="1">
      <x:c r="C1422" s="1" t="n">
        <x:v>3</x:v>
      </x:c>
      <x:c r="D1422" s="1" t="n">
        <x:v>7</x:v>
      </x:c>
      <x:c r="E1422" s="1" t="n">
        <x:v>12</x:v>
      </x:c>
      <x:c r="F1422" s="32" t="n">
        <x:v>46645</x:v>
      </x:c>
      <x:c r="G1422" s="36" t="n">
        <x:v>21160000</x:v>
      </x:c>
      <x:c r="H1422" s="36" t="n">
        <x:v>0</x:v>
      </x:c>
      <x:c r="I1422" s="36" t="n">
        <x:v>0</x:v>
      </x:c>
      <x:c r="J1422" s="36" t="n">
        <x:v>0</x:v>
      </x:c>
      <x:c r="K1422" s="36" t="n">
        <x:v>21160000</x:v>
      </x:c>
      <x:c r="L1422" s="36" t="n">
        <x:v>274137.75</x:v>
      </x:c>
      <x:c r="M1422" s="38" t="n">
        <x:v>0.999315537303217</x:v>
      </x:c>
      <x:c r="N1422" s="36" t="n">
        <x:v>21160000</x:v>
      </x:c>
    </x:row>
    <x:row r="1423" ht="20" customHeight="1">
      <x:c r="C1423" s="1" t="n">
        <x:v>3</x:v>
      </x:c>
      <x:c r="D1423" s="1" t="n">
        <x:v>7</x:v>
      </x:c>
      <x:c r="E1423" s="1" t="n">
        <x:v>13</x:v>
      </x:c>
      <x:c r="F1423" s="32" t="n">
        <x:v>46675</x:v>
      </x:c>
      <x:c r="G1423" s="36" t="n">
        <x:v>21160000</x:v>
      </x:c>
      <x:c r="H1423" s="36" t="n">
        <x:v>0</x:v>
      </x:c>
      <x:c r="I1423" s="36" t="n">
        <x:v>0</x:v>
      </x:c>
      <x:c r="J1423" s="36" t="n">
        <x:v>0</x:v>
      </x:c>
      <x:c r="K1423" s="36" t="n">
        <x:v>21160000</x:v>
      </x:c>
      <x:c r="L1423" s="36" t="n">
        <x:v>366299.5</x:v>
      </x:c>
      <x:c r="M1423" s="38" t="n">
        <x:v>1.08145106091718</x:v>
      </x:c>
      <x:c r="N1423" s="36" t="n">
        <x:v>21160000</x:v>
      </x:c>
    </x:row>
    <x:row r="1424" ht="20" customHeight="1">
      <x:c r="C1424" s="1" t="n">
        <x:v>3</x:v>
      </x:c>
      <x:c r="D1424" s="1" t="n">
        <x:v>7</x:v>
      </x:c>
      <x:c r="E1424" s="1" t="n">
        <x:v>14</x:v>
      </x:c>
      <x:c r="F1424" s="32" t="n">
        <x:v>46706</x:v>
      </x:c>
      <x:c r="G1424" s="36" t="n">
        <x:v>21160000</x:v>
      </x:c>
      <x:c r="H1424" s="36" t="n">
        <x:v>0</x:v>
      </x:c>
      <x:c r="I1424" s="36" t="n">
        <x:v>0</x:v>
      </x:c>
      <x:c r="J1424" s="36" t="n">
        <x:v>0</x:v>
      </x:c>
      <x:c r="K1424" s="36" t="n">
        <x:v>21160000</x:v>
      </x:c>
      <x:c r="L1424" s="36" t="n">
        <x:v>458852.49</x:v>
      </x:c>
      <x:c r="M1424" s="38" t="n">
        <x:v>1.1663244353182751</x:v>
      </x:c>
      <x:c r="N1424" s="36" t="n">
        <x:v>21160000</x:v>
      </x:c>
    </x:row>
    <x:row r="1425" ht="20" customHeight="1">
      <x:c r="C1425" s="1" t="n">
        <x:v>3</x:v>
      </x:c>
      <x:c r="D1425" s="1" t="n">
        <x:v>7</x:v>
      </x:c>
      <x:c r="E1425" s="1" t="n">
        <x:v>15</x:v>
      </x:c>
      <x:c r="F1425" s="32" t="n">
        <x:v>46736</x:v>
      </x:c>
      <x:c r="G1425" s="36" t="n">
        <x:v>21160000</x:v>
      </x:c>
      <x:c r="H1425" s="36" t="n">
        <x:v>0</x:v>
      </x:c>
      <x:c r="I1425" s="36" t="n">
        <x:v>0</x:v>
      </x:c>
      <x:c r="J1425" s="36" t="n">
        <x:v>0</x:v>
      </x:c>
      <x:c r="K1425" s="36" t="n">
        <x:v>21160000</x:v>
      </x:c>
      <x:c r="L1425" s="36" t="n">
        <x:v>551796.73</x:v>
      </x:c>
      <x:c r="M1425" s="38" t="n">
        <x:v>1.2484599589322383</x:v>
      </x:c>
      <x:c r="N1425" s="36" t="n">
        <x:v>21160000</x:v>
      </x:c>
    </x:row>
    <x:row r="1426" ht="20" customHeight="1">
      <x:c r="C1426" s="1" t="n">
        <x:v>3</x:v>
      </x:c>
      <x:c r="D1426" s="1" t="n">
        <x:v>7</x:v>
      </x:c>
      <x:c r="E1426" s="1" t="n">
        <x:v>16</x:v>
      </x:c>
      <x:c r="F1426" s="32" t="n">
        <x:v>46770</x:v>
      </x:c>
      <x:c r="G1426" s="36" t="n">
        <x:v>21160000</x:v>
      </x:c>
      <x:c r="H1426" s="36" t="n">
        <x:v>0</x:v>
      </x:c>
      <x:c r="I1426" s="36" t="n">
        <x:v>0</x:v>
      </x:c>
      <x:c r="J1426" s="36" t="n">
        <x:v>0</x:v>
      </x:c>
      <x:c r="K1426" s="36" t="n">
        <x:v>21160000</x:v>
      </x:c>
      <x:c r="L1426" s="36" t="n">
        <x:v>645132.22</x:v>
      </x:c>
      <x:c r="M1426" s="38" t="n">
        <x:v>1.3415468856947297</x:v>
      </x:c>
      <x:c r="N1426" s="36" t="n">
        <x:v>21160000</x:v>
      </x:c>
    </x:row>
    <x:row r="1427" ht="20" customHeight="1">
      <x:c r="C1427" s="1" t="n">
        <x:v>3</x:v>
      </x:c>
      <x:c r="D1427" s="1" t="n">
        <x:v>7</x:v>
      </x:c>
      <x:c r="E1427" s="1" t="n">
        <x:v>17</x:v>
      </x:c>
      <x:c r="F1427" s="32" t="n">
        <x:v>46798</x:v>
      </x:c>
      <x:c r="G1427" s="36" t="n">
        <x:v>21160000</x:v>
      </x:c>
      <x:c r="H1427" s="36" t="n">
        <x:v>0</x:v>
      </x:c>
      <x:c r="I1427" s="36" t="n">
        <x:v>0</x:v>
      </x:c>
      <x:c r="J1427" s="36" t="n">
        <x:v>0</x:v>
      </x:c>
      <x:c r="K1427" s="36" t="n">
        <x:v>21160000</x:v>
      </x:c>
      <x:c r="L1427" s="36" t="n">
        <x:v>738858.96</x:v>
      </x:c>
      <x:c r="M1427" s="38" t="n">
        <x:v>1.4182067077344285</x:v>
      </x:c>
      <x:c r="N1427" s="36" t="n">
        <x:v>21160000</x:v>
      </x:c>
    </x:row>
    <x:row r="1428" ht="20" customHeight="1">
      <x:c r="C1428" s="1" t="n">
        <x:v>3</x:v>
      </x:c>
      <x:c r="D1428" s="1" t="n">
        <x:v>7</x:v>
      </x:c>
      <x:c r="E1428" s="1" t="n">
        <x:v>18</x:v>
      </x:c>
      <x:c r="F1428" s="32" t="n">
        <x:v>46827</x:v>
      </x:c>
      <x:c r="G1428" s="36" t="n">
        <x:v>21160000</x:v>
      </x:c>
      <x:c r="H1428" s="36" t="n">
        <x:v>0</x:v>
      </x:c>
      <x:c r="I1428" s="36" t="n">
        <x:v>0</x:v>
      </x:c>
      <x:c r="J1428" s="36" t="n">
        <x:v>0</x:v>
      </x:c>
      <x:c r="K1428" s="36" t="n">
        <x:v>21160000</x:v>
      </x:c>
      <x:c r="L1428" s="36" t="n">
        <x:v>832976.95</x:v>
      </x:c>
      <x:c r="M1428" s="38" t="n">
        <x:v>1.4976043805612593</x:v>
      </x:c>
      <x:c r="N1428" s="36" t="n">
        <x:v>21160000</x:v>
      </x:c>
    </x:row>
    <x:row r="1429" ht="20" customHeight="1">
      <x:c r="C1429" s="1" t="n">
        <x:v>3</x:v>
      </x:c>
      <x:c r="D1429" s="1" t="n">
        <x:v>7</x:v>
      </x:c>
      <x:c r="E1429" s="1" t="n">
        <x:v>19</x:v>
      </x:c>
      <x:c r="F1429" s="32" t="n">
        <x:v>46860</x:v>
      </x:c>
      <x:c r="G1429" s="36" t="n">
        <x:v>21160000</x:v>
      </x:c>
      <x:c r="H1429" s="36" t="n">
        <x:v>0</x:v>
      </x:c>
      <x:c r="I1429" s="36" t="n">
        <x:v>0</x:v>
      </x:c>
      <x:c r="J1429" s="36" t="n">
        <x:v>0</x:v>
      </x:c>
      <x:c r="K1429" s="36" t="n">
        <x:v>21160000</x:v>
      </x:c>
      <x:c r="L1429" s="36" t="n">
        <x:v>927486.19</x:v>
      </x:c>
      <x:c r="M1429" s="38" t="n">
        <x:v>1.5879534565366187</x:v>
      </x:c>
      <x:c r="N1429" s="36" t="n">
        <x:v>21160000</x:v>
      </x:c>
    </x:row>
    <x:row r="1430" ht="20" customHeight="1">
      <x:c r="C1430" s="1" t="n">
        <x:v>3</x:v>
      </x:c>
      <x:c r="D1430" s="1" t="n">
        <x:v>7</x:v>
      </x:c>
      <x:c r="E1430" s="1" t="n">
        <x:v>20</x:v>
      </x:c>
      <x:c r="F1430" s="32" t="n">
        <x:v>46888</x:v>
      </x:c>
      <x:c r="G1430" s="36" t="n">
        <x:v>21160000</x:v>
      </x:c>
      <x:c r="H1430" s="36" t="n">
        <x:v>0</x:v>
      </x:c>
      <x:c r="I1430" s="36" t="n">
        <x:v>0</x:v>
      </x:c>
      <x:c r="J1430" s="36" t="n">
        <x:v>0</x:v>
      </x:c>
      <x:c r="K1430" s="36" t="n">
        <x:v>21160000</x:v>
      </x:c>
      <x:c r="L1430" s="36" t="n">
        <x:v>1022386.67</x:v>
      </x:c>
      <x:c r="M1430" s="38" t="n">
        <x:v>1.6646132785763177</x:v>
      </x:c>
      <x:c r="N1430" s="36" t="n">
        <x:v>21160000</x:v>
      </x:c>
    </x:row>
    <x:row r="1431" ht="20" customHeight="1">
      <x:c r="C1431" s="1" t="n">
        <x:v>3</x:v>
      </x:c>
      <x:c r="D1431" s="1" t="n">
        <x:v>7</x:v>
      </x:c>
      <x:c r="E1431" s="1" t="n">
        <x:v>21</x:v>
      </x:c>
      <x:c r="F1431" s="32" t="n">
        <x:v>46919</x:v>
      </x:c>
      <x:c r="G1431" s="36" t="n">
        <x:v>21160000</x:v>
      </x:c>
      <x:c r="H1431" s="36" t="n">
        <x:v>0</x:v>
      </x:c>
      <x:c r="I1431" s="36" t="n">
        <x:v>0</x:v>
      </x:c>
      <x:c r="J1431" s="36" t="n">
        <x:v>0</x:v>
      </x:c>
      <x:c r="K1431" s="36" t="n">
        <x:v>21160000</x:v>
      </x:c>
      <x:c r="L1431" s="36" t="n">
        <x:v>1117678.4</x:v>
      </x:c>
      <x:c r="M1431" s="38" t="n">
        <x:v>1.7494866529774127</x:v>
      </x:c>
      <x:c r="N1431" s="36" t="n">
        <x:v>21160000</x:v>
      </x:c>
    </x:row>
    <x:row r="1432" ht="20" customHeight="1">
      <x:c r="C1432" s="1" t="n">
        <x:v>3</x:v>
      </x:c>
      <x:c r="D1432" s="1" t="n">
        <x:v>7</x:v>
      </x:c>
      <x:c r="E1432" s="1" t="n">
        <x:v>22</x:v>
      </x:c>
      <x:c r="F1432" s="32" t="n">
        <x:v>46951</x:v>
      </x:c>
      <x:c r="G1432" s="36" t="n">
        <x:v>21160000</x:v>
      </x:c>
      <x:c r="H1432" s="36" t="n">
        <x:v>0</x:v>
      </x:c>
      <x:c r="I1432" s="36" t="n">
        <x:v>0</x:v>
      </x:c>
      <x:c r="J1432" s="36" t="n">
        <x:v>0</x:v>
      </x:c>
      <x:c r="K1432" s="36" t="n">
        <x:v>21160000</x:v>
      </x:c>
      <x:c r="L1432" s="36" t="n">
        <x:v>1213361.38</x:v>
      </x:c>
      <x:c r="M1432" s="38" t="n">
        <x:v>1.83709787816564</x:v>
      </x:c>
      <x:c r="N1432" s="36" t="n">
        <x:v>21160000</x:v>
      </x:c>
    </x:row>
    <x:row r="1433" ht="20" customHeight="1">
      <x:c r="C1433" s="1" t="n">
        <x:v>3</x:v>
      </x:c>
      <x:c r="D1433" s="1" t="n">
        <x:v>7</x:v>
      </x:c>
      <x:c r="E1433" s="1" t="n">
        <x:v>23</x:v>
      </x:c>
      <x:c r="F1433" s="32" t="n">
        <x:v>46980</x:v>
      </x:c>
      <x:c r="G1433" s="36" t="n">
        <x:v>21160000</x:v>
      </x:c>
      <x:c r="H1433" s="36" t="n">
        <x:v>0</x:v>
      </x:c>
      <x:c r="I1433" s="36" t="n">
        <x:v>0</x:v>
      </x:c>
      <x:c r="J1433" s="36" t="n">
        <x:v>0</x:v>
      </x:c>
      <x:c r="K1433" s="36" t="n">
        <x:v>21160000</x:v>
      </x:c>
      <x:c r="L1433" s="36" t="n">
        <x:v>1309435.61</x:v>
      </x:c>
      <x:c r="M1433" s="38" t="n">
        <x:v>1.9164955509924708</x:v>
      </x:c>
      <x:c r="N1433" s="36" t="n">
        <x:v>21160000</x:v>
      </x:c>
    </x:row>
    <x:row r="1434" ht="20" customHeight="1">
      <x:c r="C1434" s="1" t="n">
        <x:v>3</x:v>
      </x:c>
      <x:c r="D1434" s="1" t="n">
        <x:v>7</x:v>
      </x:c>
      <x:c r="E1434" s="1" t="n">
        <x:v>24</x:v>
      </x:c>
      <x:c r="F1434" s="32" t="n">
        <x:v>47011</x:v>
      </x:c>
      <x:c r="G1434" s="36" t="n">
        <x:v>21160000</x:v>
      </x:c>
      <x:c r="H1434" s="36" t="n">
        <x:v>0</x:v>
      </x:c>
      <x:c r="I1434" s="36" t="n">
        <x:v>0</x:v>
      </x:c>
      <x:c r="J1434" s="36" t="n">
        <x:v>0</x:v>
      </x:c>
      <x:c r="K1434" s="36" t="n">
        <x:v>21160000</x:v>
      </x:c>
      <x:c r="L1434" s="36" t="n">
        <x:v>1405901.09</x:v>
      </x:c>
      <x:c r="M1434" s="38" t="n">
        <x:v>2.001368925393566</x:v>
      </x:c>
      <x:c r="N1434" s="36" t="n">
        <x:v>21160000</x:v>
      </x:c>
    </x:row>
    <x:row r="1435" ht="20" customHeight="1">
      <x:c r="C1435" s="1" t="n">
        <x:v>3</x:v>
      </x:c>
      <x:c r="D1435" s="1" t="n">
        <x:v>7</x:v>
      </x:c>
      <x:c r="E1435" s="1" t="n">
        <x:v>25</x:v>
      </x:c>
      <x:c r="F1435" s="32" t="n">
        <x:v>47042</x:v>
      </x:c>
      <x:c r="G1435" s="36" t="n">
        <x:v>21160000</x:v>
      </x:c>
      <x:c r="H1435" s="36" t="n">
        <x:v>0</x:v>
      </x:c>
      <x:c r="I1435" s="36" t="n">
        <x:v>0</x:v>
      </x:c>
      <x:c r="J1435" s="36" t="n">
        <x:v>0</x:v>
      </x:c>
      <x:c r="K1435" s="36" t="n">
        <x:v>21160000</x:v>
      </x:c>
      <x:c r="L1435" s="36" t="n">
        <x:v>1502757.82</x:v>
      </x:c>
      <x:c r="M1435" s="38" t="n">
        <x:v>2.086242299794661</x:v>
      </x:c>
      <x:c r="N1435" s="36" t="n">
        <x:v>21160000</x:v>
      </x:c>
    </x:row>
    <x:row r="1436" ht="20" customHeight="1">
      <x:c r="C1436" s="1" t="n">
        <x:v>3</x:v>
      </x:c>
      <x:c r="D1436" s="1" t="n">
        <x:v>7</x:v>
      </x:c>
      <x:c r="E1436" s="1" t="n">
        <x:v>26</x:v>
      </x:c>
      <x:c r="F1436" s="32" t="n">
        <x:v>47072</x:v>
      </x:c>
      <x:c r="G1436" s="36" t="n">
        <x:v>21160000</x:v>
      </x:c>
      <x:c r="H1436" s="36" t="n">
        <x:v>0</x:v>
      </x:c>
      <x:c r="I1436" s="36" t="n">
        <x:v>0</x:v>
      </x:c>
      <x:c r="J1436" s="36" t="n">
        <x:v>0</x:v>
      </x:c>
      <x:c r="K1436" s="36" t="n">
        <x:v>21160000</x:v>
      </x:c>
      <x:c r="L1436" s="36" t="n">
        <x:v>1600005.79</x:v>
      </x:c>
      <x:c r="M1436" s="38" t="n">
        <x:v>2.1683778234086244</x:v>
      </x:c>
      <x:c r="N1436" s="36" t="n">
        <x:v>21160000</x:v>
      </x:c>
    </x:row>
    <x:row r="1437" ht="20" customHeight="1">
      <x:c r="C1437" s="1" t="n">
        <x:v>3</x:v>
      </x:c>
      <x:c r="D1437" s="1" t="n">
        <x:v>7</x:v>
      </x:c>
      <x:c r="E1437" s="1" t="n">
        <x:v>27</x:v>
      </x:c>
      <x:c r="F1437" s="32" t="n">
        <x:v>47102</x:v>
      </x:c>
      <x:c r="G1437" s="36" t="n">
        <x:v>21160000</x:v>
      </x:c>
      <x:c r="H1437" s="36" t="n">
        <x:v>0</x:v>
      </x:c>
      <x:c r="I1437" s="36" t="n">
        <x:v>0</x:v>
      </x:c>
      <x:c r="J1437" s="36" t="n">
        <x:v>0</x:v>
      </x:c>
      <x:c r="K1437" s="36" t="n">
        <x:v>21160000</x:v>
      </x:c>
      <x:c r="L1437" s="36" t="n">
        <x:v>1697645.01</x:v>
      </x:c>
      <x:c r="M1437" s="38" t="n">
        <x:v>2.2505133470225873</x:v>
      </x:c>
      <x:c r="N1437" s="36" t="n">
        <x:v>21160000</x:v>
      </x:c>
    </x:row>
    <x:row r="1438" ht="20" customHeight="1">
      <x:c r="C1438" s="1" t="n">
        <x:v>3</x:v>
      </x:c>
      <x:c r="D1438" s="1" t="n">
        <x:v>7</x:v>
      </x:c>
      <x:c r="E1438" s="1" t="n">
        <x:v>28</x:v>
      </x:c>
      <x:c r="F1438" s="32" t="n">
        <x:v>47134</x:v>
      </x:c>
      <x:c r="G1438" s="36" t="n">
        <x:v>21160000</x:v>
      </x:c>
      <x:c r="H1438" s="36" t="n">
        <x:v>0</x:v>
      </x:c>
      <x:c r="I1438" s="36" t="n">
        <x:v>0</x:v>
      </x:c>
      <x:c r="J1438" s="36" t="n">
        <x:v>0</x:v>
      </x:c>
      <x:c r="K1438" s="36" t="n">
        <x:v>21160000</x:v>
      </x:c>
      <x:c r="L1438" s="36" t="n">
        <x:v>1795675.48</x:v>
      </x:c>
      <x:c r="M1438" s="38" t="n">
        <x:v>2.3381245722108144</x:v>
      </x:c>
      <x:c r="N1438" s="36" t="n">
        <x:v>21160000</x:v>
      </x:c>
    </x:row>
    <x:row r="1439" ht="20" customHeight="1">
      <x:c r="C1439" s="1" t="n">
        <x:v>3</x:v>
      </x:c>
      <x:c r="D1439" s="1" t="n">
        <x:v>7</x:v>
      </x:c>
      <x:c r="E1439" s="1" t="n">
        <x:v>29</x:v>
      </x:c>
      <x:c r="F1439" s="32" t="n">
        <x:v>47164</x:v>
      </x:c>
      <x:c r="G1439" s="36" t="n">
        <x:v>21160000</x:v>
      </x:c>
      <x:c r="H1439" s="36" t="n">
        <x:v>0</x:v>
      </x:c>
      <x:c r="I1439" s="36" t="n">
        <x:v>0</x:v>
      </x:c>
      <x:c r="J1439" s="36" t="n">
        <x:v>0</x:v>
      </x:c>
      <x:c r="K1439" s="36" t="n">
        <x:v>21160000</x:v>
      </x:c>
      <x:c r="L1439" s="36" t="n">
        <x:v>1894097.2</x:v>
      </x:c>
      <x:c r="M1439" s="38" t="n">
        <x:v>2.4202600958247777</x:v>
      </x:c>
      <x:c r="N1439" s="36" t="n">
        <x:v>21160000</x:v>
      </x:c>
    </x:row>
    <x:row r="1440" ht="20" customHeight="1">
      <x:c r="C1440" s="1" t="n">
        <x:v>3</x:v>
      </x:c>
      <x:c r="D1440" s="1" t="n">
        <x:v>7</x:v>
      </x:c>
      <x:c r="E1440" s="1" t="n">
        <x:v>30</x:v>
      </x:c>
      <x:c r="F1440" s="32" t="n">
        <x:v>47192</x:v>
      </x:c>
      <x:c r="G1440" s="36" t="n">
        <x:v>21160000</x:v>
      </x:c>
      <x:c r="H1440" s="36" t="n">
        <x:v>0</x:v>
      </x:c>
      <x:c r="I1440" s="36" t="n">
        <x:v>0</x:v>
      </x:c>
      <x:c r="J1440" s="36" t="n">
        <x:v>0</x:v>
      </x:c>
      <x:c r="K1440" s="36" t="n">
        <x:v>21160000</x:v>
      </x:c>
      <x:c r="L1440" s="36" t="n">
        <x:v>1992910.17</x:v>
      </x:c>
      <x:c r="M1440" s="38" t="n">
        <x:v>2.4969199178644765</x:v>
      </x:c>
      <x:c r="N1440" s="36" t="n">
        <x:v>21160000</x:v>
      </x:c>
    </x:row>
    <x:row r="1441" ht="20" customHeight="1">
      <x:c r="C1441" s="1" t="n">
        <x:v>3</x:v>
      </x:c>
      <x:c r="D1441" s="1" t="n">
        <x:v>7</x:v>
      </x:c>
      <x:c r="E1441" s="1" t="n">
        <x:v>31</x:v>
      </x:c>
      <x:c r="F1441" s="32" t="n">
        <x:v>47224</x:v>
      </x:c>
      <x:c r="G1441" s="36" t="n">
        <x:v>21160000</x:v>
      </x:c>
      <x:c r="H1441" s="36" t="n">
        <x:v>0</x:v>
      </x:c>
      <x:c r="I1441" s="36" t="n">
        <x:v>0</x:v>
      </x:c>
      <x:c r="J1441" s="36" t="n">
        <x:v>0</x:v>
      </x:c>
      <x:c r="K1441" s="36" t="n">
        <x:v>21160000</x:v>
      </x:c>
      <x:c r="L1441" s="36" t="n">
        <x:v>2092114.39</x:v>
      </x:c>
      <x:c r="M1441" s="38" t="n">
        <x:v>2.5845311430527036</x:v>
      </x:c>
      <x:c r="N1441" s="36" t="n">
        <x:v>21160000</x:v>
      </x:c>
    </x:row>
    <x:row r="1442" ht="20" customHeight="1">
      <x:c r="C1442" s="1" t="n">
        <x:v>3</x:v>
      </x:c>
      <x:c r="D1442" s="1" t="n">
        <x:v>7</x:v>
      </x:c>
      <x:c r="E1442" s="1" t="n">
        <x:v>32</x:v>
      </x:c>
      <x:c r="F1442" s="32" t="n">
        <x:v>47253</x:v>
      </x:c>
      <x:c r="G1442" s="36" t="n">
        <x:v>21160000</x:v>
      </x:c>
      <x:c r="H1442" s="36" t="n">
        <x:v>0</x:v>
      </x:c>
      <x:c r="I1442" s="36" t="n">
        <x:v>0</x:v>
      </x:c>
      <x:c r="J1442" s="36" t="n">
        <x:v>0</x:v>
      </x:c>
      <x:c r="K1442" s="36" t="n">
        <x:v>21160000</x:v>
      </x:c>
      <x:c r="L1442" s="36" t="n">
        <x:v>2191709.85</x:v>
      </x:c>
      <x:c r="M1442" s="38" t="n">
        <x:v>2.6639288158795345</x:v>
      </x:c>
      <x:c r="N1442" s="36" t="n">
        <x:v>21160000</x:v>
      </x:c>
    </x:row>
    <x:row r="1443" ht="20" customHeight="1">
      <x:c r="C1443" s="1" t="n">
        <x:v>3</x:v>
      </x:c>
      <x:c r="D1443" s="1" t="n">
        <x:v>7</x:v>
      </x:c>
      <x:c r="E1443" s="1" t="n">
        <x:v>33</x:v>
      </x:c>
      <x:c r="F1443" s="32" t="n">
        <x:v>47284</x:v>
      </x:c>
      <x:c r="G1443" s="36" t="n">
        <x:v>21160000</x:v>
      </x:c>
      <x:c r="H1443" s="36" t="n">
        <x:v>0</x:v>
      </x:c>
      <x:c r="I1443" s="36" t="n">
        <x:v>0</x:v>
      </x:c>
      <x:c r="J1443" s="36" t="n">
        <x:v>0</x:v>
      </x:c>
      <x:c r="K1443" s="36" t="n">
        <x:v>21160000</x:v>
      </x:c>
      <x:c r="L1443" s="36" t="n">
        <x:v>2291696.56</x:v>
      </x:c>
      <x:c r="M1443" s="38" t="n">
        <x:v>2.74880219028063</x:v>
      </x:c>
      <x:c r="N1443" s="36" t="n">
        <x:v>21160000</x:v>
      </x:c>
    </x:row>
    <x:row r="1444" ht="20" customHeight="1">
      <x:c r="C1444" s="1" t="n">
        <x:v>3</x:v>
      </x:c>
      <x:c r="D1444" s="1" t="n">
        <x:v>7</x:v>
      </x:c>
      <x:c r="E1444" s="1" t="n">
        <x:v>34</x:v>
      </x:c>
      <x:c r="F1444" s="32" t="n">
        <x:v>47315</x:v>
      </x:c>
      <x:c r="G1444" s="36" t="n">
        <x:v>21160000</x:v>
      </x:c>
      <x:c r="H1444" s="36" t="n">
        <x:v>0</x:v>
      </x:c>
      <x:c r="I1444" s="36" t="n">
        <x:v>0</x:v>
      </x:c>
      <x:c r="J1444" s="36" t="n">
        <x:v>0</x:v>
      </x:c>
      <x:c r="K1444" s="36" t="n">
        <x:v>21160000</x:v>
      </x:c>
      <x:c r="L1444" s="36" t="n">
        <x:v>2392074.52</x:v>
      </x:c>
      <x:c r="M1444" s="38" t="n">
        <x:v>2.833675564681725</x:v>
      </x:c>
      <x:c r="N1444" s="36" t="n">
        <x:v>21160000</x:v>
      </x:c>
    </x:row>
    <x:row r="1445" ht="20" customHeight="1">
      <x:c r="C1445" s="1" t="n">
        <x:v>3</x:v>
      </x:c>
      <x:c r="D1445" s="1" t="n">
        <x:v>7</x:v>
      </x:c>
      <x:c r="E1445" s="1" t="n">
        <x:v>35</x:v>
      </x:c>
      <x:c r="F1445" s="32" t="n">
        <x:v>47345</x:v>
      </x:c>
      <x:c r="G1445" s="36" t="n">
        <x:v>21160000</x:v>
      </x:c>
      <x:c r="H1445" s="36" t="n">
        <x:v>0</x:v>
      </x:c>
      <x:c r="I1445" s="36" t="n">
        <x:v>0</x:v>
      </x:c>
      <x:c r="J1445" s="36" t="n">
        <x:v>0</x:v>
      </x:c>
      <x:c r="K1445" s="36" t="n">
        <x:v>21160000</x:v>
      </x:c>
      <x:c r="L1445" s="36" t="n">
        <x:v>2492843.73</x:v>
      </x:c>
      <x:c r="M1445" s="38" t="n">
        <x:v>2.915811088295688</x:v>
      </x:c>
      <x:c r="N1445" s="36" t="n">
        <x:v>21160000</x:v>
      </x:c>
    </x:row>
    <x:row r="1446" ht="20" customHeight="1">
      <x:c r="C1446" s="1" t="n">
        <x:v>3</x:v>
      </x:c>
      <x:c r="D1446" s="1" t="n">
        <x:v>7</x:v>
      </x:c>
      <x:c r="E1446" s="1" t="n">
        <x:v>36</x:v>
      </x:c>
      <x:c r="F1446" s="32" t="n">
        <x:v>47378</x:v>
      </x:c>
      <x:c r="G1446" s="36" t="n">
        <x:v>21160000</x:v>
      </x:c>
      <x:c r="H1446" s="36" t="n">
        <x:v>0</x:v>
      </x:c>
      <x:c r="I1446" s="36" t="n">
        <x:v>0</x:v>
      </x:c>
      <x:c r="J1446" s="36" t="n">
        <x:v>0</x:v>
      </x:c>
      <x:c r="K1446" s="36" t="n">
        <x:v>21160000</x:v>
      </x:c>
      <x:c r="L1446" s="36" t="n">
        <x:v>2594004.19</x:v>
      </x:c>
      <x:c r="M1446" s="38" t="n">
        <x:v>3.0061601642710474</x:v>
      </x:c>
      <x:c r="N1446" s="36" t="n">
        <x:v>21160000</x:v>
      </x:c>
    </x:row>
    <x:row r="1447" ht="20" customHeight="1">
      <x:c r="C1447" s="1" t="n">
        <x:v>3</x:v>
      </x:c>
      <x:c r="D1447" s="1" t="n">
        <x:v>7</x:v>
      </x:c>
      <x:c r="E1447" s="1" t="n">
        <x:v>37</x:v>
      </x:c>
      <x:c r="F1447" s="32" t="n">
        <x:v>47406</x:v>
      </x:c>
      <x:c r="G1447" s="36" t="n">
        <x:v>21160000</x:v>
      </x:c>
      <x:c r="H1447" s="36" t="n">
        <x:v>0</x:v>
      </x:c>
      <x:c r="I1447" s="36" t="n">
        <x:v>0</x:v>
      </x:c>
      <x:c r="J1447" s="36" t="n">
        <x:v>0</x:v>
      </x:c>
      <x:c r="K1447" s="36" t="n">
        <x:v>21160000</x:v>
      </x:c>
      <x:c r="L1447" s="36" t="n">
        <x:v>2695555.9</x:v>
      </x:c>
      <x:c r="M1447" s="38" t="n">
        <x:v>3.082819986310746</x:v>
      </x:c>
      <x:c r="N1447" s="36" t="n">
        <x:v>21160000</x:v>
      </x:c>
    </x:row>
    <x:row r="1448" ht="20" customHeight="1">
      <x:c r="C1448" s="1" t="n">
        <x:v>3</x:v>
      </x:c>
      <x:c r="D1448" s="1" t="n">
        <x:v>7</x:v>
      </x:c>
      <x:c r="E1448" s="1" t="n">
        <x:v>38</x:v>
      </x:c>
      <x:c r="F1448" s="32" t="n">
        <x:v>47437</x:v>
      </x:c>
      <x:c r="G1448" s="36" t="n">
        <x:v>21160000</x:v>
      </x:c>
      <x:c r="H1448" s="36" t="n">
        <x:v>0</x:v>
      </x:c>
      <x:c r="I1448" s="36" t="n">
        <x:v>0</x:v>
      </x:c>
      <x:c r="J1448" s="36" t="n">
        <x:v>0</x:v>
      </x:c>
      <x:c r="K1448" s="36" t="n">
        <x:v>21160000</x:v>
      </x:c>
      <x:c r="L1448" s="36" t="n">
        <x:v>2797498.86</x:v>
      </x:c>
      <x:c r="M1448" s="38" t="n">
        <x:v>3.167693360711841</x:v>
      </x:c>
      <x:c r="N1448" s="36" t="n">
        <x:v>21160000</x:v>
      </x:c>
    </x:row>
    <x:row r="1449" ht="20" customHeight="1">
      <x:c r="C1449" s="1" t="n">
        <x:v>3</x:v>
      </x:c>
      <x:c r="D1449" s="1" t="n">
        <x:v>7</x:v>
      </x:c>
      <x:c r="E1449" s="1" t="n">
        <x:v>39</x:v>
      </x:c>
      <x:c r="F1449" s="32" t="n">
        <x:v>47469</x:v>
      </x:c>
      <x:c r="G1449" s="36" t="n">
        <x:v>21160000</x:v>
      </x:c>
      <x:c r="H1449" s="36" t="n">
        <x:v>0</x:v>
      </x:c>
      <x:c r="I1449" s="36" t="n">
        <x:v>0</x:v>
      </x:c>
      <x:c r="J1449" s="36" t="n">
        <x:v>0</x:v>
      </x:c>
      <x:c r="K1449" s="36" t="n">
        <x:v>21160000</x:v>
      </x:c>
      <x:c r="L1449" s="36" t="n">
        <x:v>2899833.06</x:v>
      </x:c>
      <x:c r="M1449" s="38" t="n">
        <x:v>3.2553045859000687</x:v>
      </x:c>
      <x:c r="N1449" s="36" t="n">
        <x:v>21160000</x:v>
      </x:c>
    </x:row>
    <x:row r="1450" ht="20" customHeight="1">
      <x:c r="C1450" s="1" t="n">
        <x:v>3</x:v>
      </x:c>
      <x:c r="D1450" s="1" t="n">
        <x:v>7</x:v>
      </x:c>
      <x:c r="E1450" s="1" t="n">
        <x:v>40</x:v>
      </x:c>
      <x:c r="F1450" s="32" t="n">
        <x:v>47498</x:v>
      </x:c>
      <x:c r="G1450" s="36" t="n">
        <x:v>21160000</x:v>
      </x:c>
      <x:c r="H1450" s="36" t="n">
        <x:v>0</x:v>
      </x:c>
      <x:c r="I1450" s="36" t="n">
        <x:v>0</x:v>
      </x:c>
      <x:c r="J1450" s="36" t="n">
        <x:v>0</x:v>
      </x:c>
      <x:c r="K1450" s="36" t="n">
        <x:v>21160000</x:v>
      </x:c>
      <x:c r="L1450" s="36" t="n">
        <x:v>3002558.51</x:v>
      </x:c>
      <x:c r="M1450" s="38" t="n">
        <x:v>3.3347022587268995</x:v>
      </x:c>
      <x:c r="N1450" s="36" t="n">
        <x:v>21160000</x:v>
      </x:c>
    </x:row>
    <x:row r="1451" ht="20" customHeight="1">
      <x:c r="C1451" s="1" t="n">
        <x:v>3</x:v>
      </x:c>
      <x:c r="D1451" s="1" t="n">
        <x:v>7</x:v>
      </x:c>
      <x:c r="E1451" s="1" t="n">
        <x:v>41</x:v>
      </x:c>
      <x:c r="F1451" s="32" t="n">
        <x:v>47529</x:v>
      </x:c>
      <x:c r="G1451" s="36" t="n">
        <x:v>21160000</x:v>
      </x:c>
      <x:c r="H1451" s="36" t="n">
        <x:v>0</x:v>
      </x:c>
      <x:c r="I1451" s="36" t="n">
        <x:v>0</x:v>
      </x:c>
      <x:c r="J1451" s="36" t="n">
        <x:v>0</x:v>
      </x:c>
      <x:c r="K1451" s="36" t="n">
        <x:v>21160000</x:v>
      </x:c>
      <x:c r="L1451" s="36" t="n">
        <x:v>3105675.21</x:v>
      </x:c>
      <x:c r="M1451" s="38" t="n">
        <x:v>3.4195756331279945</x:v>
      </x:c>
      <x:c r="N1451" s="36" t="n">
        <x:v>21160000</x:v>
      </x:c>
    </x:row>
    <x:row r="1452" ht="20" customHeight="1">
      <x:c r="C1452" s="1" t="n">
        <x:v>3</x:v>
      </x:c>
      <x:c r="D1452" s="1" t="n">
        <x:v>7</x:v>
      </x:c>
      <x:c r="E1452" s="1" t="n">
        <x:v>42</x:v>
      </x:c>
      <x:c r="F1452" s="32" t="n">
        <x:v>47557</x:v>
      </x:c>
      <x:c r="G1452" s="36" t="n">
        <x:v>21160000</x:v>
      </x:c>
      <x:c r="H1452" s="36" t="n">
        <x:v>0</x:v>
      </x:c>
      <x:c r="I1452" s="36" t="n">
        <x:v>0</x:v>
      </x:c>
      <x:c r="J1452" s="36" t="n">
        <x:v>0</x:v>
      </x:c>
      <x:c r="K1452" s="36" t="n">
        <x:v>21160000</x:v>
      </x:c>
      <x:c r="L1452" s="36" t="n">
        <x:v>3209183.16</x:v>
      </x:c>
      <x:c r="M1452" s="38" t="n">
        <x:v>3.4962354551676933</x:v>
      </x:c>
      <x:c r="N1452" s="36" t="n">
        <x:v>21160000</x:v>
      </x:c>
    </x:row>
    <x:row r="1453" ht="20" customHeight="1">
      <x:c r="C1453" s="1" t="n">
        <x:v>3</x:v>
      </x:c>
      <x:c r="D1453" s="1" t="n">
        <x:v>7</x:v>
      </x:c>
      <x:c r="E1453" s="1" t="n">
        <x:v>43</x:v>
      </x:c>
      <x:c r="F1453" s="32" t="n">
        <x:v>47588</x:v>
      </x:c>
      <x:c r="G1453" s="36" t="n">
        <x:v>21160000</x:v>
      </x:c>
      <x:c r="H1453" s="36" t="n">
        <x:v>0</x:v>
      </x:c>
      <x:c r="I1453" s="36" t="n">
        <x:v>0</x:v>
      </x:c>
      <x:c r="J1453" s="36" t="n">
        <x:v>0</x:v>
      </x:c>
      <x:c r="K1453" s="36" t="n">
        <x:v>21160000</x:v>
      </x:c>
      <x:c r="L1453" s="36" t="n">
        <x:v>3313082.36</x:v>
      </x:c>
      <x:c r="M1453" s="38" t="n">
        <x:v>3.5811088295687883</x:v>
      </x:c>
      <x:c r="N1453" s="36" t="n">
        <x:v>21160000</x:v>
      </x:c>
    </x:row>
    <x:row r="1454" ht="20" customHeight="1">
      <x:c r="C1454" s="1" t="n">
        <x:v>3</x:v>
      </x:c>
      <x:c r="D1454" s="1" t="n">
        <x:v>7</x:v>
      </x:c>
      <x:c r="E1454" s="1" t="n">
        <x:v>44</x:v>
      </x:c>
      <x:c r="F1454" s="32" t="n">
        <x:v>47618</x:v>
      </x:c>
      <x:c r="G1454" s="36" t="n">
        <x:v>21160000</x:v>
      </x:c>
      <x:c r="H1454" s="36" t="n">
        <x:v>0</x:v>
      </x:c>
      <x:c r="I1454" s="36" t="n">
        <x:v>0</x:v>
      </x:c>
      <x:c r="J1454" s="36" t="n">
        <x:v>0</x:v>
      </x:c>
      <x:c r="K1454" s="36" t="n">
        <x:v>21160000</x:v>
      </x:c>
      <x:c r="L1454" s="36" t="n">
        <x:v>3417372.81</x:v>
      </x:c>
      <x:c r="M1454" s="38" t="n">
        <x:v>3.6632443531827517</x:v>
      </x:c>
      <x:c r="N1454" s="36" t="n">
        <x:v>21160000</x:v>
      </x:c>
    </x:row>
    <x:row r="1455" ht="20" customHeight="1">
      <x:c r="C1455" s="1" t="n">
        <x:v>3</x:v>
      </x:c>
      <x:c r="D1455" s="1" t="n">
        <x:v>7</x:v>
      </x:c>
      <x:c r="E1455" s="1" t="n">
        <x:v>45</x:v>
      </x:c>
      <x:c r="F1455" s="32" t="n">
        <x:v>47651</x:v>
      </x:c>
      <x:c r="G1455" s="36" t="n">
        <x:v>21160000</x:v>
      </x:c>
      <x:c r="H1455" s="36" t="n">
        <x:v>0</x:v>
      </x:c>
      <x:c r="I1455" s="36" t="n">
        <x:v>0</x:v>
      </x:c>
      <x:c r="J1455" s="36" t="n">
        <x:v>0</x:v>
      </x:c>
      <x:c r="K1455" s="36" t="n">
        <x:v>21160000</x:v>
      </x:c>
      <x:c r="L1455" s="36" t="n">
        <x:v>3522054.5</x:v>
      </x:c>
      <x:c r="M1455" s="38" t="n">
        <x:v>3.753593429158111</x:v>
      </x:c>
      <x:c r="N1455" s="36" t="n">
        <x:v>21160000</x:v>
      </x:c>
    </x:row>
    <x:row r="1456" ht="20" customHeight="1">
      <x:c r="C1456" s="1" t="n">
        <x:v>3</x:v>
      </x:c>
      <x:c r="D1456" s="1" t="n">
        <x:v>7</x:v>
      </x:c>
      <x:c r="E1456" s="1" t="n">
        <x:v>46</x:v>
      </x:c>
      <x:c r="F1456" s="32" t="n">
        <x:v>47679</x:v>
      </x:c>
      <x:c r="G1456" s="36" t="n">
        <x:v>21160000</x:v>
      </x:c>
      <x:c r="H1456" s="36" t="n">
        <x:v>0</x:v>
      </x:c>
      <x:c r="I1456" s="36" t="n">
        <x:v>0</x:v>
      </x:c>
      <x:c r="J1456" s="36" t="n">
        <x:v>0</x:v>
      </x:c>
      <x:c r="K1456" s="36" t="n">
        <x:v>21160000</x:v>
      </x:c>
      <x:c r="L1456" s="36" t="n">
        <x:v>3627127.44</x:v>
      </x:c>
      <x:c r="M1456" s="38" t="n">
        <x:v>3.8302532511978096</x:v>
      </x:c>
      <x:c r="N1456" s="36" t="n">
        <x:v>21160000</x:v>
      </x:c>
    </x:row>
    <x:row r="1457" ht="20" customHeight="1">
      <x:c r="C1457" s="1" t="n">
        <x:v>3</x:v>
      </x:c>
      <x:c r="D1457" s="1" t="n">
        <x:v>7</x:v>
      </x:c>
      <x:c r="E1457" s="1" t="n">
        <x:v>47</x:v>
      </x:c>
      <x:c r="F1457" s="32" t="n">
        <x:v>47710</x:v>
      </x:c>
      <x:c r="G1457" s="36" t="n">
        <x:v>21160000</x:v>
      </x:c>
      <x:c r="H1457" s="36" t="n">
        <x:v>0</x:v>
      </x:c>
      <x:c r="I1457" s="36" t="n">
        <x:v>0</x:v>
      </x:c>
      <x:c r="J1457" s="36" t="n">
        <x:v>0</x:v>
      </x:c>
      <x:c r="K1457" s="36" t="n">
        <x:v>21160000</x:v>
      </x:c>
      <x:c r="L1457" s="36" t="n">
        <x:v>3732591.63</x:v>
      </x:c>
      <x:c r="M1457" s="38" t="n">
        <x:v>3.915126625598905</x:v>
      </x:c>
      <x:c r="N1457" s="36" t="n">
        <x:v>21160000</x:v>
      </x:c>
    </x:row>
    <x:row r="1458" ht="20" customHeight="1">
      <x:c r="C1458" s="1" t="n">
        <x:v>3</x:v>
      </x:c>
      <x:c r="D1458" s="1" t="n">
        <x:v>7</x:v>
      </x:c>
      <x:c r="E1458" s="1" t="n">
        <x:v>48</x:v>
      </x:c>
      <x:c r="F1458" s="32" t="n">
        <x:v>47742</x:v>
      </x:c>
      <x:c r="G1458" s="36" t="n">
        <x:v>21160000</x:v>
      </x:c>
      <x:c r="H1458" s="36" t="n">
        <x:v>0</x:v>
      </x:c>
      <x:c r="I1458" s="36" t="n">
        <x:v>0</x:v>
      </x:c>
      <x:c r="J1458" s="36" t="n">
        <x:v>0</x:v>
      </x:c>
      <x:c r="K1458" s="36" t="n">
        <x:v>21160000</x:v>
      </x:c>
      <x:c r="L1458" s="36" t="n">
        <x:v>3838447.07</x:v>
      </x:c>
      <x:c r="M1458" s="38" t="n">
        <x:v>4.002737850787132</x:v>
      </x:c>
      <x:c r="N1458" s="36" t="n">
        <x:v>21160000</x:v>
      </x:c>
    </x:row>
    <x:row r="1459" ht="20" customHeight="1">
      <x:c r="C1459" s="1" t="n">
        <x:v>3</x:v>
      </x:c>
      <x:c r="D1459" s="1" t="n">
        <x:v>7</x:v>
      </x:c>
      <x:c r="E1459" s="1" t="n">
        <x:v>49</x:v>
      </x:c>
      <x:c r="F1459" s="32" t="n">
        <x:v>47771</x:v>
      </x:c>
      <x:c r="G1459" s="36" t="n">
        <x:v>21160000</x:v>
      </x:c>
      <x:c r="H1459" s="36" t="n">
        <x:v>0</x:v>
      </x:c>
      <x:c r="I1459" s="36" t="n">
        <x:v>0</x:v>
      </x:c>
      <x:c r="J1459" s="36" t="n">
        <x:v>0</x:v>
      </x:c>
      <x:c r="K1459" s="36" t="n">
        <x:v>21160000</x:v>
      </x:c>
      <x:c r="L1459" s="36" t="n">
        <x:v>3944693.76</x:v>
      </x:c>
      <x:c r="M1459" s="38" t="n">
        <x:v>4.082135523613963</x:v>
      </x:c>
      <x:c r="N1459" s="36" t="n">
        <x:v>21160000</x:v>
      </x:c>
    </x:row>
    <x:row r="1460" ht="20" customHeight="1">
      <x:c r="C1460" s="1" t="n">
        <x:v>3</x:v>
      </x:c>
      <x:c r="D1460" s="1" t="n">
        <x:v>7</x:v>
      </x:c>
      <x:c r="E1460" s="1" t="n">
        <x:v>50</x:v>
      </x:c>
      <x:c r="F1460" s="32" t="n">
        <x:v>47802</x:v>
      </x:c>
      <x:c r="G1460" s="36" t="n">
        <x:v>21160000</x:v>
      </x:c>
      <x:c r="H1460" s="36" t="n">
        <x:v>0</x:v>
      </x:c>
      <x:c r="I1460" s="36" t="n">
        <x:v>0</x:v>
      </x:c>
      <x:c r="J1460" s="36" t="n">
        <x:v>0</x:v>
      </x:c>
      <x:c r="K1460" s="36" t="n">
        <x:v>21160000</x:v>
      </x:c>
      <x:c r="L1460" s="36" t="n">
        <x:v>4051331.7</x:v>
      </x:c>
      <x:c r="M1460" s="38" t="n">
        <x:v>4.167008898015058</x:v>
      </x:c>
      <x:c r="N1460" s="36" t="n">
        <x:v>21160000</x:v>
      </x:c>
    </x:row>
    <x:row r="1461" ht="20" customHeight="1">
      <x:c r="C1461" s="1" t="n">
        <x:v>3</x:v>
      </x:c>
      <x:c r="D1461" s="1" t="n">
        <x:v>7</x:v>
      </x:c>
      <x:c r="E1461" s="1" t="n">
        <x:v>51</x:v>
      </x:c>
      <x:c r="F1461" s="32" t="n">
        <x:v>47833</x:v>
      </x:c>
      <x:c r="G1461" s="36" t="n">
        <x:v>21160000</x:v>
      </x:c>
      <x:c r="H1461" s="36" t="n">
        <x:v>0</x:v>
      </x:c>
      <x:c r="I1461" s="36" t="n">
        <x:v>0</x:v>
      </x:c>
      <x:c r="J1461" s="36" t="n">
        <x:v>0</x:v>
      </x:c>
      <x:c r="K1461" s="36" t="n">
        <x:v>21160000</x:v>
      </x:c>
      <x:c r="L1461" s="36" t="n">
        <x:v>4158360.88</x:v>
      </x:c>
      <x:c r="M1461" s="38" t="n">
        <x:v>4.251882272416153</x:v>
      </x:c>
      <x:c r="N1461" s="36" t="n">
        <x:v>21160000</x:v>
      </x:c>
    </x:row>
    <x:row r="1462" ht="20" customHeight="1">
      <x:c r="C1462" s="1" t="n">
        <x:v>3</x:v>
      </x:c>
      <x:c r="D1462" s="1" t="n">
        <x:v>7</x:v>
      </x:c>
      <x:c r="E1462" s="1" t="n">
        <x:v>52</x:v>
      </x:c>
      <x:c r="F1462" s="32" t="n">
        <x:v>47863</x:v>
      </x:c>
      <x:c r="G1462" s="36" t="n">
        <x:v>21160000</x:v>
      </x:c>
      <x:c r="H1462" s="36" t="n">
        <x:v>0</x:v>
      </x:c>
      <x:c r="I1462" s="36" t="n">
        <x:v>0</x:v>
      </x:c>
      <x:c r="J1462" s="36" t="n">
        <x:v>0</x:v>
      </x:c>
      <x:c r="K1462" s="36" t="n">
        <x:v>21160000</x:v>
      </x:c>
      <x:c r="L1462" s="36" t="n">
        <x:v>4265781.31</x:v>
      </x:c>
      <x:c r="M1462" s="38" t="n">
        <x:v>4.334017796030117</x:v>
      </x:c>
      <x:c r="N1462" s="36" t="n">
        <x:v>21160000</x:v>
      </x:c>
    </x:row>
    <x:row r="1463" ht="20" customHeight="1">
      <x:c r="C1463" s="1" t="n">
        <x:v>3</x:v>
      </x:c>
      <x:c r="D1463" s="1" t="n">
        <x:v>7</x:v>
      </x:c>
      <x:c r="E1463" s="1" t="n">
        <x:v>53</x:v>
      </x:c>
      <x:c r="F1463" s="32" t="n">
        <x:v>47897</x:v>
      </x:c>
      <x:c r="G1463" s="36" t="n">
        <x:v>21160000</x:v>
      </x:c>
      <x:c r="H1463" s="36" t="n">
        <x:v>0</x:v>
      </x:c>
      <x:c r="I1463" s="36" t="n">
        <x:v>0</x:v>
      </x:c>
      <x:c r="J1463" s="36" t="n">
        <x:v>0</x:v>
      </x:c>
      <x:c r="K1463" s="36" t="n">
        <x:v>21160000</x:v>
      </x:c>
      <x:c r="L1463" s="36" t="n">
        <x:v>4373592.99</x:v>
      </x:c>
      <x:c r="M1463" s="38" t="n">
        <x:v>4.427104722792608</x:v>
      </x:c>
      <x:c r="N1463" s="36" t="n">
        <x:v>21160000</x:v>
      </x:c>
    </x:row>
    <x:row r="1464" ht="20" customHeight="1">
      <x:c r="C1464" s="1" t="n">
        <x:v>3</x:v>
      </x:c>
      <x:c r="D1464" s="1" t="n">
        <x:v>7</x:v>
      </x:c>
      <x:c r="E1464" s="1" t="n">
        <x:v>54</x:v>
      </x:c>
      <x:c r="F1464" s="32" t="n">
        <x:v>47924</x:v>
      </x:c>
      <x:c r="G1464" s="36" t="n">
        <x:v>21160000</x:v>
      </x:c>
      <x:c r="H1464" s="36" t="n">
        <x:v>0</x:v>
      </x:c>
      <x:c r="I1464" s="36" t="n">
        <x:v>0</x:v>
      </x:c>
      <x:c r="J1464" s="36" t="n">
        <x:v>0</x:v>
      </x:c>
      <x:c r="K1464" s="36" t="n">
        <x:v>21160000</x:v>
      </x:c>
      <x:c r="L1464" s="36" t="n">
        <x:v>4481795.92</x:v>
      </x:c>
      <x:c r="M1464" s="38" t="n">
        <x:v>4.501026694045175</x:v>
      </x:c>
      <x:c r="N1464" s="36" t="n">
        <x:v>21160000</x:v>
      </x:c>
    </x:row>
    <x:row r="1465" ht="20" customHeight="1">
      <x:c r="C1465" s="1" t="n">
        <x:v>3</x:v>
      </x:c>
      <x:c r="D1465" s="1" t="n">
        <x:v>7</x:v>
      </x:c>
      <x:c r="E1465" s="1" t="n">
        <x:v>55</x:v>
      </x:c>
      <x:c r="F1465" s="32" t="n">
        <x:v>47953</x:v>
      </x:c>
      <x:c r="G1465" s="36" t="n">
        <x:v>21160000</x:v>
      </x:c>
      <x:c r="H1465" s="36" t="n">
        <x:v>0</x:v>
      </x:c>
      <x:c r="I1465" s="36" t="n">
        <x:v>0</x:v>
      </x:c>
      <x:c r="J1465" s="36" t="n">
        <x:v>0</x:v>
      </x:c>
      <x:c r="K1465" s="36" t="n">
        <x:v>21160000</x:v>
      </x:c>
      <x:c r="L1465" s="36" t="n">
        <x:v>4590390.1</x:v>
      </x:c>
      <x:c r="M1465" s="38" t="n">
        <x:v>4.5804243668720055</x:v>
      </x:c>
      <x:c r="N1465" s="36" t="n">
        <x:v>21160000</x:v>
      </x:c>
    </x:row>
    <x:row r="1466" ht="20" customHeight="1">
      <x:c r="C1466" s="1" t="n">
        <x:v>3</x:v>
      </x:c>
      <x:c r="D1466" s="1" t="n">
        <x:v>7</x:v>
      </x:c>
      <x:c r="E1466" s="1" t="n">
        <x:v>56</x:v>
      </x:c>
      <x:c r="F1466" s="32" t="n">
        <x:v>47983</x:v>
      </x:c>
      <x:c r="G1466" s="36" t="n">
        <x:v>21160000</x:v>
      </x:c>
      <x:c r="H1466" s="36" t="n">
        <x:v>0</x:v>
      </x:c>
      <x:c r="I1466" s="36" t="n">
        <x:v>0</x:v>
      </x:c>
      <x:c r="J1466" s="36" t="n">
        <x:v>0</x:v>
      </x:c>
      <x:c r="K1466" s="36" t="n">
        <x:v>21160000</x:v>
      </x:c>
      <x:c r="L1466" s="36" t="n">
        <x:v>4699375.53</x:v>
      </x:c>
      <x:c r="M1466" s="38" t="n">
        <x:v>4.662559890485968</x:v>
      </x:c>
      <x:c r="N1466" s="36" t="n">
        <x:v>21160000</x:v>
      </x:c>
    </x:row>
    <x:row r="1467" ht="20" customHeight="1">
      <x:c r="C1467" s="1" t="n">
        <x:v>3</x:v>
      </x:c>
      <x:c r="D1467" s="1" t="n">
        <x:v>7</x:v>
      </x:c>
      <x:c r="E1467" s="1" t="n">
        <x:v>57</x:v>
      </x:c>
      <x:c r="F1467" s="32" t="n">
        <x:v>48015</x:v>
      </x:c>
      <x:c r="G1467" s="36" t="n">
        <x:v>21160000</x:v>
      </x:c>
      <x:c r="H1467" s="36" t="n">
        <x:v>0</x:v>
      </x:c>
      <x:c r="I1467" s="36" t="n">
        <x:v>0</x:v>
      </x:c>
      <x:c r="J1467" s="36" t="n">
        <x:v>0</x:v>
      </x:c>
      <x:c r="K1467" s="36" t="n">
        <x:v>21160000</x:v>
      </x:c>
      <x:c r="L1467" s="36" t="n">
        <x:v>4808752.2</x:v>
      </x:c>
      <x:c r="M1467" s="38" t="n">
        <x:v>4.7501711156741955</x:v>
      </x:c>
      <x:c r="N1467" s="36" t="n">
        <x:v>21160000</x:v>
      </x:c>
    </x:row>
    <x:row r="1468" ht="20" customHeight="1">
      <x:c r="C1468" s="1" t="n">
        <x:v>3</x:v>
      </x:c>
      <x:c r="D1468" s="1" t="n">
        <x:v>7</x:v>
      </x:c>
      <x:c r="E1468" s="1" t="n">
        <x:v>58</x:v>
      </x:c>
      <x:c r="F1468" s="32" t="n">
        <x:v>48044</x:v>
      </x:c>
      <x:c r="G1468" s="36" t="n">
        <x:v>21160000</x:v>
      </x:c>
      <x:c r="H1468" s="36" t="n">
        <x:v>0</x:v>
      </x:c>
      <x:c r="I1468" s="36" t="n">
        <x:v>0</x:v>
      </x:c>
      <x:c r="J1468" s="36" t="n">
        <x:v>0</x:v>
      </x:c>
      <x:c r="K1468" s="36" t="n">
        <x:v>21160000</x:v>
      </x:c>
      <x:c r="L1468" s="36" t="n">
        <x:v>4918520.12</x:v>
      </x:c>
      <x:c r="M1468" s="38" t="n">
        <x:v>4.829568788501026</x:v>
      </x:c>
      <x:c r="N1468" s="36" t="n">
        <x:v>21160000</x:v>
      </x:c>
    </x:row>
    <x:row r="1469" ht="20" customHeight="1">
      <x:c r="C1469" s="1" t="n">
        <x:v>3</x:v>
      </x:c>
      <x:c r="D1469" s="1" t="n">
        <x:v>7</x:v>
      </x:c>
      <x:c r="E1469" s="1" t="n">
        <x:v>59</x:v>
      </x:c>
      <x:c r="F1469" s="32" t="n">
        <x:v>48075</x:v>
      </x:c>
      <x:c r="G1469" s="36" t="n">
        <x:v>21160000</x:v>
      </x:c>
      <x:c r="H1469" s="36" t="n">
        <x:v>0</x:v>
      </x:c>
      <x:c r="I1469" s="36" t="n">
        <x:v>0</x:v>
      </x:c>
      <x:c r="J1469" s="36" t="n">
        <x:v>0</x:v>
      </x:c>
      <x:c r="K1469" s="36" t="n">
        <x:v>21160000</x:v>
      </x:c>
      <x:c r="L1469" s="36" t="n">
        <x:v>5028679.29</x:v>
      </x:c>
      <x:c r="M1469" s="38" t="n">
        <x:v>4.914442162902122</x:v>
      </x:c>
      <x:c r="N1469" s="36" t="n">
        <x:v>21160000</x:v>
      </x:c>
    </x:row>
    <x:row r="1470" ht="20" customHeight="1">
      <x:c r="C1470" s="1" t="n">
        <x:v>3</x:v>
      </x:c>
      <x:c r="D1470" s="1" t="n">
        <x:v>7</x:v>
      </x:c>
      <x:c r="E1470" s="1" t="n">
        <x:v>60</x:v>
      </x:c>
      <x:c r="F1470" s="32" t="n">
        <x:v>48106</x:v>
      </x:c>
      <x:c r="G1470" s="36" t="n">
        <x:v>21160000</x:v>
      </x:c>
      <x:c r="H1470" s="36" t="n">
        <x:v>0</x:v>
      </x:c>
      <x:c r="I1470" s="36" t="n">
        <x:v>0</x:v>
      </x:c>
      <x:c r="J1470" s="36" t="n">
        <x:v>0</x:v>
      </x:c>
      <x:c r="K1470" s="36" t="n">
        <x:v>21160000</x:v>
      </x:c>
      <x:c r="L1470" s="36" t="n">
        <x:v>5139229.71</x:v>
      </x:c>
      <x:c r="M1470" s="38" t="n">
        <x:v>4.999315537303217</x:v>
      </x:c>
      <x:c r="N1470" s="36" t="n">
        <x:v>21160000</x:v>
      </x:c>
    </x:row>
    <x:row r="1471" ht="20" customHeight="1">
      <x:c r="C1471" s="1" t="n">
        <x:v>3</x:v>
      </x:c>
      <x:c r="D1471" s="1" t="n">
        <x:v>7</x:v>
      </x:c>
      <x:c r="E1471" s="1" t="n">
        <x:v>61</x:v>
      </x:c>
      <x:c r="F1471" s="32" t="n">
        <x:v>48136</x:v>
      </x:c>
      <x:c r="G1471" s="36" t="n">
        <x:v>21160000</x:v>
      </x:c>
      <x:c r="H1471" s="36" t="n">
        <x:v>0</x:v>
      </x:c>
      <x:c r="I1471" s="36" t="n">
        <x:v>0</x:v>
      </x:c>
      <x:c r="J1471" s="36" t="n">
        <x:v>0</x:v>
      </x:c>
      <x:c r="K1471" s="36" t="n">
        <x:v>21160000</x:v>
      </x:c>
      <x:c r="L1471" s="36" t="n">
        <x:v>5250171.38</x:v>
      </x:c>
      <x:c r="M1471" s="38" t="n">
        <x:v>5.08145106091718</x:v>
      </x:c>
      <x:c r="N1471" s="36" t="n">
        <x:v>21160000</x:v>
      </x:c>
    </x:row>
    <x:row r="1472" ht="20" customHeight="1">
      <x:c r="C1472" s="1" t="n">
        <x:v>3</x:v>
      </x:c>
      <x:c r="D1472" s="1" t="n">
        <x:v>7</x:v>
      </x:c>
      <x:c r="E1472" s="1" t="n">
        <x:v>62</x:v>
      </x:c>
      <x:c r="F1472" s="32" t="n">
        <x:v>48169</x:v>
      </x:c>
      <x:c r="G1472" s="36" t="n">
        <x:v>21160000</x:v>
      </x:c>
      <x:c r="H1472" s="36" t="n">
        <x:v>0</x:v>
      </x:c>
      <x:c r="I1472" s="36" t="n">
        <x:v>0</x:v>
      </x:c>
      <x:c r="J1472" s="36" t="n">
        <x:v>0</x:v>
      </x:c>
      <x:c r="K1472" s="36" t="n">
        <x:v>21160000</x:v>
      </x:c>
      <x:c r="L1472" s="36" t="n">
        <x:v>5361504.3</x:v>
      </x:c>
      <x:c r="M1472" s="38" t="n">
        <x:v>5.171800136892539</x:v>
      </x:c>
      <x:c r="N1472" s="36" t="n">
        <x:v>21160000</x:v>
      </x:c>
    </x:row>
    <x:row r="1473" ht="20" customHeight="1">
      <x:c r="C1473" s="1" t="n">
        <x:v>3</x:v>
      </x:c>
      <x:c r="D1473" s="1" t="n">
        <x:v>7</x:v>
      </x:c>
      <x:c r="E1473" s="1" t="n">
        <x:v>63</x:v>
      </x:c>
      <x:c r="F1473" s="32" t="n">
        <x:v>48197</x:v>
      </x:c>
      <x:c r="G1473" s="36" t="n">
        <x:v>21160000</x:v>
      </x:c>
      <x:c r="H1473" s="36" t="n">
        <x:v>0</x:v>
      </x:c>
      <x:c r="I1473" s="36" t="n">
        <x:v>0</x:v>
      </x:c>
      <x:c r="J1473" s="36" t="n">
        <x:v>0</x:v>
      </x:c>
      <x:c r="K1473" s="36" t="n">
        <x:v>21160000</x:v>
      </x:c>
      <x:c r="L1473" s="36" t="n">
        <x:v>5473228.47</x:v>
      </x:c>
      <x:c r="M1473" s="38" t="n">
        <x:v>5.248459958932238</x:v>
      </x:c>
      <x:c r="N1473" s="36" t="n">
        <x:v>21160000</x:v>
      </x:c>
    </x:row>
    <x:row r="1474" ht="20" customHeight="1">
      <x:c r="C1474" s="1" t="n">
        <x:v>3</x:v>
      </x:c>
      <x:c r="D1474" s="1" t="n">
        <x:v>7</x:v>
      </x:c>
      <x:c r="E1474" s="1" t="n">
        <x:v>64</x:v>
      </x:c>
      <x:c r="F1474" s="32" t="n">
        <x:v>48228</x:v>
      </x:c>
      <x:c r="G1474" s="36" t="n">
        <x:v>21160000</x:v>
      </x:c>
      <x:c r="H1474" s="36" t="n">
        <x:v>0</x:v>
      </x:c>
      <x:c r="I1474" s="36" t="n">
        <x:v>0</x:v>
      </x:c>
      <x:c r="J1474" s="36" t="n">
        <x:v>0</x:v>
      </x:c>
      <x:c r="K1474" s="36" t="n">
        <x:v>21160000</x:v>
      </x:c>
      <x:c r="L1474" s="36" t="n">
        <x:v>5585343.88</x:v>
      </x:c>
      <x:c r="M1474" s="38" t="n">
        <x:v>5.333333333333333</x:v>
      </x:c>
      <x:c r="N1474" s="36" t="n">
        <x:v>21160000</x:v>
      </x:c>
    </x:row>
    <x:row r="1475" ht="20" customHeight="1">
      <x:c r="C1475" s="1" t="n">
        <x:v>3</x:v>
      </x:c>
      <x:c r="D1475" s="1" t="n">
        <x:v>7</x:v>
      </x:c>
      <x:c r="E1475" s="1" t="n">
        <x:v>65</x:v>
      </x:c>
      <x:c r="F1475" s="32" t="n">
        <x:v>48261</x:v>
      </x:c>
      <x:c r="G1475" s="36" t="n">
        <x:v>21160000</x:v>
      </x:c>
      <x:c r="H1475" s="36" t="n">
        <x:v>0</x:v>
      </x:c>
      <x:c r="I1475" s="36" t="n">
        <x:v>0</x:v>
      </x:c>
      <x:c r="J1475" s="36" t="n">
        <x:v>0</x:v>
      </x:c>
      <x:c r="K1475" s="36" t="n">
        <x:v>21160000</x:v>
      </x:c>
      <x:c r="L1475" s="36" t="n">
        <x:v>5697850.54</x:v>
      </x:c>
      <x:c r="M1475" s="38" t="n">
        <x:v>5.423682409308693</x:v>
      </x:c>
      <x:c r="N1475" s="36" t="n">
        <x:v>21160000</x:v>
      </x:c>
    </x:row>
    <x:row r="1476" ht="20" customHeight="1">
      <x:c r="C1476" s="1" t="n">
        <x:v>3</x:v>
      </x:c>
      <x:c r="D1476" s="1" t="n">
        <x:v>7</x:v>
      </x:c>
      <x:c r="E1476" s="1" t="n">
        <x:v>66</x:v>
      </x:c>
      <x:c r="F1476" s="32" t="n">
        <x:v>48288</x:v>
      </x:c>
      <x:c r="G1476" s="36" t="n">
        <x:v>21160000</x:v>
      </x:c>
      <x:c r="H1476" s="36" t="n">
        <x:v>0</x:v>
      </x:c>
      <x:c r="I1476" s="36" t="n">
        <x:v>0</x:v>
      </x:c>
      <x:c r="J1476" s="36" t="n">
        <x:v>0</x:v>
      </x:c>
      <x:c r="K1476" s="36" t="n">
        <x:v>21160000</x:v>
      </x:c>
      <x:c r="L1476" s="36" t="n">
        <x:v>5810748.45</x:v>
      </x:c>
      <x:c r="M1476" s="38" t="n">
        <x:v>5.49760438056126</x:v>
      </x:c>
      <x:c r="N1476" s="36" t="n">
        <x:v>21160000</x:v>
      </x:c>
    </x:row>
    <x:row r="1477" ht="20" customHeight="1">
      <x:c r="C1477" s="1" t="n">
        <x:v>3</x:v>
      </x:c>
      <x:c r="D1477" s="1" t="n">
        <x:v>7</x:v>
      </x:c>
      <x:c r="E1477" s="1" t="n">
        <x:v>67</x:v>
      </x:c>
      <x:c r="F1477" s="32" t="n">
        <x:v>48319</x:v>
      </x:c>
      <x:c r="G1477" s="36" t="n">
        <x:v>21160000</x:v>
      </x:c>
      <x:c r="H1477" s="36" t="n">
        <x:v>0</x:v>
      </x:c>
      <x:c r="I1477" s="36" t="n">
        <x:v>0</x:v>
      </x:c>
      <x:c r="J1477" s="36" t="n">
        <x:v>21160000</x:v>
      </x:c>
      <x:c r="K1477" s="36" t="n">
        <x:v>0</x:v>
      </x:c>
      <x:c r="L1477" s="36" t="n">
        <x:v>5924037.61</x:v>
      </x:c>
      <x:c r="M1477" s="38" t="n">
        <x:v>5.582477754962355</x:v>
      </x:c>
      <x:c r="N1477" s="36" t="n">
        <x:v>21160000</x:v>
      </x:c>
    </x:row>
    <x:row r="1478" ht="20" customHeight="1">
      <x:c r="C1478" s="1" t="n">
        <x:v>3</x:v>
      </x:c>
      <x:c r="D1478" s="1" t="n">
        <x:v>8</x:v>
      </x:c>
      <x:c r="E1478" s="1" t="n">
        <x:v>1</x:v>
      </x:c>
      <x:c r="F1478" s="32" t="n">
        <x:v>46310</x:v>
      </x:c>
      <x:c r="G1478" s="36" t="n">
        <x:v>14110000</x:v>
      </x:c>
      <x:c r="H1478" s="36" t="n">
        <x:v>67492.83</x:v>
      </x:c>
      <x:c r="I1478" s="36" t="n">
        <x:v>0</x:v>
      </x:c>
      <x:c r="J1478" s="36" t="n">
        <x:v>0</x:v>
      </x:c>
      <x:c r="K1478" s="36" t="n">
        <x:v>14110000</x:v>
      </x:c>
      <x:c r="L1478" s="36" t="n">
        <x:v>0</x:v>
      </x:c>
      <x:c r="M1478" s="38" t="n">
        <x:v>0.08213552361396304</x:v>
      </x:c>
      <x:c r="N1478" s="36" t="n">
        <x:v>14110000</x:v>
      </x:c>
    </x:row>
    <x:row r="1479" ht="20" customHeight="1">
      <x:c r="C1479" s="1" t="n">
        <x:v>3</x:v>
      </x:c>
      <x:c r="D1479" s="1" t="n">
        <x:v>8</x:v>
      </x:c>
      <x:c r="E1479" s="1" t="n">
        <x:v>2</x:v>
      </x:c>
      <x:c r="F1479" s="32" t="n">
        <x:v>46342</x:v>
      </x:c>
      <x:c r="G1479" s="36" t="n">
        <x:v>14110000</x:v>
      </x:c>
      <x:c r="H1479" s="36" t="n">
        <x:v>67492.83</x:v>
      </x:c>
      <x:c r="I1479" s="36" t="n">
        <x:v>0</x:v>
      </x:c>
      <x:c r="J1479" s="36" t="n">
        <x:v>0</x:v>
      </x:c>
      <x:c r="K1479" s="36" t="n">
        <x:v>14110000</x:v>
      </x:c>
      <x:c r="L1479" s="36" t="n">
        <x:v>0</x:v>
      </x:c>
      <x:c r="M1479" s="38" t="n">
        <x:v>0.1697467488021903</x:v>
      </x:c>
      <x:c r="N1479" s="36" t="n">
        <x:v>14110000</x:v>
      </x:c>
    </x:row>
    <x:row r="1480" ht="20" customHeight="1">
      <x:c r="C1480" s="1" t="n">
        <x:v>3</x:v>
      </x:c>
      <x:c r="D1480" s="1" t="n">
        <x:v>8</x:v>
      </x:c>
      <x:c r="E1480" s="1" t="n">
        <x:v>3</x:v>
      </x:c>
      <x:c r="F1480" s="32" t="n">
        <x:v>46371</x:v>
      </x:c>
      <x:c r="G1480" s="36" t="n">
        <x:v>14110000</x:v>
      </x:c>
      <x:c r="H1480" s="36" t="n">
        <x:v>67492.83</x:v>
      </x:c>
      <x:c r="I1480" s="36" t="n">
        <x:v>0</x:v>
      </x:c>
      <x:c r="J1480" s="36" t="n">
        <x:v>0</x:v>
      </x:c>
      <x:c r="K1480" s="36" t="n">
        <x:v>14110000</x:v>
      </x:c>
      <x:c r="L1480" s="36" t="n">
        <x:v>0</x:v>
      </x:c>
      <x:c r="M1480" s="38" t="n">
        <x:v>0.24914442162902123</x:v>
      </x:c>
      <x:c r="N1480" s="36" t="n">
        <x:v>14110000</x:v>
      </x:c>
    </x:row>
    <x:row r="1481" ht="20" customHeight="1">
      <x:c r="C1481" s="1" t="n">
        <x:v>3</x:v>
      </x:c>
      <x:c r="D1481" s="1" t="n">
        <x:v>8</x:v>
      </x:c>
      <x:c r="E1481" s="1" t="n">
        <x:v>4</x:v>
      </x:c>
      <x:c r="F1481" s="32" t="n">
        <x:v>46402</x:v>
      </x:c>
      <x:c r="G1481" s="36" t="n">
        <x:v>14110000</x:v>
      </x:c>
      <x:c r="H1481" s="36" t="n">
        <x:v>67492.83</x:v>
      </x:c>
      <x:c r="I1481" s="36" t="n">
        <x:v>0</x:v>
      </x:c>
      <x:c r="J1481" s="36" t="n">
        <x:v>0</x:v>
      </x:c>
      <x:c r="K1481" s="36" t="n">
        <x:v>14110000</x:v>
      </x:c>
      <x:c r="L1481" s="36" t="n">
        <x:v>0</x:v>
      </x:c>
      <x:c r="M1481" s="38" t="n">
        <x:v>0.33401779603011633</x:v>
      </x:c>
      <x:c r="N1481" s="36" t="n">
        <x:v>14110000</x:v>
      </x:c>
    </x:row>
    <x:row r="1482" ht="20" customHeight="1">
      <x:c r="C1482" s="1" t="n">
        <x:v>3</x:v>
      </x:c>
      <x:c r="D1482" s="1" t="n">
        <x:v>8</x:v>
      </x:c>
      <x:c r="E1482" s="1" t="n">
        <x:v>5</x:v>
      </x:c>
      <x:c r="F1482" s="32" t="n">
        <x:v>46434</x:v>
      </x:c>
      <x:c r="G1482" s="36" t="n">
        <x:v>14110000</x:v>
      </x:c>
      <x:c r="H1482" s="36" t="n">
        <x:v>0</x:v>
      </x:c>
      <x:c r="I1482" s="36" t="n">
        <x:v>0</x:v>
      </x:c>
      <x:c r="J1482" s="36" t="n">
        <x:v>0</x:v>
      </x:c>
      <x:c r="K1482" s="36" t="n">
        <x:v>14110000</x:v>
      </x:c>
      <x:c r="L1482" s="36" t="n">
        <x:v>67492.83</x:v>
      </x:c>
      <x:c r="M1482" s="38" t="n">
        <x:v>0.4216290212183436</x:v>
      </x:c>
      <x:c r="N1482" s="36" t="n">
        <x:v>14110000</x:v>
      </x:c>
    </x:row>
    <x:row r="1483" ht="20" customHeight="1">
      <x:c r="C1483" s="1" t="n">
        <x:v>3</x:v>
      </x:c>
      <x:c r="D1483" s="1" t="n">
        <x:v>8</x:v>
      </x:c>
      <x:c r="E1483" s="1" t="n">
        <x:v>6</x:v>
      </x:c>
      <x:c r="F1483" s="32" t="n">
        <x:v>46461</x:v>
      </x:c>
      <x:c r="G1483" s="36" t="n">
        <x:v>14110000</x:v>
      </x:c>
      <x:c r="H1483" s="36" t="n">
        <x:v>0</x:v>
      </x:c>
      <x:c r="I1483" s="36" t="n">
        <x:v>0</x:v>
      </x:c>
      <x:c r="J1483" s="36" t="n">
        <x:v>0</x:v>
      </x:c>
      <x:c r="K1483" s="36" t="n">
        <x:v>14110000</x:v>
      </x:c>
      <x:c r="L1483" s="36" t="n">
        <x:v>135308.5</x:v>
      </x:c>
      <x:c r="M1483" s="38" t="n">
        <x:v>0.49555099247091033</x:v>
      </x:c>
      <x:c r="N1483" s="36" t="n">
        <x:v>14110000</x:v>
      </x:c>
    </x:row>
    <x:row r="1484" ht="20" customHeight="1">
      <x:c r="C1484" s="1" t="n">
        <x:v>3</x:v>
      </x:c>
      <x:c r="D1484" s="1" t="n">
        <x:v>8</x:v>
      </x:c>
      <x:c r="E1484" s="1" t="n">
        <x:v>7</x:v>
      </x:c>
      <x:c r="F1484" s="32" t="n">
        <x:v>46492</x:v>
      </x:c>
      <x:c r="G1484" s="36" t="n">
        <x:v>14110000</x:v>
      </x:c>
      <x:c r="H1484" s="36" t="n">
        <x:v>0</x:v>
      </x:c>
      <x:c r="I1484" s="36" t="n">
        <x:v>0</x:v>
      </x:c>
      <x:c r="J1484" s="36" t="n">
        <x:v>0</x:v>
      </x:c>
      <x:c r="K1484" s="36" t="n">
        <x:v>14110000</x:v>
      </x:c>
      <x:c r="L1484" s="36" t="n">
        <x:v>203447.01</x:v>
      </x:c>
      <x:c r="M1484" s="38" t="n">
        <x:v>0.5804243668720055</x:v>
      </x:c>
      <x:c r="N1484" s="36" t="n">
        <x:v>14110000</x:v>
      </x:c>
    </x:row>
    <x:row r="1485" ht="20" customHeight="1">
      <x:c r="C1485" s="1" t="n">
        <x:v>3</x:v>
      </x:c>
      <x:c r="D1485" s="1" t="n">
        <x:v>8</x:v>
      </x:c>
      <x:c r="E1485" s="1" t="n">
        <x:v>8</x:v>
      </x:c>
      <x:c r="F1485" s="32" t="n">
        <x:v>46524</x:v>
      </x:c>
      <x:c r="G1485" s="36" t="n">
        <x:v>14110000</x:v>
      </x:c>
      <x:c r="H1485" s="36" t="n">
        <x:v>0</x:v>
      </x:c>
      <x:c r="I1485" s="36" t="n">
        <x:v>0</x:v>
      </x:c>
      <x:c r="J1485" s="36" t="n">
        <x:v>0</x:v>
      </x:c>
      <x:c r="K1485" s="36" t="n">
        <x:v>14110000</x:v>
      </x:c>
      <x:c r="L1485" s="36" t="n">
        <x:v>271908.36</x:v>
      </x:c>
      <x:c r="M1485" s="38" t="n">
        <x:v>0.6680355920602327</x:v>
      </x:c>
      <x:c r="N1485" s="36" t="n">
        <x:v>14110000</x:v>
      </x:c>
    </x:row>
    <x:row r="1486" ht="20" customHeight="1">
      <x:c r="C1486" s="1" t="n">
        <x:v>3</x:v>
      </x:c>
      <x:c r="D1486" s="1" t="n">
        <x:v>8</x:v>
      </x:c>
      <x:c r="E1486" s="1" t="n">
        <x:v>9</x:v>
      </x:c>
      <x:c r="F1486" s="32" t="n">
        <x:v>46553</x:v>
      </x:c>
      <x:c r="G1486" s="36" t="n">
        <x:v>14110000</x:v>
      </x:c>
      <x:c r="H1486" s="36" t="n">
        <x:v>0</x:v>
      </x:c>
      <x:c r="I1486" s="36" t="n">
        <x:v>0</x:v>
      </x:c>
      <x:c r="J1486" s="36" t="n">
        <x:v>0</x:v>
      </x:c>
      <x:c r="K1486" s="36" t="n">
        <x:v>14110000</x:v>
      </x:c>
      <x:c r="L1486" s="36" t="n">
        <x:v>340692.55</x:v>
      </x:c>
      <x:c r="M1486" s="38" t="n">
        <x:v>0.7474332648870636</x:v>
      </x:c>
      <x:c r="N1486" s="36" t="n">
        <x:v>14110000</x:v>
      </x:c>
    </x:row>
    <x:row r="1487" ht="20" customHeight="1">
      <x:c r="C1487" s="1" t="n">
        <x:v>3</x:v>
      </x:c>
      <x:c r="D1487" s="1" t="n">
        <x:v>8</x:v>
      </x:c>
      <x:c r="E1487" s="1" t="n">
        <x:v>10</x:v>
      </x:c>
      <x:c r="F1487" s="32" t="n">
        <x:v>46583</x:v>
      </x:c>
      <x:c r="G1487" s="36" t="n">
        <x:v>14110000</x:v>
      </x:c>
      <x:c r="H1487" s="36" t="n">
        <x:v>0</x:v>
      </x:c>
      <x:c r="I1487" s="36" t="n">
        <x:v>0</x:v>
      </x:c>
      <x:c r="J1487" s="36" t="n">
        <x:v>0</x:v>
      </x:c>
      <x:c r="K1487" s="36" t="n">
        <x:v>14110000</x:v>
      </x:c>
      <x:c r="L1487" s="36" t="n">
        <x:v>409799.58</x:v>
      </x:c>
      <x:c r="M1487" s="38" t="n">
        <x:v>0.8295687885010267</x:v>
      </x:c>
      <x:c r="N1487" s="36" t="n">
        <x:v>14110000</x:v>
      </x:c>
    </x:row>
    <x:row r="1488" ht="20" customHeight="1">
      <x:c r="C1488" s="1" t="n">
        <x:v>3</x:v>
      </x:c>
      <x:c r="D1488" s="1" t="n">
        <x:v>8</x:v>
      </x:c>
      <x:c r="E1488" s="1" t="n">
        <x:v>11</x:v>
      </x:c>
      <x:c r="F1488" s="32" t="n">
        <x:v>46615</x:v>
      </x:c>
      <x:c r="G1488" s="36" t="n">
        <x:v>14110000</x:v>
      </x:c>
      <x:c r="H1488" s="36" t="n">
        <x:v>0</x:v>
      </x:c>
      <x:c r="I1488" s="36" t="n">
        <x:v>0</x:v>
      </x:c>
      <x:c r="J1488" s="36" t="n">
        <x:v>0</x:v>
      </x:c>
      <x:c r="K1488" s="36" t="n">
        <x:v>14110000</x:v>
      </x:c>
      <x:c r="L1488" s="36" t="n">
        <x:v>479229.45</x:v>
      </x:c>
      <x:c r="M1488" s="38" t="n">
        <x:v>0.917180013689254</x:v>
      </x:c>
      <x:c r="N1488" s="36" t="n">
        <x:v>14110000</x:v>
      </x:c>
    </x:row>
    <x:row r="1489" ht="20" customHeight="1">
      <x:c r="C1489" s="1" t="n">
        <x:v>3</x:v>
      </x:c>
      <x:c r="D1489" s="1" t="n">
        <x:v>8</x:v>
      </x:c>
      <x:c r="E1489" s="1" t="n">
        <x:v>12</x:v>
      </x:c>
      <x:c r="F1489" s="32" t="n">
        <x:v>46645</x:v>
      </x:c>
      <x:c r="G1489" s="36" t="n">
        <x:v>14110000</x:v>
      </x:c>
      <x:c r="H1489" s="36" t="n">
        <x:v>0</x:v>
      </x:c>
      <x:c r="I1489" s="36" t="n">
        <x:v>0</x:v>
      </x:c>
      <x:c r="J1489" s="36" t="n">
        <x:v>0</x:v>
      </x:c>
      <x:c r="K1489" s="36" t="n">
        <x:v>14110000</x:v>
      </x:c>
      <x:c r="L1489" s="36" t="n">
        <x:v>548982.16</x:v>
      </x:c>
      <x:c r="M1489" s="38" t="n">
        <x:v>0.999315537303217</x:v>
      </x:c>
      <x:c r="N1489" s="36" t="n">
        <x:v>14110000</x:v>
      </x:c>
    </x:row>
    <x:row r="1490" ht="20" customHeight="1">
      <x:c r="C1490" s="1" t="n">
        <x:v>3</x:v>
      </x:c>
      <x:c r="D1490" s="1" t="n">
        <x:v>8</x:v>
      </x:c>
      <x:c r="E1490" s="1" t="n">
        <x:v>13</x:v>
      </x:c>
      <x:c r="F1490" s="32" t="n">
        <x:v>46675</x:v>
      </x:c>
      <x:c r="G1490" s="36" t="n">
        <x:v>14110000</x:v>
      </x:c>
      <x:c r="H1490" s="36" t="n">
        <x:v>0</x:v>
      </x:c>
      <x:c r="I1490" s="36" t="n">
        <x:v>0</x:v>
      </x:c>
      <x:c r="J1490" s="36" t="n">
        <x:v>0</x:v>
      </x:c>
      <x:c r="K1490" s="36" t="n">
        <x:v>14110000</x:v>
      </x:c>
      <x:c r="L1490" s="36" t="n">
        <x:v>619057.72</x:v>
      </x:c>
      <x:c r="M1490" s="38" t="n">
        <x:v>1.08145106091718</x:v>
      </x:c>
      <x:c r="N1490" s="36" t="n">
        <x:v>14110000</x:v>
      </x:c>
    </x:row>
    <x:row r="1491" ht="20" customHeight="1">
      <x:c r="C1491" s="1" t="n">
        <x:v>3</x:v>
      </x:c>
      <x:c r="D1491" s="1" t="n">
        <x:v>8</x:v>
      </x:c>
      <x:c r="E1491" s="1" t="n">
        <x:v>14</x:v>
      </x:c>
      <x:c r="F1491" s="32" t="n">
        <x:v>46706</x:v>
      </x:c>
      <x:c r="G1491" s="36" t="n">
        <x:v>14110000</x:v>
      </x:c>
      <x:c r="H1491" s="36" t="n">
        <x:v>0</x:v>
      </x:c>
      <x:c r="I1491" s="36" t="n">
        <x:v>0</x:v>
      </x:c>
      <x:c r="J1491" s="36" t="n">
        <x:v>0</x:v>
      </x:c>
      <x:c r="K1491" s="36" t="n">
        <x:v>14110000</x:v>
      </x:c>
      <x:c r="L1491" s="36" t="n">
        <x:v>689456.12</x:v>
      </x:c>
      <x:c r="M1491" s="38" t="n">
        <x:v>1.1663244353182751</x:v>
      </x:c>
      <x:c r="N1491" s="36" t="n">
        <x:v>14110000</x:v>
      </x:c>
    </x:row>
    <x:row r="1492" ht="20" customHeight="1">
      <x:c r="C1492" s="1" t="n">
        <x:v>3</x:v>
      </x:c>
      <x:c r="D1492" s="1" t="n">
        <x:v>8</x:v>
      </x:c>
      <x:c r="E1492" s="1" t="n">
        <x:v>15</x:v>
      </x:c>
      <x:c r="F1492" s="32" t="n">
        <x:v>46736</x:v>
      </x:c>
      <x:c r="G1492" s="36" t="n">
        <x:v>14110000</x:v>
      </x:c>
      <x:c r="H1492" s="36" t="n">
        <x:v>0</x:v>
      </x:c>
      <x:c r="I1492" s="36" t="n">
        <x:v>0</x:v>
      </x:c>
      <x:c r="J1492" s="36" t="n">
        <x:v>0</x:v>
      </x:c>
      <x:c r="K1492" s="36" t="n">
        <x:v>14110000</x:v>
      </x:c>
      <x:c r="L1492" s="36" t="n">
        <x:v>760177.36</x:v>
      </x:c>
      <x:c r="M1492" s="38" t="n">
        <x:v>1.2484599589322383</x:v>
      </x:c>
      <x:c r="N1492" s="36" t="n">
        <x:v>14110000</x:v>
      </x:c>
    </x:row>
    <x:row r="1493" ht="20" customHeight="1">
      <x:c r="C1493" s="1" t="n">
        <x:v>3</x:v>
      </x:c>
      <x:c r="D1493" s="1" t="n">
        <x:v>8</x:v>
      </x:c>
      <x:c r="E1493" s="1" t="n">
        <x:v>16</x:v>
      </x:c>
      <x:c r="F1493" s="32" t="n">
        <x:v>46770</x:v>
      </x:c>
      <x:c r="G1493" s="36" t="n">
        <x:v>14110000</x:v>
      </x:c>
      <x:c r="H1493" s="36" t="n">
        <x:v>0</x:v>
      </x:c>
      <x:c r="I1493" s="36" t="n">
        <x:v>0</x:v>
      </x:c>
      <x:c r="J1493" s="36" t="n">
        <x:v>0</x:v>
      </x:c>
      <x:c r="K1493" s="36" t="n">
        <x:v>14110000</x:v>
      </x:c>
      <x:c r="L1493" s="36" t="n">
        <x:v>831221.44</x:v>
      </x:c>
      <x:c r="M1493" s="38" t="n">
        <x:v>1.3415468856947297</x:v>
      </x:c>
      <x:c r="N1493" s="36" t="n">
        <x:v>14110000</x:v>
      </x:c>
    </x:row>
    <x:row r="1494" ht="20" customHeight="1">
      <x:c r="C1494" s="1" t="n">
        <x:v>3</x:v>
      </x:c>
      <x:c r="D1494" s="1" t="n">
        <x:v>8</x:v>
      </x:c>
      <x:c r="E1494" s="1" t="n">
        <x:v>17</x:v>
      </x:c>
      <x:c r="F1494" s="32" t="n">
        <x:v>46798</x:v>
      </x:c>
      <x:c r="G1494" s="36" t="n">
        <x:v>14110000</x:v>
      </x:c>
      <x:c r="H1494" s="36" t="n">
        <x:v>0</x:v>
      </x:c>
      <x:c r="I1494" s="36" t="n">
        <x:v>0</x:v>
      </x:c>
      <x:c r="J1494" s="36" t="n">
        <x:v>0</x:v>
      </x:c>
      <x:c r="K1494" s="36" t="n">
        <x:v>14110000</x:v>
      </x:c>
      <x:c r="L1494" s="36" t="n">
        <x:v>902588.36</x:v>
      </x:c>
      <x:c r="M1494" s="38" t="n">
        <x:v>1.4182067077344285</x:v>
      </x:c>
      <x:c r="N1494" s="36" t="n">
        <x:v>14110000</x:v>
      </x:c>
    </x:row>
    <x:row r="1495" ht="20" customHeight="1">
      <x:c r="C1495" s="1" t="n">
        <x:v>3</x:v>
      </x:c>
      <x:c r="D1495" s="1" t="n">
        <x:v>8</x:v>
      </x:c>
      <x:c r="E1495" s="1" t="n">
        <x:v>18</x:v>
      </x:c>
      <x:c r="F1495" s="32" t="n">
        <x:v>46827</x:v>
      </x:c>
      <x:c r="G1495" s="36" t="n">
        <x:v>14110000</x:v>
      </x:c>
      <x:c r="H1495" s="36" t="n">
        <x:v>0</x:v>
      </x:c>
      <x:c r="I1495" s="36" t="n">
        <x:v>0</x:v>
      </x:c>
      <x:c r="J1495" s="36" t="n">
        <x:v>0</x:v>
      </x:c>
      <x:c r="K1495" s="36" t="n">
        <x:v>14110000</x:v>
      </x:c>
      <x:c r="L1495" s="36" t="n">
        <x:v>974278.12</x:v>
      </x:c>
      <x:c r="M1495" s="38" t="n">
        <x:v>1.4976043805612593</x:v>
      </x:c>
      <x:c r="N1495" s="36" t="n">
        <x:v>14110000</x:v>
      </x:c>
    </x:row>
    <x:row r="1496" ht="20" customHeight="1">
      <x:c r="C1496" s="1" t="n">
        <x:v>3</x:v>
      </x:c>
      <x:c r="D1496" s="1" t="n">
        <x:v>8</x:v>
      </x:c>
      <x:c r="E1496" s="1" t="n">
        <x:v>19</x:v>
      </x:c>
      <x:c r="F1496" s="32" t="n">
        <x:v>46860</x:v>
      </x:c>
      <x:c r="G1496" s="36" t="n">
        <x:v>14110000</x:v>
      </x:c>
      <x:c r="H1496" s="36" t="n">
        <x:v>0</x:v>
      </x:c>
      <x:c r="I1496" s="36" t="n">
        <x:v>0</x:v>
      </x:c>
      <x:c r="J1496" s="36" t="n">
        <x:v>0</x:v>
      </x:c>
      <x:c r="K1496" s="36" t="n">
        <x:v>14110000</x:v>
      </x:c>
      <x:c r="L1496" s="36" t="n">
        <x:v>1046290.72</x:v>
      </x:c>
      <x:c r="M1496" s="38" t="n">
        <x:v>1.5879534565366187</x:v>
      </x:c>
      <x:c r="N1496" s="36" t="n">
        <x:v>14110000</x:v>
      </x:c>
    </x:row>
    <x:row r="1497" ht="20" customHeight="1">
      <x:c r="C1497" s="1" t="n">
        <x:v>3</x:v>
      </x:c>
      <x:c r="D1497" s="1" t="n">
        <x:v>8</x:v>
      </x:c>
      <x:c r="E1497" s="1" t="n">
        <x:v>20</x:v>
      </x:c>
      <x:c r="F1497" s="32" t="n">
        <x:v>46888</x:v>
      </x:c>
      <x:c r="G1497" s="36" t="n">
        <x:v>14110000</x:v>
      </x:c>
      <x:c r="H1497" s="36" t="n">
        <x:v>0</x:v>
      </x:c>
      <x:c r="I1497" s="36" t="n">
        <x:v>0</x:v>
      </x:c>
      <x:c r="J1497" s="36" t="n">
        <x:v>0</x:v>
      </x:c>
      <x:c r="K1497" s="36" t="n">
        <x:v>14110000</x:v>
      </x:c>
      <x:c r="L1497" s="36" t="n">
        <x:v>1118626.16</x:v>
      </x:c>
      <x:c r="M1497" s="38" t="n">
        <x:v>1.6646132785763177</x:v>
      </x:c>
      <x:c r="N1497" s="36" t="n">
        <x:v>14110000</x:v>
      </x:c>
    </x:row>
    <x:row r="1498" ht="20" customHeight="1">
      <x:c r="C1498" s="1" t="n">
        <x:v>3</x:v>
      </x:c>
      <x:c r="D1498" s="1" t="n">
        <x:v>8</x:v>
      </x:c>
      <x:c r="E1498" s="1" t="n">
        <x:v>21</x:v>
      </x:c>
      <x:c r="F1498" s="32" t="n">
        <x:v>46919</x:v>
      </x:c>
      <x:c r="G1498" s="36" t="n">
        <x:v>14110000</x:v>
      </x:c>
      <x:c r="H1498" s="36" t="n">
        <x:v>0</x:v>
      </x:c>
      <x:c r="I1498" s="36" t="n">
        <x:v>0</x:v>
      </x:c>
      <x:c r="J1498" s="36" t="n">
        <x:v>0</x:v>
      </x:c>
      <x:c r="K1498" s="36" t="n">
        <x:v>14110000</x:v>
      </x:c>
      <x:c r="L1498" s="36" t="n">
        <x:v>1191284.44</x:v>
      </x:c>
      <x:c r="M1498" s="38" t="n">
        <x:v>1.7494866529774127</x:v>
      </x:c>
      <x:c r="N1498" s="36" t="n">
        <x:v>14110000</x:v>
      </x:c>
    </x:row>
    <x:row r="1499" ht="20" customHeight="1">
      <x:c r="C1499" s="1" t="n">
        <x:v>3</x:v>
      </x:c>
      <x:c r="D1499" s="1" t="n">
        <x:v>8</x:v>
      </x:c>
      <x:c r="E1499" s="1" t="n">
        <x:v>22</x:v>
      </x:c>
      <x:c r="F1499" s="32" t="n">
        <x:v>46951</x:v>
      </x:c>
      <x:c r="G1499" s="36" t="n">
        <x:v>14110000</x:v>
      </x:c>
      <x:c r="H1499" s="36" t="n">
        <x:v>0</x:v>
      </x:c>
      <x:c r="I1499" s="36" t="n">
        <x:v>0</x:v>
      </x:c>
      <x:c r="J1499" s="36" t="n">
        <x:v>0</x:v>
      </x:c>
      <x:c r="K1499" s="36" t="n">
        <x:v>14110000</x:v>
      </x:c>
      <x:c r="L1499" s="36" t="n">
        <x:v>1264265.56</x:v>
      </x:c>
      <x:c r="M1499" s="38" t="n">
        <x:v>1.83709787816564</x:v>
      </x:c>
      <x:c r="N1499" s="36" t="n">
        <x:v>14110000</x:v>
      </x:c>
    </x:row>
    <x:row r="1500" ht="20" customHeight="1">
      <x:c r="C1500" s="1" t="n">
        <x:v>3</x:v>
      </x:c>
      <x:c r="D1500" s="1" t="n">
        <x:v>8</x:v>
      </x:c>
      <x:c r="E1500" s="1" t="n">
        <x:v>23</x:v>
      </x:c>
      <x:c r="F1500" s="32" t="n">
        <x:v>46980</x:v>
      </x:c>
      <x:c r="G1500" s="36" t="n">
        <x:v>14110000</x:v>
      </x:c>
      <x:c r="H1500" s="36" t="n">
        <x:v>0</x:v>
      </x:c>
      <x:c r="I1500" s="36" t="n">
        <x:v>0</x:v>
      </x:c>
      <x:c r="J1500" s="36" t="n">
        <x:v>0</x:v>
      </x:c>
      <x:c r="K1500" s="36" t="n">
        <x:v>14110000</x:v>
      </x:c>
      <x:c r="L1500" s="36" t="n">
        <x:v>1337569.52</x:v>
      </x:c>
      <x:c r="M1500" s="38" t="n">
        <x:v>1.9164955509924708</x:v>
      </x:c>
      <x:c r="N1500" s="36" t="n">
        <x:v>14110000</x:v>
      </x:c>
    </x:row>
    <x:row r="1501" ht="20" customHeight="1">
      <x:c r="C1501" s="1" t="n">
        <x:v>3</x:v>
      </x:c>
      <x:c r="D1501" s="1" t="n">
        <x:v>8</x:v>
      </x:c>
      <x:c r="E1501" s="1" t="n">
        <x:v>24</x:v>
      </x:c>
      <x:c r="F1501" s="32" t="n">
        <x:v>47011</x:v>
      </x:c>
      <x:c r="G1501" s="36" t="n">
        <x:v>14110000</x:v>
      </x:c>
      <x:c r="H1501" s="36" t="n">
        <x:v>0</x:v>
      </x:c>
      <x:c r="I1501" s="36" t="n">
        <x:v>0</x:v>
      </x:c>
      <x:c r="J1501" s="36" t="n">
        <x:v>0</x:v>
      </x:c>
      <x:c r="K1501" s="36" t="n">
        <x:v>14110000</x:v>
      </x:c>
      <x:c r="L1501" s="36" t="n">
        <x:v>1411196.32</x:v>
      </x:c>
      <x:c r="M1501" s="38" t="n">
        <x:v>2.001368925393566</x:v>
      </x:c>
      <x:c r="N1501" s="36" t="n">
        <x:v>14110000</x:v>
      </x:c>
    </x:row>
    <x:row r="1502" ht="20" customHeight="1">
      <x:c r="C1502" s="1" t="n">
        <x:v>3</x:v>
      </x:c>
      <x:c r="D1502" s="1" t="n">
        <x:v>8</x:v>
      </x:c>
      <x:c r="E1502" s="1" t="n">
        <x:v>25</x:v>
      </x:c>
      <x:c r="F1502" s="32" t="n">
        <x:v>47042</x:v>
      </x:c>
      <x:c r="G1502" s="36" t="n">
        <x:v>14110000</x:v>
      </x:c>
      <x:c r="H1502" s="36" t="n">
        <x:v>0</x:v>
      </x:c>
      <x:c r="I1502" s="36" t="n">
        <x:v>0</x:v>
      </x:c>
      <x:c r="J1502" s="36" t="n">
        <x:v>0</x:v>
      </x:c>
      <x:c r="K1502" s="36" t="n">
        <x:v>14110000</x:v>
      </x:c>
      <x:c r="L1502" s="36" t="n">
        <x:v>1485145.96</x:v>
      </x:c>
      <x:c r="M1502" s="38" t="n">
        <x:v>2.086242299794661</x:v>
      </x:c>
      <x:c r="N1502" s="36" t="n">
        <x:v>14110000</x:v>
      </x:c>
    </x:row>
    <x:row r="1503" ht="20" customHeight="1">
      <x:c r="C1503" s="1" t="n">
        <x:v>3</x:v>
      </x:c>
      <x:c r="D1503" s="1" t="n">
        <x:v>8</x:v>
      </x:c>
      <x:c r="E1503" s="1" t="n">
        <x:v>26</x:v>
      </x:c>
      <x:c r="F1503" s="32" t="n">
        <x:v>47072</x:v>
      </x:c>
      <x:c r="G1503" s="36" t="n">
        <x:v>14110000</x:v>
      </x:c>
      <x:c r="H1503" s="36" t="n">
        <x:v>0</x:v>
      </x:c>
      <x:c r="I1503" s="36" t="n">
        <x:v>0</x:v>
      </x:c>
      <x:c r="J1503" s="36" t="n">
        <x:v>0</x:v>
      </x:c>
      <x:c r="K1503" s="36" t="n">
        <x:v>14110000</x:v>
      </x:c>
      <x:c r="L1503" s="36" t="n">
        <x:v>1559418.44</x:v>
      </x:c>
      <x:c r="M1503" s="38" t="n">
        <x:v>2.1683778234086244</x:v>
      </x:c>
      <x:c r="N1503" s="36" t="n">
        <x:v>14110000</x:v>
      </x:c>
    </x:row>
    <x:row r="1504" ht="20" customHeight="1">
      <x:c r="C1504" s="1" t="n">
        <x:v>3</x:v>
      </x:c>
      <x:c r="D1504" s="1" t="n">
        <x:v>8</x:v>
      </x:c>
      <x:c r="E1504" s="1" t="n">
        <x:v>27</x:v>
      </x:c>
      <x:c r="F1504" s="32" t="n">
        <x:v>47102</x:v>
      </x:c>
      <x:c r="G1504" s="36" t="n">
        <x:v>14110000</x:v>
      </x:c>
      <x:c r="H1504" s="36" t="n">
        <x:v>0</x:v>
      </x:c>
      <x:c r="I1504" s="36" t="n">
        <x:v>0</x:v>
      </x:c>
      <x:c r="J1504" s="36" t="n">
        <x:v>0</x:v>
      </x:c>
      <x:c r="K1504" s="36" t="n">
        <x:v>14110000</x:v>
      </x:c>
      <x:c r="L1504" s="36" t="n">
        <x:v>1634013.77</x:v>
      </x:c>
      <x:c r="M1504" s="38" t="n">
        <x:v>2.2505133470225873</x:v>
      </x:c>
      <x:c r="N1504" s="36" t="n">
        <x:v>14110000</x:v>
      </x:c>
    </x:row>
    <x:row r="1505" ht="20" customHeight="1">
      <x:c r="C1505" s="1" t="n">
        <x:v>3</x:v>
      </x:c>
      <x:c r="D1505" s="1" t="n">
        <x:v>8</x:v>
      </x:c>
      <x:c r="E1505" s="1" t="n">
        <x:v>28</x:v>
      </x:c>
      <x:c r="F1505" s="32" t="n">
        <x:v>47134</x:v>
      </x:c>
      <x:c r="G1505" s="36" t="n">
        <x:v>14110000</x:v>
      </x:c>
      <x:c r="H1505" s="36" t="n">
        <x:v>0</x:v>
      </x:c>
      <x:c r="I1505" s="36" t="n">
        <x:v>0</x:v>
      </x:c>
      <x:c r="J1505" s="36" t="n">
        <x:v>0</x:v>
      </x:c>
      <x:c r="K1505" s="36" t="n">
        <x:v>14110000</x:v>
      </x:c>
      <x:c r="L1505" s="36" t="n">
        <x:v>1708931.94</x:v>
      </x:c>
      <x:c r="M1505" s="38" t="n">
        <x:v>2.3381245722108144</x:v>
      </x:c>
      <x:c r="N1505" s="36" t="n">
        <x:v>14110000</x:v>
      </x:c>
    </x:row>
    <x:row r="1506" ht="20" customHeight="1">
      <x:c r="C1506" s="1" t="n">
        <x:v>3</x:v>
      </x:c>
      <x:c r="D1506" s="1" t="n">
        <x:v>8</x:v>
      </x:c>
      <x:c r="E1506" s="1" t="n">
        <x:v>29</x:v>
      </x:c>
      <x:c r="F1506" s="32" t="n">
        <x:v>47164</x:v>
      </x:c>
      <x:c r="G1506" s="36" t="n">
        <x:v>14110000</x:v>
      </x:c>
      <x:c r="H1506" s="36" t="n">
        <x:v>0</x:v>
      </x:c>
      <x:c r="I1506" s="36" t="n">
        <x:v>0</x:v>
      </x:c>
      <x:c r="J1506" s="36" t="n">
        <x:v>0</x:v>
      </x:c>
      <x:c r="K1506" s="36" t="n">
        <x:v>14110000</x:v>
      </x:c>
      <x:c r="L1506" s="36" t="n">
        <x:v>1784172.95</x:v>
      </x:c>
      <x:c r="M1506" s="38" t="n">
        <x:v>2.4202600958247777</x:v>
      </x:c>
      <x:c r="N1506" s="36" t="n">
        <x:v>14110000</x:v>
      </x:c>
    </x:row>
    <x:row r="1507" ht="20" customHeight="1">
      <x:c r="C1507" s="1" t="n">
        <x:v>3</x:v>
      </x:c>
      <x:c r="D1507" s="1" t="n">
        <x:v>8</x:v>
      </x:c>
      <x:c r="E1507" s="1" t="n">
        <x:v>30</x:v>
      </x:c>
      <x:c r="F1507" s="32" t="n">
        <x:v>47192</x:v>
      </x:c>
      <x:c r="G1507" s="36" t="n">
        <x:v>14110000</x:v>
      </x:c>
      <x:c r="H1507" s="36" t="n">
        <x:v>0</x:v>
      </x:c>
      <x:c r="I1507" s="36" t="n">
        <x:v>0</x:v>
      </x:c>
      <x:c r="J1507" s="36" t="n">
        <x:v>0</x:v>
      </x:c>
      <x:c r="K1507" s="36" t="n">
        <x:v>14110000</x:v>
      </x:c>
      <x:c r="L1507" s="36" t="n">
        <x:v>1859736.8</x:v>
      </x:c>
      <x:c r="M1507" s="38" t="n">
        <x:v>2.4969199178644765</x:v>
      </x:c>
      <x:c r="N1507" s="36" t="n">
        <x:v>14110000</x:v>
      </x:c>
    </x:row>
    <x:row r="1508" ht="20" customHeight="1">
      <x:c r="C1508" s="1" t="n">
        <x:v>3</x:v>
      </x:c>
      <x:c r="D1508" s="1" t="n">
        <x:v>8</x:v>
      </x:c>
      <x:c r="E1508" s="1" t="n">
        <x:v>31</x:v>
      </x:c>
      <x:c r="F1508" s="32" t="n">
        <x:v>47224</x:v>
      </x:c>
      <x:c r="G1508" s="36" t="n">
        <x:v>14110000</x:v>
      </x:c>
      <x:c r="H1508" s="36" t="n">
        <x:v>0</x:v>
      </x:c>
      <x:c r="I1508" s="36" t="n">
        <x:v>0</x:v>
      </x:c>
      <x:c r="J1508" s="36" t="n">
        <x:v>0</x:v>
      </x:c>
      <x:c r="K1508" s="36" t="n">
        <x:v>14110000</x:v>
      </x:c>
      <x:c r="L1508" s="36" t="n">
        <x:v>1935623.49</x:v>
      </x:c>
      <x:c r="M1508" s="38" t="n">
        <x:v>2.5845311430527036</x:v>
      </x:c>
      <x:c r="N1508" s="36" t="n">
        <x:v>14110000</x:v>
      </x:c>
    </x:row>
    <x:row r="1509" ht="20" customHeight="1">
      <x:c r="C1509" s="1" t="n">
        <x:v>3</x:v>
      </x:c>
      <x:c r="D1509" s="1" t="n">
        <x:v>8</x:v>
      </x:c>
      <x:c r="E1509" s="1" t="n">
        <x:v>32</x:v>
      </x:c>
      <x:c r="F1509" s="32" t="n">
        <x:v>47253</x:v>
      </x:c>
      <x:c r="G1509" s="36" t="n">
        <x:v>14110000</x:v>
      </x:c>
      <x:c r="H1509" s="36" t="n">
        <x:v>0</x:v>
      </x:c>
      <x:c r="I1509" s="36" t="n">
        <x:v>0</x:v>
      </x:c>
      <x:c r="J1509" s="36" t="n">
        <x:v>0</x:v>
      </x:c>
      <x:c r="K1509" s="36" t="n">
        <x:v>14110000</x:v>
      </x:c>
      <x:c r="L1509" s="36" t="n">
        <x:v>2011833.02</x:v>
      </x:c>
      <x:c r="M1509" s="38" t="n">
        <x:v>2.6639288158795345</x:v>
      </x:c>
      <x:c r="N1509" s="36" t="n">
        <x:v>14110000</x:v>
      </x:c>
    </x:row>
    <x:row r="1510" ht="20" customHeight="1">
      <x:c r="C1510" s="1" t="n">
        <x:v>3</x:v>
      </x:c>
      <x:c r="D1510" s="1" t="n">
        <x:v>8</x:v>
      </x:c>
      <x:c r="E1510" s="1" t="n">
        <x:v>33</x:v>
      </x:c>
      <x:c r="F1510" s="32" t="n">
        <x:v>47284</x:v>
      </x:c>
      <x:c r="G1510" s="36" t="n">
        <x:v>14110000</x:v>
      </x:c>
      <x:c r="H1510" s="36" t="n">
        <x:v>0</x:v>
      </x:c>
      <x:c r="I1510" s="36" t="n">
        <x:v>0</x:v>
      </x:c>
      <x:c r="J1510" s="36" t="n">
        <x:v>0</x:v>
      </x:c>
      <x:c r="K1510" s="36" t="n">
        <x:v>14110000</x:v>
      </x:c>
      <x:c r="L1510" s="36" t="n">
        <x:v>2088365.39</x:v>
      </x:c>
      <x:c r="M1510" s="38" t="n">
        <x:v>2.74880219028063</x:v>
      </x:c>
      <x:c r="N1510" s="36" t="n">
        <x:v>14110000</x:v>
      </x:c>
    </x:row>
    <x:row r="1511" ht="20" customHeight="1">
      <x:c r="C1511" s="1" t="n">
        <x:v>3</x:v>
      </x:c>
      <x:c r="D1511" s="1" t="n">
        <x:v>8</x:v>
      </x:c>
      <x:c r="E1511" s="1" t="n">
        <x:v>34</x:v>
      </x:c>
      <x:c r="F1511" s="32" t="n">
        <x:v>47315</x:v>
      </x:c>
      <x:c r="G1511" s="36" t="n">
        <x:v>14110000</x:v>
      </x:c>
      <x:c r="H1511" s="36" t="n">
        <x:v>0</x:v>
      </x:c>
      <x:c r="I1511" s="36" t="n">
        <x:v>0</x:v>
      </x:c>
      <x:c r="J1511" s="36" t="n">
        <x:v>0</x:v>
      </x:c>
      <x:c r="K1511" s="36" t="n">
        <x:v>14110000</x:v>
      </x:c>
      <x:c r="L1511" s="36" t="n">
        <x:v>2165220.6</x:v>
      </x:c>
      <x:c r="M1511" s="38" t="n">
        <x:v>2.833675564681725</x:v>
      </x:c>
      <x:c r="N1511" s="36" t="n">
        <x:v>14110000</x:v>
      </x:c>
    </x:row>
    <x:row r="1512" ht="20" customHeight="1">
      <x:c r="C1512" s="1" t="n">
        <x:v>3</x:v>
      </x:c>
      <x:c r="D1512" s="1" t="n">
        <x:v>8</x:v>
      </x:c>
      <x:c r="E1512" s="1" t="n">
        <x:v>35</x:v>
      </x:c>
      <x:c r="F1512" s="32" t="n">
        <x:v>47345</x:v>
      </x:c>
      <x:c r="G1512" s="36" t="n">
        <x:v>14110000</x:v>
      </x:c>
      <x:c r="H1512" s="36" t="n">
        <x:v>0</x:v>
      </x:c>
      <x:c r="I1512" s="36" t="n">
        <x:v>0</x:v>
      </x:c>
      <x:c r="J1512" s="36" t="n">
        <x:v>0</x:v>
      </x:c>
      <x:c r="K1512" s="36" t="n">
        <x:v>14110000</x:v>
      </x:c>
      <x:c r="L1512" s="36" t="n">
        <x:v>2242398.65</x:v>
      </x:c>
      <x:c r="M1512" s="38" t="n">
        <x:v>2.915811088295688</x:v>
      </x:c>
      <x:c r="N1512" s="36" t="n">
        <x:v>14110000</x:v>
      </x:c>
    </x:row>
    <x:row r="1513" ht="20" customHeight="1">
      <x:c r="C1513" s="1" t="n">
        <x:v>3</x:v>
      </x:c>
      <x:c r="D1513" s="1" t="n">
        <x:v>8</x:v>
      </x:c>
      <x:c r="E1513" s="1" t="n">
        <x:v>36</x:v>
      </x:c>
      <x:c r="F1513" s="32" t="n">
        <x:v>47378</x:v>
      </x:c>
      <x:c r="G1513" s="36" t="n">
        <x:v>14110000</x:v>
      </x:c>
      <x:c r="H1513" s="36" t="n">
        <x:v>0</x:v>
      </x:c>
      <x:c r="I1513" s="36" t="n">
        <x:v>0</x:v>
      </x:c>
      <x:c r="J1513" s="36" t="n">
        <x:v>0</x:v>
      </x:c>
      <x:c r="K1513" s="36" t="n">
        <x:v>14110000</x:v>
      </x:c>
      <x:c r="L1513" s="36" t="n">
        <x:v>2319899.54</x:v>
      </x:c>
      <x:c r="M1513" s="38" t="n">
        <x:v>3.0061601642710474</x:v>
      </x:c>
      <x:c r="N1513" s="36" t="n">
        <x:v>14110000</x:v>
      </x:c>
    </x:row>
    <x:row r="1514" ht="20" customHeight="1">
      <x:c r="C1514" s="1" t="n">
        <x:v>3</x:v>
      </x:c>
      <x:c r="D1514" s="1" t="n">
        <x:v>8</x:v>
      </x:c>
      <x:c r="E1514" s="1" t="n">
        <x:v>37</x:v>
      </x:c>
      <x:c r="F1514" s="32" t="n">
        <x:v>47406</x:v>
      </x:c>
      <x:c r="G1514" s="36" t="n">
        <x:v>14110000</x:v>
      </x:c>
      <x:c r="H1514" s="36" t="n">
        <x:v>0</x:v>
      </x:c>
      <x:c r="I1514" s="36" t="n">
        <x:v>0</x:v>
      </x:c>
      <x:c r="J1514" s="36" t="n">
        <x:v>0</x:v>
      </x:c>
      <x:c r="K1514" s="36" t="n">
        <x:v>14110000</x:v>
      </x:c>
      <x:c r="L1514" s="36" t="n">
        <x:v>2397723.27</x:v>
      </x:c>
      <x:c r="M1514" s="38" t="n">
        <x:v>3.082819986310746</x:v>
      </x:c>
      <x:c r="N1514" s="36" t="n">
        <x:v>14110000</x:v>
      </x:c>
    </x:row>
    <x:row r="1515" ht="20" customHeight="1">
      <x:c r="C1515" s="1" t="n">
        <x:v>3</x:v>
      </x:c>
      <x:c r="D1515" s="1" t="n">
        <x:v>8</x:v>
      </x:c>
      <x:c r="E1515" s="1" t="n">
        <x:v>38</x:v>
      </x:c>
      <x:c r="F1515" s="32" t="n">
        <x:v>47437</x:v>
      </x:c>
      <x:c r="G1515" s="36" t="n">
        <x:v>14110000</x:v>
      </x:c>
      <x:c r="H1515" s="36" t="n">
        <x:v>0</x:v>
      </x:c>
      <x:c r="I1515" s="36" t="n">
        <x:v>0</x:v>
      </x:c>
      <x:c r="J1515" s="36" t="n">
        <x:v>0</x:v>
      </x:c>
      <x:c r="K1515" s="36" t="n">
        <x:v>14110000</x:v>
      </x:c>
      <x:c r="L1515" s="36" t="n">
        <x:v>2475869.84</x:v>
      </x:c>
      <x:c r="M1515" s="38" t="n">
        <x:v>3.167693360711841</x:v>
      </x:c>
      <x:c r="N1515" s="36" t="n">
        <x:v>14110000</x:v>
      </x:c>
    </x:row>
    <x:row r="1516" ht="20" customHeight="1">
      <x:c r="C1516" s="1" t="n">
        <x:v>3</x:v>
      </x:c>
      <x:c r="D1516" s="1" t="n">
        <x:v>8</x:v>
      </x:c>
      <x:c r="E1516" s="1" t="n">
        <x:v>39</x:v>
      </x:c>
      <x:c r="F1516" s="32" t="n">
        <x:v>47469</x:v>
      </x:c>
      <x:c r="G1516" s="36" t="n">
        <x:v>14110000</x:v>
      </x:c>
      <x:c r="H1516" s="36" t="n">
        <x:v>0</x:v>
      </x:c>
      <x:c r="I1516" s="36" t="n">
        <x:v>0</x:v>
      </x:c>
      <x:c r="J1516" s="36" t="n">
        <x:v>0</x:v>
      </x:c>
      <x:c r="K1516" s="36" t="n">
        <x:v>14110000</x:v>
      </x:c>
      <x:c r="L1516" s="36" t="n">
        <x:v>2554339.25</x:v>
      </x:c>
      <x:c r="M1516" s="38" t="n">
        <x:v>3.2553045859000687</x:v>
      </x:c>
      <x:c r="N1516" s="36" t="n">
        <x:v>14110000</x:v>
      </x:c>
    </x:row>
    <x:row r="1517" ht="20" customHeight="1">
      <x:c r="C1517" s="1" t="n">
        <x:v>3</x:v>
      </x:c>
      <x:c r="D1517" s="1" t="n">
        <x:v>8</x:v>
      </x:c>
      <x:c r="E1517" s="1" t="n">
        <x:v>40</x:v>
      </x:c>
      <x:c r="F1517" s="32" t="n">
        <x:v>47498</x:v>
      </x:c>
      <x:c r="G1517" s="36" t="n">
        <x:v>14110000</x:v>
      </x:c>
      <x:c r="H1517" s="36" t="n">
        <x:v>0</x:v>
      </x:c>
      <x:c r="I1517" s="36" t="n">
        <x:v>0</x:v>
      </x:c>
      <x:c r="J1517" s="36" t="n">
        <x:v>0</x:v>
      </x:c>
      <x:c r="K1517" s="36" t="n">
        <x:v>14110000</x:v>
      </x:c>
      <x:c r="L1517" s="36" t="n">
        <x:v>2633131.5</x:v>
      </x:c>
      <x:c r="M1517" s="38" t="n">
        <x:v>3.3347022587268995</x:v>
      </x:c>
      <x:c r="N1517" s="36" t="n">
        <x:v>14110000</x:v>
      </x:c>
    </x:row>
    <x:row r="1518" ht="20" customHeight="1">
      <x:c r="C1518" s="1" t="n">
        <x:v>3</x:v>
      </x:c>
      <x:c r="D1518" s="1" t="n">
        <x:v>8</x:v>
      </x:c>
      <x:c r="E1518" s="1" t="n">
        <x:v>41</x:v>
      </x:c>
      <x:c r="F1518" s="32" t="n">
        <x:v>47529</x:v>
      </x:c>
      <x:c r="G1518" s="36" t="n">
        <x:v>14110000</x:v>
      </x:c>
      <x:c r="H1518" s="36" t="n">
        <x:v>0</x:v>
      </x:c>
      <x:c r="I1518" s="36" t="n">
        <x:v>0</x:v>
      </x:c>
      <x:c r="J1518" s="36" t="n">
        <x:v>0</x:v>
      </x:c>
      <x:c r="K1518" s="36" t="n">
        <x:v>14110000</x:v>
      </x:c>
      <x:c r="L1518" s="36" t="n">
        <x:v>2712246.6</x:v>
      </x:c>
      <x:c r="M1518" s="38" t="n">
        <x:v>3.4195756331279945</x:v>
      </x:c>
      <x:c r="N1518" s="36" t="n">
        <x:v>14110000</x:v>
      </x:c>
    </x:row>
    <x:row r="1519" ht="20" customHeight="1">
      <x:c r="C1519" s="1" t="n">
        <x:v>3</x:v>
      </x:c>
      <x:c r="D1519" s="1" t="n">
        <x:v>8</x:v>
      </x:c>
      <x:c r="E1519" s="1" t="n">
        <x:v>42</x:v>
      </x:c>
      <x:c r="F1519" s="32" t="n">
        <x:v>47557</x:v>
      </x:c>
      <x:c r="G1519" s="36" t="n">
        <x:v>14110000</x:v>
      </x:c>
      <x:c r="H1519" s="36" t="n">
        <x:v>0</x:v>
      </x:c>
      <x:c r="I1519" s="36" t="n">
        <x:v>0</x:v>
      </x:c>
      <x:c r="J1519" s="36" t="n">
        <x:v>0</x:v>
      </x:c>
      <x:c r="K1519" s="36" t="n">
        <x:v>14110000</x:v>
      </x:c>
      <x:c r="L1519" s="36" t="n">
        <x:v>2791684.54</x:v>
      </x:c>
      <x:c r="M1519" s="38" t="n">
        <x:v>3.4962354551676933</x:v>
      </x:c>
      <x:c r="N1519" s="36" t="n">
        <x:v>14110000</x:v>
      </x:c>
    </x:row>
    <x:row r="1520" ht="20" customHeight="1">
      <x:c r="C1520" s="1" t="n">
        <x:v>3</x:v>
      </x:c>
      <x:c r="D1520" s="1" t="n">
        <x:v>8</x:v>
      </x:c>
      <x:c r="E1520" s="1" t="n">
        <x:v>43</x:v>
      </x:c>
      <x:c r="F1520" s="32" t="n">
        <x:v>47588</x:v>
      </x:c>
      <x:c r="G1520" s="36" t="n">
        <x:v>14110000</x:v>
      </x:c>
      <x:c r="H1520" s="36" t="n">
        <x:v>0</x:v>
      </x:c>
      <x:c r="I1520" s="36" t="n">
        <x:v>0</x:v>
      </x:c>
      <x:c r="J1520" s="36" t="n">
        <x:v>0</x:v>
      </x:c>
      <x:c r="K1520" s="36" t="n">
        <x:v>14110000</x:v>
      </x:c>
      <x:c r="L1520" s="36" t="n">
        <x:v>2871445.32</x:v>
      </x:c>
      <x:c r="M1520" s="38" t="n">
        <x:v>3.5811088295687883</x:v>
      </x:c>
      <x:c r="N1520" s="36" t="n">
        <x:v>14110000</x:v>
      </x:c>
    </x:row>
    <x:row r="1521" ht="20" customHeight="1">
      <x:c r="C1521" s="1" t="n">
        <x:v>3</x:v>
      </x:c>
      <x:c r="D1521" s="1" t="n">
        <x:v>8</x:v>
      </x:c>
      <x:c r="E1521" s="1" t="n">
        <x:v>44</x:v>
      </x:c>
      <x:c r="F1521" s="32" t="n">
        <x:v>47618</x:v>
      </x:c>
      <x:c r="G1521" s="36" t="n">
        <x:v>14110000</x:v>
      </x:c>
      <x:c r="H1521" s="36" t="n">
        <x:v>0</x:v>
      </x:c>
      <x:c r="I1521" s="36" t="n">
        <x:v>0</x:v>
      </x:c>
      <x:c r="J1521" s="36" t="n">
        <x:v>0</x:v>
      </x:c>
      <x:c r="K1521" s="36" t="n">
        <x:v>14110000</x:v>
      </x:c>
      <x:c r="L1521" s="36" t="n">
        <x:v>2951528.94</x:v>
      </x:c>
      <x:c r="M1521" s="38" t="n">
        <x:v>3.6632443531827517</x:v>
      </x:c>
      <x:c r="N1521" s="36" t="n">
        <x:v>14110000</x:v>
      </x:c>
    </x:row>
    <x:row r="1522" ht="20" customHeight="1">
      <x:c r="C1522" s="1" t="n">
        <x:v>3</x:v>
      </x:c>
      <x:c r="D1522" s="1" t="n">
        <x:v>8</x:v>
      </x:c>
      <x:c r="E1522" s="1" t="n">
        <x:v>45</x:v>
      </x:c>
      <x:c r="F1522" s="32" t="n">
        <x:v>47651</x:v>
      </x:c>
      <x:c r="G1522" s="36" t="n">
        <x:v>14110000</x:v>
      </x:c>
      <x:c r="H1522" s="36" t="n">
        <x:v>0</x:v>
      </x:c>
      <x:c r="I1522" s="36" t="n">
        <x:v>0</x:v>
      </x:c>
      <x:c r="J1522" s="36" t="n">
        <x:v>0</x:v>
      </x:c>
      <x:c r="K1522" s="36" t="n">
        <x:v>14110000</x:v>
      </x:c>
      <x:c r="L1522" s="36" t="n">
        <x:v>3031935.4</x:v>
      </x:c>
      <x:c r="M1522" s="38" t="n">
        <x:v>3.753593429158111</x:v>
      </x:c>
      <x:c r="N1522" s="36" t="n">
        <x:v>14110000</x:v>
      </x:c>
    </x:row>
    <x:row r="1523" ht="20" customHeight="1">
      <x:c r="C1523" s="1" t="n">
        <x:v>3</x:v>
      </x:c>
      <x:c r="D1523" s="1" t="n">
        <x:v>8</x:v>
      </x:c>
      <x:c r="E1523" s="1" t="n">
        <x:v>46</x:v>
      </x:c>
      <x:c r="F1523" s="32" t="n">
        <x:v>47679</x:v>
      </x:c>
      <x:c r="G1523" s="36" t="n">
        <x:v>14110000</x:v>
      </x:c>
      <x:c r="H1523" s="36" t="n">
        <x:v>0</x:v>
      </x:c>
      <x:c r="I1523" s="36" t="n">
        <x:v>0</x:v>
      </x:c>
      <x:c r="J1523" s="36" t="n">
        <x:v>0</x:v>
      </x:c>
      <x:c r="K1523" s="36" t="n">
        <x:v>14110000</x:v>
      </x:c>
      <x:c r="L1523" s="36" t="n">
        <x:v>3112664.7</x:v>
      </x:c>
      <x:c r="M1523" s="38" t="n">
        <x:v>3.8302532511978096</x:v>
      </x:c>
      <x:c r="N1523" s="36" t="n">
        <x:v>14110000</x:v>
      </x:c>
    </x:row>
    <x:row r="1524" ht="20" customHeight="1">
      <x:c r="C1524" s="1" t="n">
        <x:v>3</x:v>
      </x:c>
      <x:c r="D1524" s="1" t="n">
        <x:v>8</x:v>
      </x:c>
      <x:c r="E1524" s="1" t="n">
        <x:v>47</x:v>
      </x:c>
      <x:c r="F1524" s="32" t="n">
        <x:v>47710</x:v>
      </x:c>
      <x:c r="G1524" s="36" t="n">
        <x:v>14110000</x:v>
      </x:c>
      <x:c r="H1524" s="36" t="n">
        <x:v>0</x:v>
      </x:c>
      <x:c r="I1524" s="36" t="n">
        <x:v>0</x:v>
      </x:c>
      <x:c r="J1524" s="36" t="n">
        <x:v>0</x:v>
      </x:c>
      <x:c r="K1524" s="36" t="n">
        <x:v>14110000</x:v>
      </x:c>
      <x:c r="L1524" s="36" t="n">
        <x:v>3193716.84</x:v>
      </x:c>
      <x:c r="M1524" s="38" t="n">
        <x:v>3.915126625598905</x:v>
      </x:c>
      <x:c r="N1524" s="36" t="n">
        <x:v>14110000</x:v>
      </x:c>
    </x:row>
    <x:row r="1525" ht="20" customHeight="1">
      <x:c r="C1525" s="1" t="n">
        <x:v>3</x:v>
      </x:c>
      <x:c r="D1525" s="1" t="n">
        <x:v>8</x:v>
      </x:c>
      <x:c r="E1525" s="1" t="n">
        <x:v>48</x:v>
      </x:c>
      <x:c r="F1525" s="32" t="n">
        <x:v>47742</x:v>
      </x:c>
      <x:c r="G1525" s="36" t="n">
        <x:v>14110000</x:v>
      </x:c>
      <x:c r="H1525" s="36" t="n">
        <x:v>0</x:v>
      </x:c>
      <x:c r="I1525" s="36" t="n">
        <x:v>0</x:v>
      </x:c>
      <x:c r="J1525" s="36" t="n">
        <x:v>0</x:v>
      </x:c>
      <x:c r="K1525" s="36" t="n">
        <x:v>14110000</x:v>
      </x:c>
      <x:c r="L1525" s="36" t="n">
        <x:v>3275091.82</x:v>
      </x:c>
      <x:c r="M1525" s="38" t="n">
        <x:v>4.002737850787132</x:v>
      </x:c>
      <x:c r="N1525" s="36" t="n">
        <x:v>14110000</x:v>
      </x:c>
    </x:row>
    <x:row r="1526" ht="20" customHeight="1">
      <x:c r="C1526" s="1" t="n">
        <x:v>3</x:v>
      </x:c>
      <x:c r="D1526" s="1" t="n">
        <x:v>8</x:v>
      </x:c>
      <x:c r="E1526" s="1" t="n">
        <x:v>49</x:v>
      </x:c>
      <x:c r="F1526" s="32" t="n">
        <x:v>47771</x:v>
      </x:c>
      <x:c r="G1526" s="36" t="n">
        <x:v>14110000</x:v>
      </x:c>
      <x:c r="H1526" s="36" t="n">
        <x:v>0</x:v>
      </x:c>
      <x:c r="I1526" s="36" t="n">
        <x:v>0</x:v>
      </x:c>
      <x:c r="J1526" s="36" t="n">
        <x:v>0</x:v>
      </x:c>
      <x:c r="K1526" s="36" t="n">
        <x:v>14110000</x:v>
      </x:c>
      <x:c r="L1526" s="36" t="n">
        <x:v>3356789.64</x:v>
      </x:c>
      <x:c r="M1526" s="38" t="n">
        <x:v>4.082135523613963</x:v>
      </x:c>
      <x:c r="N1526" s="36" t="n">
        <x:v>14110000</x:v>
      </x:c>
    </x:row>
    <x:row r="1527" ht="20" customHeight="1">
      <x:c r="C1527" s="1" t="n">
        <x:v>3</x:v>
      </x:c>
      <x:c r="D1527" s="1" t="n">
        <x:v>8</x:v>
      </x:c>
      <x:c r="E1527" s="1" t="n">
        <x:v>50</x:v>
      </x:c>
      <x:c r="F1527" s="32" t="n">
        <x:v>47802</x:v>
      </x:c>
      <x:c r="G1527" s="36" t="n">
        <x:v>14110000</x:v>
      </x:c>
      <x:c r="H1527" s="36" t="n">
        <x:v>0</x:v>
      </x:c>
      <x:c r="I1527" s="36" t="n">
        <x:v>0</x:v>
      </x:c>
      <x:c r="J1527" s="36" t="n">
        <x:v>0</x:v>
      </x:c>
      <x:c r="K1527" s="36" t="n">
        <x:v>14110000</x:v>
      </x:c>
      <x:c r="L1527" s="36" t="n">
        <x:v>3438810.3</x:v>
      </x:c>
      <x:c r="M1527" s="38" t="n">
        <x:v>4.167008898015058</x:v>
      </x:c>
      <x:c r="N1527" s="36" t="n">
        <x:v>14110000</x:v>
      </x:c>
    </x:row>
    <x:row r="1528" ht="20" customHeight="1">
      <x:c r="C1528" s="1" t="n">
        <x:v>3</x:v>
      </x:c>
      <x:c r="D1528" s="1" t="n">
        <x:v>8</x:v>
      </x:c>
      <x:c r="E1528" s="1" t="n">
        <x:v>51</x:v>
      </x:c>
      <x:c r="F1528" s="32" t="n">
        <x:v>47833</x:v>
      </x:c>
      <x:c r="G1528" s="36" t="n">
        <x:v>14110000</x:v>
      </x:c>
      <x:c r="H1528" s="36" t="n">
        <x:v>0</x:v>
      </x:c>
      <x:c r="I1528" s="36" t="n">
        <x:v>0</x:v>
      </x:c>
      <x:c r="J1528" s="36" t="n">
        <x:v>0</x:v>
      </x:c>
      <x:c r="K1528" s="36" t="n">
        <x:v>14110000</x:v>
      </x:c>
      <x:c r="L1528" s="36" t="n">
        <x:v>3521153.8</x:v>
      </x:c>
      <x:c r="M1528" s="38" t="n">
        <x:v>4.251882272416153</x:v>
      </x:c>
      <x:c r="N1528" s="36" t="n">
        <x:v>14110000</x:v>
      </x:c>
    </x:row>
    <x:row r="1529" ht="20" customHeight="1">
      <x:c r="C1529" s="1" t="n">
        <x:v>3</x:v>
      </x:c>
      <x:c r="D1529" s="1" t="n">
        <x:v>8</x:v>
      </x:c>
      <x:c r="E1529" s="1" t="n">
        <x:v>52</x:v>
      </x:c>
      <x:c r="F1529" s="32" t="n">
        <x:v>47863</x:v>
      </x:c>
      <x:c r="G1529" s="36" t="n">
        <x:v>14110000</x:v>
      </x:c>
      <x:c r="H1529" s="36" t="n">
        <x:v>0</x:v>
      </x:c>
      <x:c r="I1529" s="36" t="n">
        <x:v>0</x:v>
      </x:c>
      <x:c r="J1529" s="36" t="n">
        <x:v>0</x:v>
      </x:c>
      <x:c r="K1529" s="36" t="n">
        <x:v>14110000</x:v>
      </x:c>
      <x:c r="L1529" s="36" t="n">
        <x:v>3603820.14</x:v>
      </x:c>
      <x:c r="M1529" s="38" t="n">
        <x:v>4.334017796030117</x:v>
      </x:c>
      <x:c r="N1529" s="36" t="n">
        <x:v>14110000</x:v>
      </x:c>
    </x:row>
    <x:row r="1530" ht="20" customHeight="1">
      <x:c r="C1530" s="1" t="n">
        <x:v>3</x:v>
      </x:c>
      <x:c r="D1530" s="1" t="n">
        <x:v>8</x:v>
      </x:c>
      <x:c r="E1530" s="1" t="n">
        <x:v>53</x:v>
      </x:c>
      <x:c r="F1530" s="32" t="n">
        <x:v>47897</x:v>
      </x:c>
      <x:c r="G1530" s="36" t="n">
        <x:v>14110000</x:v>
      </x:c>
      <x:c r="H1530" s="36" t="n">
        <x:v>0</x:v>
      </x:c>
      <x:c r="I1530" s="36" t="n">
        <x:v>0</x:v>
      </x:c>
      <x:c r="J1530" s="36" t="n">
        <x:v>0</x:v>
      </x:c>
      <x:c r="K1530" s="36" t="n">
        <x:v>14110000</x:v>
      </x:c>
      <x:c r="L1530" s="36" t="n">
        <x:v>3686809.32</x:v>
      </x:c>
      <x:c r="M1530" s="38" t="n">
        <x:v>4.427104722792608</x:v>
      </x:c>
      <x:c r="N1530" s="36" t="n">
        <x:v>14110000</x:v>
      </x:c>
    </x:row>
    <x:row r="1531" ht="20" customHeight="1">
      <x:c r="C1531" s="1" t="n">
        <x:v>3</x:v>
      </x:c>
      <x:c r="D1531" s="1" t="n">
        <x:v>8</x:v>
      </x:c>
      <x:c r="E1531" s="1" t="n">
        <x:v>54</x:v>
      </x:c>
      <x:c r="F1531" s="32" t="n">
        <x:v>47924</x:v>
      </x:c>
      <x:c r="G1531" s="36" t="n">
        <x:v>14110000</x:v>
      </x:c>
      <x:c r="H1531" s="36" t="n">
        <x:v>0</x:v>
      </x:c>
      <x:c r="I1531" s="36" t="n">
        <x:v>0</x:v>
      </x:c>
      <x:c r="J1531" s="36" t="n">
        <x:v>0</x:v>
      </x:c>
      <x:c r="K1531" s="36" t="n">
        <x:v>14110000</x:v>
      </x:c>
      <x:c r="L1531" s="36" t="n">
        <x:v>3770121.34</x:v>
      </x:c>
      <x:c r="M1531" s="38" t="n">
        <x:v>4.501026694045175</x:v>
      </x:c>
      <x:c r="N1531" s="36" t="n">
        <x:v>14110000</x:v>
      </x:c>
    </x:row>
    <x:row r="1532" ht="20" customHeight="1">
      <x:c r="C1532" s="1" t="n">
        <x:v>3</x:v>
      </x:c>
      <x:c r="D1532" s="1" t="n">
        <x:v>8</x:v>
      </x:c>
      <x:c r="E1532" s="1" t="n">
        <x:v>55</x:v>
      </x:c>
      <x:c r="F1532" s="32" t="n">
        <x:v>47953</x:v>
      </x:c>
      <x:c r="G1532" s="36" t="n">
        <x:v>14110000</x:v>
      </x:c>
      <x:c r="H1532" s="36" t="n">
        <x:v>0</x:v>
      </x:c>
      <x:c r="I1532" s="36" t="n">
        <x:v>0</x:v>
      </x:c>
      <x:c r="J1532" s="36" t="n">
        <x:v>0</x:v>
      </x:c>
      <x:c r="K1532" s="36" t="n">
        <x:v>14110000</x:v>
      </x:c>
      <x:c r="L1532" s="36" t="n">
        <x:v>3853756.21</x:v>
      </x:c>
      <x:c r="M1532" s="38" t="n">
        <x:v>4.5804243668720055</x:v>
      </x:c>
      <x:c r="N1532" s="36" t="n">
        <x:v>14110000</x:v>
      </x:c>
    </x:row>
    <x:row r="1533" ht="20" customHeight="1">
      <x:c r="C1533" s="1" t="n">
        <x:v>3</x:v>
      </x:c>
      <x:c r="D1533" s="1" t="n">
        <x:v>8</x:v>
      </x:c>
      <x:c r="E1533" s="1" t="n">
        <x:v>56</x:v>
      </x:c>
      <x:c r="F1533" s="32" t="n">
        <x:v>47983</x:v>
      </x:c>
      <x:c r="G1533" s="36" t="n">
        <x:v>14110000</x:v>
      </x:c>
      <x:c r="H1533" s="36" t="n">
        <x:v>0</x:v>
      </x:c>
      <x:c r="I1533" s="36" t="n">
        <x:v>0</x:v>
      </x:c>
      <x:c r="J1533" s="36" t="n">
        <x:v>0</x:v>
      </x:c>
      <x:c r="K1533" s="36" t="n">
        <x:v>14110000</x:v>
      </x:c>
      <x:c r="L1533" s="36" t="n">
        <x:v>3937713.92</x:v>
      </x:c>
      <x:c r="M1533" s="38" t="n">
        <x:v>4.662559890485968</x:v>
      </x:c>
      <x:c r="N1533" s="36" t="n">
        <x:v>14110000</x:v>
      </x:c>
    </x:row>
    <x:row r="1534" ht="20" customHeight="1">
      <x:c r="C1534" s="1" t="n">
        <x:v>3</x:v>
      </x:c>
      <x:c r="D1534" s="1" t="n">
        <x:v>8</x:v>
      </x:c>
      <x:c r="E1534" s="1" t="n">
        <x:v>57</x:v>
      </x:c>
      <x:c r="F1534" s="32" t="n">
        <x:v>48015</x:v>
      </x:c>
      <x:c r="G1534" s="36" t="n">
        <x:v>14110000</x:v>
      </x:c>
      <x:c r="H1534" s="36" t="n">
        <x:v>0</x:v>
      </x:c>
      <x:c r="I1534" s="36" t="n">
        <x:v>0</x:v>
      </x:c>
      <x:c r="J1534" s="36" t="n">
        <x:v>0</x:v>
      </x:c>
      <x:c r="K1534" s="36" t="n">
        <x:v>14110000</x:v>
      </x:c>
      <x:c r="L1534" s="36" t="n">
        <x:v>4021994.47</x:v>
      </x:c>
      <x:c r="M1534" s="38" t="n">
        <x:v>4.7501711156741955</x:v>
      </x:c>
      <x:c r="N1534" s="36" t="n">
        <x:v>14110000</x:v>
      </x:c>
    </x:row>
    <x:row r="1535" ht="20" customHeight="1">
      <x:c r="C1535" s="1" t="n">
        <x:v>3</x:v>
      </x:c>
      <x:c r="D1535" s="1" t="n">
        <x:v>8</x:v>
      </x:c>
      <x:c r="E1535" s="1" t="n">
        <x:v>58</x:v>
      </x:c>
      <x:c r="F1535" s="32" t="n">
        <x:v>48044</x:v>
      </x:c>
      <x:c r="G1535" s="36" t="n">
        <x:v>14110000</x:v>
      </x:c>
      <x:c r="H1535" s="36" t="n">
        <x:v>0</x:v>
      </x:c>
      <x:c r="I1535" s="36" t="n">
        <x:v>0</x:v>
      </x:c>
      <x:c r="J1535" s="36" t="n">
        <x:v>0</x:v>
      </x:c>
      <x:c r="K1535" s="36" t="n">
        <x:v>14110000</x:v>
      </x:c>
      <x:c r="L1535" s="36" t="n">
        <x:v>4106597.86</x:v>
      </x:c>
      <x:c r="M1535" s="38" t="n">
        <x:v>4.829568788501026</x:v>
      </x:c>
      <x:c r="N1535" s="36" t="n">
        <x:v>14110000</x:v>
      </x:c>
    </x:row>
    <x:row r="1536" ht="20" customHeight="1">
      <x:c r="C1536" s="1" t="n">
        <x:v>3</x:v>
      </x:c>
      <x:c r="D1536" s="1" t="n">
        <x:v>8</x:v>
      </x:c>
      <x:c r="E1536" s="1" t="n">
        <x:v>59</x:v>
      </x:c>
      <x:c r="F1536" s="32" t="n">
        <x:v>48075</x:v>
      </x:c>
      <x:c r="G1536" s="36" t="n">
        <x:v>14110000</x:v>
      </x:c>
      <x:c r="H1536" s="36" t="n">
        <x:v>0</x:v>
      </x:c>
      <x:c r="I1536" s="36" t="n">
        <x:v>0</x:v>
      </x:c>
      <x:c r="J1536" s="36" t="n">
        <x:v>0</x:v>
      </x:c>
      <x:c r="K1536" s="36" t="n">
        <x:v>14110000</x:v>
      </x:c>
      <x:c r="L1536" s="36" t="n">
        <x:v>4191524.09</x:v>
      </x:c>
      <x:c r="M1536" s="38" t="n">
        <x:v>4.914442162902122</x:v>
      </x:c>
      <x:c r="N1536" s="36" t="n">
        <x:v>14110000</x:v>
      </x:c>
    </x:row>
    <x:row r="1537" ht="20" customHeight="1">
      <x:c r="C1537" s="1" t="n">
        <x:v>3</x:v>
      </x:c>
      <x:c r="D1537" s="1" t="n">
        <x:v>8</x:v>
      </x:c>
      <x:c r="E1537" s="1" t="n">
        <x:v>60</x:v>
      </x:c>
      <x:c r="F1537" s="32" t="n">
        <x:v>48106</x:v>
      </x:c>
      <x:c r="G1537" s="36" t="n">
        <x:v>14110000</x:v>
      </x:c>
      <x:c r="H1537" s="36" t="n">
        <x:v>0</x:v>
      </x:c>
      <x:c r="I1537" s="36" t="n">
        <x:v>0</x:v>
      </x:c>
      <x:c r="J1537" s="36" t="n">
        <x:v>0</x:v>
      </x:c>
      <x:c r="K1537" s="36" t="n">
        <x:v>14110000</x:v>
      </x:c>
      <x:c r="L1537" s="36" t="n">
        <x:v>4276773.16</x:v>
      </x:c>
      <x:c r="M1537" s="38" t="n">
        <x:v>4.999315537303217</x:v>
      </x:c>
      <x:c r="N1537" s="36" t="n">
        <x:v>14110000</x:v>
      </x:c>
    </x:row>
    <x:row r="1538" ht="20" customHeight="1">
      <x:c r="C1538" s="1" t="n">
        <x:v>3</x:v>
      </x:c>
      <x:c r="D1538" s="1" t="n">
        <x:v>8</x:v>
      </x:c>
      <x:c r="E1538" s="1" t="n">
        <x:v>61</x:v>
      </x:c>
      <x:c r="F1538" s="32" t="n">
        <x:v>48136</x:v>
      </x:c>
      <x:c r="G1538" s="36" t="n">
        <x:v>14110000</x:v>
      </x:c>
      <x:c r="H1538" s="36" t="n">
        <x:v>0</x:v>
      </x:c>
      <x:c r="I1538" s="36" t="n">
        <x:v>0</x:v>
      </x:c>
      <x:c r="J1538" s="36" t="n">
        <x:v>0</x:v>
      </x:c>
      <x:c r="K1538" s="36" t="n">
        <x:v>14110000</x:v>
      </x:c>
      <x:c r="L1538" s="36" t="n">
        <x:v>4362345.07</x:v>
      </x:c>
      <x:c r="M1538" s="38" t="n">
        <x:v>5.08145106091718</x:v>
      </x:c>
      <x:c r="N1538" s="36" t="n">
        <x:v>14110000</x:v>
      </x:c>
    </x:row>
    <x:row r="1539" ht="20" customHeight="1">
      <x:c r="C1539" s="1" t="n">
        <x:v>3</x:v>
      </x:c>
      <x:c r="D1539" s="1" t="n">
        <x:v>8</x:v>
      </x:c>
      <x:c r="E1539" s="1" t="n">
        <x:v>62</x:v>
      </x:c>
      <x:c r="F1539" s="32" t="n">
        <x:v>48169</x:v>
      </x:c>
      <x:c r="G1539" s="36" t="n">
        <x:v>14110000</x:v>
      </x:c>
      <x:c r="H1539" s="36" t="n">
        <x:v>0</x:v>
      </x:c>
      <x:c r="I1539" s="36" t="n">
        <x:v>0</x:v>
      </x:c>
      <x:c r="J1539" s="36" t="n">
        <x:v>0</x:v>
      </x:c>
      <x:c r="K1539" s="36" t="n">
        <x:v>14110000</x:v>
      </x:c>
      <x:c r="L1539" s="36" t="n">
        <x:v>4448239.82</x:v>
      </x:c>
      <x:c r="M1539" s="38" t="n">
        <x:v>5.171800136892539</x:v>
      </x:c>
      <x:c r="N1539" s="36" t="n">
        <x:v>14110000</x:v>
      </x:c>
    </x:row>
    <x:row r="1540" ht="20" customHeight="1">
      <x:c r="C1540" s="1" t="n">
        <x:v>3</x:v>
      </x:c>
      <x:c r="D1540" s="1" t="n">
        <x:v>8</x:v>
      </x:c>
      <x:c r="E1540" s="1" t="n">
        <x:v>63</x:v>
      </x:c>
      <x:c r="F1540" s="32" t="n">
        <x:v>48197</x:v>
      </x:c>
      <x:c r="G1540" s="36" t="n">
        <x:v>14110000</x:v>
      </x:c>
      <x:c r="H1540" s="36" t="n">
        <x:v>0</x:v>
      </x:c>
      <x:c r="I1540" s="36" t="n">
        <x:v>0</x:v>
      </x:c>
      <x:c r="J1540" s="36" t="n">
        <x:v>0</x:v>
      </x:c>
      <x:c r="K1540" s="36" t="n">
        <x:v>14110000</x:v>
      </x:c>
      <x:c r="L1540" s="36" t="n">
        <x:v>4534457.41</x:v>
      </x:c>
      <x:c r="M1540" s="38" t="n">
        <x:v>5.248459958932238</x:v>
      </x:c>
      <x:c r="N1540" s="36" t="n">
        <x:v>14110000</x:v>
      </x:c>
    </x:row>
    <x:row r="1541" ht="20" customHeight="1">
      <x:c r="C1541" s="1" t="n">
        <x:v>3</x:v>
      </x:c>
      <x:c r="D1541" s="1" t="n">
        <x:v>8</x:v>
      </x:c>
      <x:c r="E1541" s="1" t="n">
        <x:v>64</x:v>
      </x:c>
      <x:c r="F1541" s="32" t="n">
        <x:v>48228</x:v>
      </x:c>
      <x:c r="G1541" s="36" t="n">
        <x:v>14110000</x:v>
      </x:c>
      <x:c r="H1541" s="36" t="n">
        <x:v>0</x:v>
      </x:c>
      <x:c r="I1541" s="36" t="n">
        <x:v>0</x:v>
      </x:c>
      <x:c r="J1541" s="36" t="n">
        <x:v>0</x:v>
      </x:c>
      <x:c r="K1541" s="36" t="n">
        <x:v>14110000</x:v>
      </x:c>
      <x:c r="L1541" s="36" t="n">
        <x:v>4620997.84</x:v>
      </x:c>
      <x:c r="M1541" s="38" t="n">
        <x:v>5.333333333333333</x:v>
      </x:c>
      <x:c r="N1541" s="36" t="n">
        <x:v>14110000</x:v>
      </x:c>
    </x:row>
    <x:row r="1542" ht="20" customHeight="1">
      <x:c r="C1542" s="1" t="n">
        <x:v>3</x:v>
      </x:c>
      <x:c r="D1542" s="1" t="n">
        <x:v>8</x:v>
      </x:c>
      <x:c r="E1542" s="1" t="n">
        <x:v>65</x:v>
      </x:c>
      <x:c r="F1542" s="32" t="n">
        <x:v>48261</x:v>
      </x:c>
      <x:c r="G1542" s="36" t="n">
        <x:v>14110000</x:v>
      </x:c>
      <x:c r="H1542" s="36" t="n">
        <x:v>0</x:v>
      </x:c>
      <x:c r="I1542" s="36" t="n">
        <x:v>0</x:v>
      </x:c>
      <x:c r="J1542" s="36" t="n">
        <x:v>0</x:v>
      </x:c>
      <x:c r="K1542" s="36" t="n">
        <x:v>14110000</x:v>
      </x:c>
      <x:c r="L1542" s="36" t="n">
        <x:v>4707861.11</x:v>
      </x:c>
      <x:c r="M1542" s="38" t="n">
        <x:v>5.423682409308693</x:v>
      </x:c>
      <x:c r="N1542" s="36" t="n">
        <x:v>14110000</x:v>
      </x:c>
    </x:row>
    <x:row r="1543" ht="20" customHeight="1">
      <x:c r="C1543" s="1" t="n">
        <x:v>3</x:v>
      </x:c>
      <x:c r="D1543" s="1" t="n">
        <x:v>8</x:v>
      </x:c>
      <x:c r="E1543" s="1" t="n">
        <x:v>66</x:v>
      </x:c>
      <x:c r="F1543" s="32" t="n">
        <x:v>48288</x:v>
      </x:c>
      <x:c r="G1543" s="36" t="n">
        <x:v>14110000</x:v>
      </x:c>
      <x:c r="H1543" s="36" t="n">
        <x:v>0</x:v>
      </x:c>
      <x:c r="I1543" s="36" t="n">
        <x:v>0</x:v>
      </x:c>
      <x:c r="J1543" s="36" t="n">
        <x:v>0</x:v>
      </x:c>
      <x:c r="K1543" s="36" t="n">
        <x:v>14110000</x:v>
      </x:c>
      <x:c r="L1543" s="36" t="n">
        <x:v>4795047.22</x:v>
      </x:c>
      <x:c r="M1543" s="38" t="n">
        <x:v>5.49760438056126</x:v>
      </x:c>
      <x:c r="N1543" s="36" t="n">
        <x:v>14110000</x:v>
      </x:c>
    </x:row>
    <x:row r="1544" ht="20" customHeight="1">
      <x:c r="C1544" s="1" t="n">
        <x:v>3</x:v>
      </x:c>
      <x:c r="D1544" s="1" t="n">
        <x:v>8</x:v>
      </x:c>
      <x:c r="E1544" s="1" t="n">
        <x:v>67</x:v>
      </x:c>
      <x:c r="F1544" s="32" t="n">
        <x:v>48319</x:v>
      </x:c>
      <x:c r="G1544" s="36" t="n">
        <x:v>14110000</x:v>
      </x:c>
      <x:c r="H1544" s="36" t="n">
        <x:v>0</x:v>
      </x:c>
      <x:c r="I1544" s="36" t="n">
        <x:v>0</x:v>
      </x:c>
      <x:c r="J1544" s="36" t="n">
        <x:v>14110000</x:v>
      </x:c>
      <x:c r="K1544" s="36" t="n">
        <x:v>0</x:v>
      </x:c>
      <x:c r="L1544" s="36" t="n">
        <x:v>4882556.17</x:v>
      </x:c>
      <x:c r="M1544" s="38" t="n">
        <x:v>5.582477754962355</x:v>
      </x:c>
      <x:c r="N1544" s="36" t="n">
        <x:v>14110000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8" hidden="0" customWidth="1"/>
    <x:col min="4" max="4" width="34" hidden="0" customWidth="1"/>
    <x:col min="5" max="5" width="16" hidden="0" customWidth="1"/>
    <x:col min="6" max="6" width="9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Servicer-reported values (USD)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2"/>
      <x:c r="B5" s="2"/>
      <x:c r="C5" s="19" t="str">
        <x:v>Collection period</x:v>
      </x:c>
      <x:c r="D5" s="20" t="str">
        <x:v>Reported quantity</x:v>
      </x:c>
      <x:c r="E5" s="20" t="str">
        <x:v>Reported amount</x:v>
      </x:c>
      <x:c r="F5" s="21" t="str">
        <x:v>Original certificate URL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0" customHeight="1">
      <x:c r="A6" s="2"/>
      <x:c r="B6" s="2"/>
      <x:c r="C6" s="31" t="n">
        <x:v>45808</x:v>
      </x:c>
      <x:c r="D6" s="2" t="str">
        <x:v>servicing_fee</x:v>
      </x:c>
      <x:c r="E6" s="35" t="n">
        <x:v>1133885.77</x:v>
      </x:c>
      <x:c r="F6" s="2" t="str">
        <x:v>https://www.sec.gov/Archives/edgar/data/2063979/000206397925000010/a2025-2ex991061625.htm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0" customHeight="1">
      <x:c r="A7" s="2"/>
      <x:c r="B7" s="2"/>
      <x:c r="C7" s="31" t="n">
        <x:v>45808</x:v>
      </x:c>
      <x:c r="D7" s="2" t="str">
        <x:v>total_note_interest</x:v>
      </x:c>
      <x:c r="E7" s="35" t="n">
        <x:v>5297001.06</x:v>
      </x:c>
      <x:c r="F7" s="2" t="str">
        <x:v>https://www.sec.gov/Archives/edgar/data/2063979/000206397925000010/a2025-2ex991061625.htm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0" customHeight="1">
      <x:c r="A8" s="2"/>
      <x:c r="B8" s="2"/>
      <x:c r="C8" s="31" t="n">
        <x:v>45808</x:v>
      </x:c>
      <x:c r="D8" s="2" t="str">
        <x:v>total_note_principal</x:v>
      </x:c>
      <x:c r="E8" s="35" t="n">
        <x:v>46427732.44</x:v>
      </x:c>
      <x:c r="F8" s="2" t="str">
        <x:v>https://www.sec.gov/Archives/edgar/data/2063979/000206397925000010/a2025-2ex991061625.htm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0" customHeight="1">
      <x:c r="A9" s="2"/>
      <x:c r="B9" s="2"/>
      <x:c r="C9" s="31" t="n">
        <x:v>45808</x:v>
      </x:c>
      <x:c r="D9" s="2" t="str">
        <x:v>residual_distribution</x:v>
      </x:c>
      <x:c r="E9" s="35" t="n">
        <x:v>4226282.55</x:v>
      </x:c>
      <x:c r="F9" s="2" t="str">
        <x:v>https://www.sec.gov/Archives/edgar/data/2063979/000206397925000010/a2025-2ex991061625.htm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0" customHeight="1">
      <x:c r="A10" s="2"/>
      <x:c r="B10" s="2"/>
      <x:c r="C10" s="31" t="n">
        <x:v>45808</x:v>
      </x:c>
      <x:c r="D10" s="2" t="str">
        <x:v>reserve_deposit</x:v>
      </x:c>
      <x:c r="E10" s="35" t="n">
        <x:v>0</x:v>
      </x:c>
      <x:c r="F10" s="2" t="str">
        <x:v>https://www.sec.gov/Archives/edgar/data/2063979/000206397925000010/a2025-2ex991061625.htm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0" customHeight="1">
      <x:c r="A11" s="2"/>
      <x:c r="B11" s="2"/>
      <x:c r="C11" s="31" t="n">
        <x:v>45808</x:v>
      </x:c>
      <x:c r="D11" s="2" t="str">
        <x:v>reserve_end</x:v>
      </x:c>
      <x:c r="E11" s="35" t="n">
        <x:v>3526448.55</x:v>
      </x:c>
      <x:c r="F11" s="2" t="str">
        <x:v>https://www.sec.gov/Archives/edgar/data/2063979/000206397925000010/a2025-2ex991061625.htm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0" customHeight="1">
      <x:c r="A12" s="2"/>
      <x:c r="B12" s="2"/>
      <x:c r="C12" s="31" t="n">
        <x:v>45808</x:v>
      </x:c>
      <x:c r="D12" s="2" t="str">
        <x:v>reserve_release</x:v>
      </x:c>
      <x:c r="E12" s="35" t="n">
        <x:v>12211.26</x:v>
      </x:c>
      <x:c r="F12" s="2" t="str">
        <x:v>https://www.sec.gov/Archives/edgar/data/2063979/000206397925000010/a2025-2ex991061625.htm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0" customHeight="1">
      <x:c r="A13" s="2"/>
      <x:c r="B13" s="2"/>
      <x:c r="C13" s="31" t="n">
        <x:v>45808</x:v>
      </x:c>
      <x:c r="D13" s="2" t="str">
        <x:v>interest.A1</x:v>
      </x:c>
      <x:c r="E13" s="35" t="n">
        <x:v>926498.39</x:v>
      </x:c>
      <x:c r="F13" s="2" t="str">
        <x:v>https://www.sec.gov/Archives/edgar/data/2063979/000206397925000010/a2025-2ex991061625.htm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0" customHeight="1">
      <x:c r="A14" s="2"/>
      <x:c r="B14" s="2"/>
      <x:c r="C14" s="31" t="n">
        <x:v>45808</x:v>
      </x:c>
      <x:c r="D14" s="2" t="str">
        <x:v>interest.A2a</x:v>
      </x:c>
      <x:c r="E14" s="35" t="n">
        <x:v>1338750</x:v>
      </x:c>
      <x:c r="F14" s="2" t="str">
        <x:v>https://www.sec.gov/Archives/edgar/data/2063979/000206397925000010/a2025-2ex991061625.htm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0" customHeight="1">
      <x:c r="A15" s="2"/>
      <x:c r="B15" s="2"/>
      <x:c r="C15" s="31" t="n">
        <x:v>45808</x:v>
      </x:c>
      <x:c r="D15" s="2" t="str">
        <x:v>interest.A2b</x:v>
      </x:c>
      <x:c r="E15" s="35" t="n">
        <x:v>721020.84</x:v>
      </x:c>
      <x:c r="F15" s="2" t="str">
        <x:v>https://www.sec.gov/Archives/edgar/data/2063979/000206397925000010/a2025-2ex991061625.htm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0" customHeight="1">
      <x:c r="A16" s="2"/>
      <x:c r="B16" s="2"/>
      <x:c r="C16" s="31" t="n">
        <x:v>45808</x:v>
      </x:c>
      <x:c r="D16" s="2" t="str">
        <x:v>interest.A3</x:v>
      </x:c>
      <x:c r="E16" s="35" t="n">
        <x:v>1687840</x:v>
      </x:c>
      <x:c r="F16" s="2" t="str">
        <x:v>https://www.sec.gov/Archives/edgar/data/2063979/000206397925000010/a2025-2ex991061625.htm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0" customHeight="1">
      <x:c r="A17" s="2"/>
      <x:c r="B17" s="2"/>
      <x:c r="C17" s="31" t="n">
        <x:v>45808</x:v>
      </x:c>
      <x:c r="D17" s="2" t="str">
        <x:v>interest.A4</x:v>
      </x:c>
      <x:c r="E17" s="35" t="n">
        <x:v>344875</x:v>
      </x:c>
      <x:c r="F17" s="2" t="str">
        <x:v>https://www.sec.gov/Archives/edgar/data/2063979/000206397925000010/a2025-2ex991061625.htm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0" customHeight="1">
      <x:c r="A18" s="2"/>
      <x:c r="B18" s="2"/>
      <x:c r="C18" s="31" t="n">
        <x:v>45808</x:v>
      </x:c>
      <x:c r="D18" s="2" t="str">
        <x:v>interest.B</x:v>
      </x:c>
      <x:c r="E18" s="35" t="n">
        <x:v>119536</x:v>
      </x:c>
      <x:c r="F18" s="2" t="str">
        <x:v>https://www.sec.gov/Archives/edgar/data/2063979/000206397925000010/a2025-2ex991061625.htm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0" customHeight="1">
      <x:c r="A19" s="2"/>
      <x:c r="B19" s="2"/>
      <x:c r="C19" s="31" t="n">
        <x:v>45808</x:v>
      </x:c>
      <x:c r="D19" s="2" t="str">
        <x:v>interest.C</x:v>
      </x:c>
      <x:c r="E19" s="35" t="n">
        <x:v>90988</x:v>
      </x:c>
      <x:c r="F19" s="2" t="str">
        <x:v>https://www.sec.gov/Archives/edgar/data/2063979/000206397925000010/a2025-2ex991061625.htm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0" customHeight="1">
      <x:c r="A20" s="2"/>
      <x:c r="B20" s="2"/>
      <x:c r="C20" s="31" t="n">
        <x:v>45808</x:v>
      </x:c>
      <x:c r="D20" s="2" t="str">
        <x:v>interest.D</x:v>
      </x:c>
      <x:c r="E20" s="35" t="n">
        <x:v>67492.83</x:v>
      </x:c>
      <x:c r="F20" s="2" t="str">
        <x:v>https://www.sec.gov/Archives/edgar/data/2063979/000206397925000010/a2025-2ex991061625.htm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0" customHeight="1">
      <x:c r="A21" s="2"/>
      <x:c r="B21" s="2"/>
      <x:c r="C21" s="31" t="n">
        <x:v>45808</x:v>
      </x:c>
      <x:c r="D21" s="2" t="str">
        <x:v>principal.A1</x:v>
      </x:c>
      <x:c r="E21" s="35" t="n">
        <x:v>46427732.44</x:v>
      </x:c>
      <x:c r="F21" s="2" t="str">
        <x:v>https://www.sec.gov/Archives/edgar/data/2063979/000206397925000010/a2025-2ex991061625.htm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0" customHeight="1">
      <x:c r="A22" s="2"/>
      <x:c r="B22" s="2"/>
      <x:c r="C22" s="31" t="n">
        <x:v>45808</x:v>
      </x:c>
      <x:c r="D22" s="2" t="str">
        <x:v>principal.A2a</x:v>
      </x:c>
      <x:c r="E22" s="35" t="n">
        <x:v>0</x:v>
      </x:c>
      <x:c r="F22" s="2" t="str">
        <x:v>https://www.sec.gov/Archives/edgar/data/2063979/000206397925000010/a2025-2ex991061625.htm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0" customHeight="1">
      <x:c r="A23" s="2"/>
      <x:c r="B23" s="2"/>
      <x:c r="C23" s="31" t="n">
        <x:v>45808</x:v>
      </x:c>
      <x:c r="D23" s="2" t="str">
        <x:v>principal.A2b</x:v>
      </x:c>
      <x:c r="E23" s="35" t="n">
        <x:v>0</x:v>
      </x:c>
      <x:c r="F23" s="2" t="str">
        <x:v>https://www.sec.gov/Archives/edgar/data/2063979/000206397925000010/a2025-2ex991061625.htm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0" customHeight="1">
      <x:c r="A24" s="2"/>
      <x:c r="B24" s="2"/>
      <x:c r="C24" s="31" t="n">
        <x:v>45808</x:v>
      </x:c>
      <x:c r="D24" s="2" t="str">
        <x:v>principal.A3</x:v>
      </x:c>
      <x:c r="E24" s="35" t="n">
        <x:v>0</x:v>
      </x:c>
      <x:c r="F24" s="2" t="str">
        <x:v>https://www.sec.gov/Archives/edgar/data/2063979/000206397925000010/a2025-2ex991061625.htm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0" customHeight="1">
      <x:c r="A25" s="2"/>
      <x:c r="B25" s="2"/>
      <x:c r="C25" s="31" t="n">
        <x:v>45808</x:v>
      </x:c>
      <x:c r="D25" s="2" t="str">
        <x:v>principal.A4</x:v>
      </x:c>
      <x:c r="E25" s="35" t="n">
        <x:v>0</x:v>
      </x:c>
      <x:c r="F25" s="2" t="str">
        <x:v>https://www.sec.gov/Archives/edgar/data/2063979/000206397925000010/a2025-2ex991061625.htm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0" customHeight="1">
      <x:c r="A26" s="2"/>
      <x:c r="B26" s="2"/>
      <x:c r="C26" s="31" t="n">
        <x:v>45808</x:v>
      </x:c>
      <x:c r="D26" s="2" t="str">
        <x:v>principal.B</x:v>
      </x:c>
      <x:c r="E26" s="35" t="n">
        <x:v>0</x:v>
      </x:c>
      <x:c r="F26" s="2" t="str">
        <x:v>https://www.sec.gov/Archives/edgar/data/2063979/000206397925000010/a2025-2ex991061625.htm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0" customHeight="1">
      <x:c r="A27" s="2"/>
      <x:c r="B27" s="2"/>
      <x:c r="C27" s="31" t="n">
        <x:v>45808</x:v>
      </x:c>
      <x:c r="D27" s="2" t="str">
        <x:v>principal.C</x:v>
      </x:c>
      <x:c r="E27" s="35" t="n">
        <x:v>0</x:v>
      </x:c>
      <x:c r="F27" s="2" t="str">
        <x:v>https://www.sec.gov/Archives/edgar/data/2063979/000206397925000010/a2025-2ex991061625.htm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0" customHeight="1">
      <x:c r="A28" s="2"/>
      <x:c r="B28" s="2"/>
      <x:c r="C28" s="31" t="n">
        <x:v>45808</x:v>
      </x:c>
      <x:c r="D28" s="2" t="str">
        <x:v>principal.D</x:v>
      </x:c>
      <x:c r="E28" s="35" t="n">
        <x:v>0</x:v>
      </x:c>
      <x:c r="F28" s="2" t="str">
        <x:v>https://www.sec.gov/Archives/edgar/data/2063979/000206397925000010/a2025-2ex991061625.htm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0" customHeight="1">
      <x:c r="A29" s="2"/>
      <x:c r="B29" s="2"/>
      <x:c r="C29" s="31" t="n">
        <x:v>45808</x:v>
      </x:c>
      <x:c r="D29" s="2" t="str">
        <x:v>note_end.A1</x:v>
      </x:c>
      <x:c r="E29" s="35" t="n">
        <x:v>186855769.73</x:v>
      </x:c>
      <x:c r="F29" s="2" t="str">
        <x:v>https://www.sec.gov/Archives/edgar/data/2063979/000206397925000010/a2025-2ex991061625.htm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0" customHeight="1">
      <x:c r="A30" s="2"/>
      <x:c r="B30" s="2"/>
      <x:c r="C30" s="31" t="n">
        <x:v>45808</x:v>
      </x:c>
      <x:c r="D30" s="2" t="str">
        <x:v>note_end.A2a</x:v>
      </x:c>
      <x:c r="E30" s="35" t="n">
        <x:v>350000000</x:v>
      </x:c>
      <x:c r="F30" s="2" t="str">
        <x:v>https://www.sec.gov/Archives/edgar/data/2063979/000206397925000010/a2025-2ex991061625.htm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0" customHeight="1">
      <x:c r="A31" s="2"/>
      <x:c r="B31" s="2"/>
      <x:c r="C31" s="31" t="n">
        <x:v>45808</x:v>
      </x:c>
      <x:c r="D31" s="2" t="str">
        <x:v>note_end.A2b</x:v>
      </x:c>
      <x:c r="E31" s="35" t="n">
        <x:v>161510000</x:v>
      </x:c>
      <x:c r="F31" s="2" t="str">
        <x:v>https://www.sec.gov/Archives/edgar/data/2063979/000206397925000010/a2025-2ex991061625.htm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0" customHeight="1">
      <x:c r="A32" s="2"/>
      <x:c r="B32" s="2"/>
      <x:c r="C32" s="31" t="n">
        <x:v>45808</x:v>
      </x:c>
      <x:c r="D32" s="2" t="str">
        <x:v>note_end.A3</x:v>
      </x:c>
      <x:c r="E32" s="35" t="n">
        <x:v>452100000</x:v>
      </x:c>
      <x:c r="F32" s="2" t="str">
        <x:v>https://www.sec.gov/Archives/edgar/data/2063979/000206397925000010/a2025-2ex991061625.htm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0" customHeight="1">
      <x:c r="A33" s="2"/>
      <x:c r="B33" s="2"/>
      <x:c r="C33" s="31" t="n">
        <x:v>45808</x:v>
      </x:c>
      <x:c r="D33" s="2" t="str">
        <x:v>note_end.A4</x:v>
      </x:c>
      <x:c r="E33" s="35" t="n">
        <x:v>89000000</x:v>
      </x:c>
      <x:c r="F33" s="2" t="str">
        <x:v>https://www.sec.gov/Archives/edgar/data/2063979/000206397925000010/a2025-2ex991061625.htm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0" customHeight="1">
      <x:c r="A34" s="2"/>
      <x:c r="B34" s="2"/>
      <x:c r="C34" s="31" t="n">
        <x:v>45808</x:v>
      </x:c>
      <x:c r="D34" s="2" t="str">
        <x:v>note_end.B</x:v>
      </x:c>
      <x:c r="E34" s="35" t="n">
        <x:v>28920000</x:v>
      </x:c>
      <x:c r="F34" s="2" t="str">
        <x:v>https://www.sec.gov/Archives/edgar/data/2063979/000206397925000010/a2025-2ex991061625.htm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0" customHeight="1">
      <x:c r="A35" s="2"/>
      <x:c r="B35" s="2"/>
      <x:c r="C35" s="31" t="n">
        <x:v>45808</x:v>
      </x:c>
      <x:c r="D35" s="2" t="str">
        <x:v>note_end.C</x:v>
      </x:c>
      <x:c r="E35" s="35" t="n">
        <x:v>21160000</x:v>
      </x:c>
      <x:c r="F35" s="2" t="str">
        <x:v>https://www.sec.gov/Archives/edgar/data/2063979/000206397925000010/a2025-2ex991061625.htm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0" customHeight="1">
      <x:c r="A36" s="2"/>
      <x:c r="B36" s="2"/>
      <x:c r="C36" s="31" t="n">
        <x:v>45808</x:v>
      </x:c>
      <x:c r="D36" s="2" t="str">
        <x:v>note_end.D</x:v>
      </x:c>
      <x:c r="E36" s="35" t="n">
        <x:v>14110000</x:v>
      </x:c>
      <x:c r="F36" s="2" t="str">
        <x:v>https://www.sec.gov/Archives/edgar/data/2063979/000206397925000010/a2025-2ex991061625.htm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0" customHeight="1">
      <x:c r="A37" s="2"/>
      <x:c r="B37" s="2"/>
      <x:c r="C37" s="31" t="n">
        <x:v>45808</x:v>
      </x:c>
      <x:c r="D37" s="2" t="str">
        <x:v>priority_principal</x:v>
      </x:c>
      <x:c r="E37" s="35" t="n">
        <x:v>0</x:v>
      </x:c>
      <x:c r="F37" s="2" t="str">
        <x:v>https://www.sec.gov/Archives/edgar/data/2063979/000206397925000010/a2025-2ex991061625.htm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0" customHeight="1">
      <x:c r="A38" s="2"/>
      <x:c r="B38" s="2"/>
      <x:c r="C38" s="31" t="n">
        <x:v>45808</x:v>
      </x:c>
      <x:c r="D38" s="2" t="str">
        <x:v>secondary_principal</x:v>
      </x:c>
      <x:c r="E38" s="35" t="n">
        <x:v>578310.7</x:v>
      </x:c>
      <x:c r="F38" s="2" t="str">
        <x:v>https://www.sec.gov/Archives/edgar/data/2063979/000206397925000010/a2025-2ex991061625.htm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0" customHeight="1">
      <x:c r="A39" s="2"/>
      <x:c r="B39" s="2"/>
      <x:c r="C39" s="31" t="n">
        <x:v>45808</x:v>
      </x:c>
      <x:c r="D39" s="2" t="str">
        <x:v>tertiary_principal</x:v>
      </x:c>
      <x:c r="E39" s="35" t="n">
        <x:v>21160000</x:v>
      </x:c>
      <x:c r="F39" s="2" t="str">
        <x:v>https://www.sec.gov/Archives/edgar/data/2063979/000206397925000010/a2025-2ex991061625.htm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0" customHeight="1">
      <x:c r="A40" s="2"/>
      <x:c r="B40" s="2"/>
      <x:c r="C40" s="31" t="n">
        <x:v>45808</x:v>
      </x:c>
      <x:c r="D40" s="2" t="str">
        <x:v>quaternary_principal</x:v>
      </x:c>
      <x:c r="E40" s="35" t="n">
        <x:v>14110000</x:v>
      </x:c>
      <x:c r="F40" s="2" t="str">
        <x:v>https://www.sec.gov/Archives/edgar/data/2063979/000206397925000010/a2025-2ex991061625.htm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0" customHeight="1">
      <x:c r="A41" s="2"/>
      <x:c r="B41" s="2"/>
      <x:c r="C41" s="31" t="n">
        <x:v>45808</x:v>
      </x:c>
      <x:c r="D41" s="2" t="str">
        <x:v>regular_principal</x:v>
      </x:c>
      <x:c r="E41" s="35" t="n">
        <x:v>10579421.74</x:v>
      </x:c>
      <x:c r="F41" s="2" t="str">
        <x:v>https://www.sec.gov/Archives/edgar/data/2063979/000206397925000010/a2025-2ex991061625.htm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0" customHeight="1">
      <x:c r="A42" s="2"/>
      <x:c r="B42" s="2"/>
      <x:c r="C42" s="31" t="n">
        <x:v>45808</x:v>
      </x:c>
      <x:c r="D42" s="2" t="str">
        <x:v>oc_target</x:v>
      </x:c>
      <x:c r="E42" s="35" t="n">
        <x:v>10579421.74</x:v>
      </x:c>
      <x:c r="F42" s="2" t="str">
        <x:v>https://www.sec.gov/Archives/edgar/data/2063979/000206397925000010/a2025-2ex991061625.htm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0" customHeight="1">
      <x:c r="A43" s="2"/>
      <x:c r="B43" s="2"/>
      <x:c r="C43" s="31" t="n">
        <x:v>45838</x:v>
      </x:c>
      <x:c r="D43" s="2" t="str">
        <x:v>servicing_fee</x:v>
      </x:c>
      <x:c r="E43" s="35" t="n">
        <x:v>1095195.99</x:v>
      </x:c>
      <x:c r="F43" s="2" t="str">
        <x:v>https://www.sec.gov/Archives/edgar/data/2063979/000206397925000015/a2025-2ex991071525.htm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0" customHeight="1">
      <x:c r="A44" s="2"/>
      <x:c r="B44" s="2"/>
      <x:c r="C44" s="31" t="n">
        <x:v>45838</x:v>
      </x:c>
      <x:c r="D44" s="2" t="str">
        <x:v>total_note_interest</x:v>
      </x:c>
      <x:c r="E44" s="35" t="n">
        <x:v>4971743.51</x:v>
      </x:c>
      <x:c r="F44" s="2" t="str">
        <x:v>https://www.sec.gov/Archives/edgar/data/2063979/000206397925000015/a2025-2ex991071525.htm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0" customHeight="1">
      <x:c r="A45" s="2"/>
      <x:c r="B45" s="2"/>
      <x:c r="C45" s="31" t="n">
        <x:v>45838</x:v>
      </x:c>
      <x:c r="D45" s="2" t="str">
        <x:v>total_note_principal</x:v>
      </x:c>
      <x:c r="E45" s="35" t="n">
        <x:v>43714903.19</x:v>
      </x:c>
      <x:c r="F45" s="2" t="str">
        <x:v>https://www.sec.gov/Archives/edgar/data/2063979/000206397925000015/a2025-2ex991071525.htm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0" customHeight="1">
      <x:c r="A46" s="2"/>
      <x:c r="B46" s="2"/>
      <x:c r="C46" s="31" t="n">
        <x:v>45838</x:v>
      </x:c>
      <x:c r="D46" s="2" t="str">
        <x:v>residual_distribution</x:v>
      </x:c>
      <x:c r="E46" s="35" t="n">
        <x:v>4174391.11</x:v>
      </x:c>
      <x:c r="F46" s="2" t="str">
        <x:v>https://www.sec.gov/Archives/edgar/data/2063979/000206397925000015/a2025-2ex991071525.htm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0" customHeight="1">
      <x:c r="A47" s="2"/>
      <x:c r="B47" s="2"/>
      <x:c r="C47" s="31" t="n">
        <x:v>45838</x:v>
      </x:c>
      <x:c r="D47" s="2" t="str">
        <x:v>reserve_deposit</x:v>
      </x:c>
      <x:c r="E47" s="35" t="n">
        <x:v>0</x:v>
      </x:c>
      <x:c r="F47" s="2" t="str">
        <x:v>https://www.sec.gov/Archives/edgar/data/2063979/000206397925000015/a2025-2ex991071525.htm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0" customHeight="1">
      <x:c r="A48" s="2"/>
      <x:c r="B48" s="2"/>
      <x:c r="C48" s="31" t="n">
        <x:v>45838</x:v>
      </x:c>
      <x:c r="D48" s="2" t="str">
        <x:v>reserve_end</x:v>
      </x:c>
      <x:c r="E48" s="35" t="n">
        <x:v>3526448.55</x:v>
      </x:c>
      <x:c r="F48" s="2" t="str">
        <x:v>https://www.sec.gov/Archives/edgar/data/2063979/000206397925000015/a2025-2ex991071525.htm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0" customHeight="1">
      <x:c r="A49" s="2"/>
      <x:c r="B49" s="2"/>
      <x:c r="C49" s="31" t="n">
        <x:v>45838</x:v>
      </x:c>
      <x:c r="D49" s="2" t="str">
        <x:v>reserve_release</x:v>
      </x:c>
      <x:c r="E49" s="35" t="n">
        <x:v>12196.83</x:v>
      </x:c>
      <x:c r="F49" s="2" t="str">
        <x:v>https://www.sec.gov/Archives/edgar/data/2063979/000206397925000015/a2025-2ex991071525.htm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0" customHeight="1">
      <x:c r="A50" s="2"/>
      <x:c r="B50" s="2"/>
      <x:c r="C50" s="31" t="n">
        <x:v>45838</x:v>
      </x:c>
      <x:c r="D50" s="2" t="str">
        <x:v>interest.A1</x:v>
      </x:c>
      <x:c r="E50" s="35" t="n">
        <x:v>672535.44</x:v>
      </x:c>
      <x:c r="F50" s="2" t="str">
        <x:v>https://www.sec.gov/Archives/edgar/data/2063979/000206397925000015/a2025-2ex991071525.htm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0" customHeight="1">
      <x:c r="A51" s="2"/>
      <x:c r="B51" s="2"/>
      <x:c r="C51" s="31" t="n">
        <x:v>45838</x:v>
      </x:c>
      <x:c r="D51" s="2" t="str">
        <x:v>interest.A2a</x:v>
      </x:c>
      <x:c r="E51" s="35" t="n">
        <x:v>1338750</x:v>
      </x:c>
      <x:c r="F51" s="2" t="str">
        <x:v>https://www.sec.gov/Archives/edgar/data/2063979/000206397925000015/a2025-2ex991071525.htm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0" customHeight="1">
      <x:c r="A52" s="2"/>
      <x:c r="B52" s="2"/>
      <x:c r="C52" s="31" t="n">
        <x:v>45838</x:v>
      </x:c>
      <x:c r="D52" s="2" t="str">
        <x:v>interest.A2b</x:v>
      </x:c>
      <x:c r="E52" s="35" t="n">
        <x:v>649726.24</x:v>
      </x:c>
      <x:c r="F52" s="2" t="str">
        <x:v>https://www.sec.gov/Archives/edgar/data/2063979/000206397925000015/a2025-2ex991071525.htm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0" customHeight="1">
      <x:c r="A53" s="2"/>
      <x:c r="B53" s="2"/>
      <x:c r="C53" s="31" t="n">
        <x:v>45838</x:v>
      </x:c>
      <x:c r="D53" s="2" t="str">
        <x:v>interest.A3</x:v>
      </x:c>
      <x:c r="E53" s="35" t="n">
        <x:v>1687840</x:v>
      </x:c>
      <x:c r="F53" s="2" t="str">
        <x:v>https://www.sec.gov/Archives/edgar/data/2063979/000206397925000015/a2025-2ex991071525.htm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0" customHeight="1">
      <x:c r="A54" s="2"/>
      <x:c r="B54" s="2"/>
      <x:c r="C54" s="31" t="n">
        <x:v>45838</x:v>
      </x:c>
      <x:c r="D54" s="2" t="str">
        <x:v>interest.A4</x:v>
      </x:c>
      <x:c r="E54" s="35" t="n">
        <x:v>344875</x:v>
      </x:c>
      <x:c r="F54" s="2" t="str">
        <x:v>https://www.sec.gov/Archives/edgar/data/2063979/000206397925000015/a2025-2ex991071525.htm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0" customHeight="1">
      <x:c r="A55" s="2"/>
      <x:c r="B55" s="2"/>
      <x:c r="C55" s="31" t="n">
        <x:v>45838</x:v>
      </x:c>
      <x:c r="D55" s="2" t="str">
        <x:v>interest.B</x:v>
      </x:c>
      <x:c r="E55" s="35" t="n">
        <x:v>119536</x:v>
      </x:c>
      <x:c r="F55" s="2" t="str">
        <x:v>https://www.sec.gov/Archives/edgar/data/2063979/000206397925000015/a2025-2ex991071525.htm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0" customHeight="1">
      <x:c r="A56" s="2"/>
      <x:c r="B56" s="2"/>
      <x:c r="C56" s="31" t="n">
        <x:v>45838</x:v>
      </x:c>
      <x:c r="D56" s="2" t="str">
        <x:v>interest.C</x:v>
      </x:c>
      <x:c r="E56" s="35" t="n">
        <x:v>90988</x:v>
      </x:c>
      <x:c r="F56" s="2" t="str">
        <x:v>https://www.sec.gov/Archives/edgar/data/2063979/000206397925000015/a2025-2ex991071525.htm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0" customHeight="1">
      <x:c r="A57" s="2"/>
      <x:c r="B57" s="2"/>
      <x:c r="C57" s="31" t="n">
        <x:v>45838</x:v>
      </x:c>
      <x:c r="D57" s="2" t="str">
        <x:v>interest.D</x:v>
      </x:c>
      <x:c r="E57" s="35" t="n">
        <x:v>67492.83</x:v>
      </x:c>
      <x:c r="F57" s="2" t="str">
        <x:v>https://www.sec.gov/Archives/edgar/data/2063979/000206397925000015/a2025-2ex991071525.htm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0" customHeight="1">
      <x:c r="A58" s="2"/>
      <x:c r="B58" s="2"/>
      <x:c r="C58" s="31" t="n">
        <x:v>45838</x:v>
      </x:c>
      <x:c r="D58" s="2" t="str">
        <x:v>principal.A1</x:v>
      </x:c>
      <x:c r="E58" s="35" t="n">
        <x:v>43714903.19</x:v>
      </x:c>
      <x:c r="F58" s="2" t="str">
        <x:v>https://www.sec.gov/Archives/edgar/data/2063979/000206397925000015/a2025-2ex991071525.htm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0" customHeight="1">
      <x:c r="A59" s="2"/>
      <x:c r="B59" s="2"/>
      <x:c r="C59" s="31" t="n">
        <x:v>45838</x:v>
      </x:c>
      <x:c r="D59" s="2" t="str">
        <x:v>principal.A2a</x:v>
      </x:c>
      <x:c r="E59" s="35" t="n">
        <x:v>0</x:v>
      </x:c>
      <x:c r="F59" s="2" t="str">
        <x:v>https://www.sec.gov/Archives/edgar/data/2063979/000206397925000015/a2025-2ex991071525.htm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0" customHeight="1">
      <x:c r="A60" s="2"/>
      <x:c r="B60" s="2"/>
      <x:c r="C60" s="31" t="n">
        <x:v>45838</x:v>
      </x:c>
      <x:c r="D60" s="2" t="str">
        <x:v>principal.A2b</x:v>
      </x:c>
      <x:c r="E60" s="35" t="n">
        <x:v>0</x:v>
      </x:c>
      <x:c r="F60" s="2" t="str">
        <x:v>https://www.sec.gov/Archives/edgar/data/2063979/000206397925000015/a2025-2ex991071525.htm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0" customHeight="1">
      <x:c r="A61" s="2"/>
      <x:c r="B61" s="2"/>
      <x:c r="C61" s="31" t="n">
        <x:v>45838</x:v>
      </x:c>
      <x:c r="D61" s="2" t="str">
        <x:v>principal.A3</x:v>
      </x:c>
      <x:c r="E61" s="35" t="n">
        <x:v>0</x:v>
      </x:c>
      <x:c r="F61" s="2" t="str">
        <x:v>https://www.sec.gov/Archives/edgar/data/2063979/000206397925000015/a2025-2ex991071525.htm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0" customHeight="1">
      <x:c r="A62" s="2"/>
      <x:c r="B62" s="2"/>
      <x:c r="C62" s="31" t="n">
        <x:v>45838</x:v>
      </x:c>
      <x:c r="D62" s="2" t="str">
        <x:v>principal.A4</x:v>
      </x:c>
      <x:c r="E62" s="35" t="n">
        <x:v>0</x:v>
      </x:c>
      <x:c r="F62" s="2" t="str">
        <x:v>https://www.sec.gov/Archives/edgar/data/2063979/000206397925000015/a2025-2ex991071525.htm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0" customHeight="1">
      <x:c r="A63" s="2"/>
      <x:c r="B63" s="2"/>
      <x:c r="C63" s="31" t="n">
        <x:v>45838</x:v>
      </x:c>
      <x:c r="D63" s="2" t="str">
        <x:v>principal.B</x:v>
      </x:c>
      <x:c r="E63" s="35" t="n">
        <x:v>0</x:v>
      </x:c>
      <x:c r="F63" s="2" t="str">
        <x:v>https://www.sec.gov/Archives/edgar/data/2063979/000206397925000015/a2025-2ex991071525.htm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0" customHeight="1">
      <x:c r="A64" s="2"/>
      <x:c r="B64" s="2"/>
      <x:c r="C64" s="31" t="n">
        <x:v>45838</x:v>
      </x:c>
      <x:c r="D64" s="2" t="str">
        <x:v>principal.C</x:v>
      </x:c>
      <x:c r="E64" s="35" t="n">
        <x:v>0</x:v>
      </x:c>
      <x:c r="F64" s="2" t="str">
        <x:v>https://www.sec.gov/Archives/edgar/data/2063979/000206397925000015/a2025-2ex991071525.htm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0" customHeight="1">
      <x:c r="A65" s="2"/>
      <x:c r="B65" s="2"/>
      <x:c r="C65" s="31" t="n">
        <x:v>45838</x:v>
      </x:c>
      <x:c r="D65" s="2" t="str">
        <x:v>principal.D</x:v>
      </x:c>
      <x:c r="E65" s="35" t="n">
        <x:v>0</x:v>
      </x:c>
      <x:c r="F65" s="2" t="str">
        <x:v>https://www.sec.gov/Archives/edgar/data/2063979/000206397925000015/a2025-2ex991071525.htm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0" customHeight="1">
      <x:c r="A66" s="2"/>
      <x:c r="B66" s="2"/>
      <x:c r="C66" s="31" t="n">
        <x:v>45838</x:v>
      </x:c>
      <x:c r="D66" s="2" t="str">
        <x:v>note_end.A1</x:v>
      </x:c>
      <x:c r="E66" s="35" t="n">
        <x:v>143140866.54</x:v>
      </x:c>
      <x:c r="F66" s="2" t="str">
        <x:v>https://www.sec.gov/Archives/edgar/data/2063979/000206397925000015/a2025-2ex991071525.htm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0" customHeight="1">
      <x:c r="A67" s="2"/>
      <x:c r="B67" s="2"/>
      <x:c r="C67" s="31" t="n">
        <x:v>45838</x:v>
      </x:c>
      <x:c r="D67" s="2" t="str">
        <x:v>note_end.A2a</x:v>
      </x:c>
      <x:c r="E67" s="35" t="n">
        <x:v>350000000</x:v>
      </x:c>
      <x:c r="F67" s="2" t="str">
        <x:v>https://www.sec.gov/Archives/edgar/data/2063979/000206397925000015/a2025-2ex991071525.htm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0" customHeight="1">
      <x:c r="A68" s="2"/>
      <x:c r="B68" s="2"/>
      <x:c r="C68" s="31" t="n">
        <x:v>45838</x:v>
      </x:c>
      <x:c r="D68" s="2" t="str">
        <x:v>note_end.A2b</x:v>
      </x:c>
      <x:c r="E68" s="35" t="n">
        <x:v>161510000</x:v>
      </x:c>
      <x:c r="F68" s="2" t="str">
        <x:v>https://www.sec.gov/Archives/edgar/data/2063979/000206397925000015/a2025-2ex991071525.htm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0" customHeight="1">
      <x:c r="A69" s="2"/>
      <x:c r="B69" s="2"/>
      <x:c r="C69" s="31" t="n">
        <x:v>45838</x:v>
      </x:c>
      <x:c r="D69" s="2" t="str">
        <x:v>note_end.A3</x:v>
      </x:c>
      <x:c r="E69" s="35" t="n">
        <x:v>452100000</x:v>
      </x:c>
      <x:c r="F69" s="2" t="str">
        <x:v>https://www.sec.gov/Archives/edgar/data/2063979/000206397925000015/a2025-2ex991071525.htm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0" customHeight="1">
      <x:c r="A70" s="2"/>
      <x:c r="B70" s="2"/>
      <x:c r="C70" s="31" t="n">
        <x:v>45838</x:v>
      </x:c>
      <x:c r="D70" s="2" t="str">
        <x:v>note_end.A4</x:v>
      </x:c>
      <x:c r="E70" s="35" t="n">
        <x:v>89000000</x:v>
      </x:c>
      <x:c r="F70" s="2" t="str">
        <x:v>https://www.sec.gov/Archives/edgar/data/2063979/000206397925000015/a2025-2ex991071525.htm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0" customHeight="1">
      <x:c r="A71" s="2"/>
      <x:c r="B71" s="2"/>
      <x:c r="C71" s="31" t="n">
        <x:v>45838</x:v>
      </x:c>
      <x:c r="D71" s="2" t="str">
        <x:v>note_end.B</x:v>
      </x:c>
      <x:c r="E71" s="35" t="n">
        <x:v>28920000</x:v>
      </x:c>
      <x:c r="F71" s="2" t="str">
        <x:v>https://www.sec.gov/Archives/edgar/data/2063979/000206397925000015/a2025-2ex991071525.htm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0" customHeight="1">
      <x:c r="A72" s="2"/>
      <x:c r="B72" s="2"/>
      <x:c r="C72" s="31" t="n">
        <x:v>45838</x:v>
      </x:c>
      <x:c r="D72" s="2" t="str">
        <x:v>note_end.C</x:v>
      </x:c>
      <x:c r="E72" s="35" t="n">
        <x:v>21160000</x:v>
      </x:c>
      <x:c r="F72" s="2" t="str">
        <x:v>https://www.sec.gov/Archives/edgar/data/2063979/000206397925000015/a2025-2ex991071525.htm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0" customHeight="1">
      <x:c r="A73" s="2"/>
      <x:c r="B73" s="2"/>
      <x:c r="C73" s="31" t="n">
        <x:v>45838</x:v>
      </x:c>
      <x:c r="D73" s="2" t="str">
        <x:v>note_end.D</x:v>
      </x:c>
      <x:c r="E73" s="35" t="n">
        <x:v>14110000</x:v>
      </x:c>
      <x:c r="F73" s="2" t="str">
        <x:v>https://www.sec.gov/Archives/edgar/data/2063979/000206397925000015/a2025-2ex991071525.htm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0" customHeight="1">
      <x:c r="A74" s="2"/>
      <x:c r="B74" s="2"/>
      <x:c r="C74" s="31" t="n">
        <x:v>45838</x:v>
      </x:c>
      <x:c r="D74" s="2" t="str">
        <x:v>priority_principal</x:v>
      </x:c>
      <x:c r="E74" s="35" t="n">
        <x:v>0</x:v>
      </x:c>
      <x:c r="F74" s="2" t="str">
        <x:v>https://www.sec.gov/Archives/edgar/data/2063979/000206397925000015/a2025-2ex991071525.htm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0" customHeight="1">
      <x:c r="A75" s="2"/>
      <x:c r="B75" s="2"/>
      <x:c r="C75" s="31" t="n">
        <x:v>45838</x:v>
      </x:c>
      <x:c r="D75" s="2" t="str">
        <x:v>secondary_principal</x:v>
      </x:c>
      <x:c r="E75" s="35" t="n">
        <x:v>0</x:v>
      </x:c>
      <x:c r="F75" s="2" t="str">
        <x:v>https://www.sec.gov/Archives/edgar/data/2063979/000206397925000015/a2025-2ex991071525.htm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0" customHeight="1">
      <x:c r="A76" s="2"/>
      <x:c r="B76" s="2"/>
      <x:c r="C76" s="31" t="n">
        <x:v>45838</x:v>
      </x:c>
      <x:c r="D76" s="2" t="str">
        <x:v>tertiary_principal</x:v>
      </x:c>
      <x:c r="E76" s="35" t="n">
        <x:v>19025481.45</x:v>
      </x:c>
      <x:c r="F76" s="2" t="str">
        <x:v>https://www.sec.gov/Archives/edgar/data/2063979/000206397925000015/a2025-2ex991071525.htm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0" customHeight="1">
      <x:c r="A77" s="2"/>
      <x:c r="B77" s="2"/>
      <x:c r="C77" s="31" t="n">
        <x:v>45838</x:v>
      </x:c>
      <x:c r="D77" s="2" t="str">
        <x:v>quaternary_principal</x:v>
      </x:c>
      <x:c r="E77" s="35" t="n">
        <x:v>14110000</x:v>
      </x:c>
      <x:c r="F77" s="2" t="str">
        <x:v>https://www.sec.gov/Archives/edgar/data/2063979/000206397925000015/a2025-2ex991071525.htm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0" customHeight="1">
      <x:c r="A78" s="2"/>
      <x:c r="B78" s="2"/>
      <x:c r="C78" s="31" t="n">
        <x:v>45838</x:v>
      </x:c>
      <x:c r="D78" s="2" t="str">
        <x:v>regular_principal</x:v>
      </x:c>
      <x:c r="E78" s="35" t="n">
        <x:v>10579421.74</x:v>
      </x:c>
      <x:c r="F78" s="2" t="str">
        <x:v>https://www.sec.gov/Archives/edgar/data/2063979/000206397925000015/a2025-2ex991071525.htm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0" customHeight="1">
      <x:c r="A79" s="2"/>
      <x:c r="B79" s="2"/>
      <x:c r="C79" s="31" t="n">
        <x:v>45838</x:v>
      </x:c>
      <x:c r="D79" s="2" t="str">
        <x:v>oc_target</x:v>
      </x:c>
      <x:c r="E79" s="35" t="n">
        <x:v>10579421.74</x:v>
      </x:c>
      <x:c r="F79" s="2" t="str">
        <x:v>https://www.sec.gov/Archives/edgar/data/2063979/000206397925000015/a2025-2ex991071525.htm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0" customHeight="1">
      <x:c r="A80" s="2"/>
      <x:c r="B80" s="2"/>
      <x:c r="C80" s="31" t="n">
        <x:v>45869</x:v>
      </x:c>
      <x:c r="D80" s="2" t="str">
        <x:v>servicing_fee</x:v>
      </x:c>
      <x:c r="E80" s="35" t="n">
        <x:v>1058766.91</x:v>
      </x:c>
      <x:c r="F80" s="2" t="str">
        <x:v>https://www.sec.gov/Archives/edgar/data/2063979/000206397925000020/a2025-2ex991081525.htm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0" customHeight="1">
      <x:c r="A81" s="2"/>
      <x:c r="B81" s="2"/>
      <x:c r="C81" s="31" t="n">
        <x:v>45869</x:v>
      </x:c>
      <x:c r="D81" s="2" t="str">
        <x:v>total_note_interest</x:v>
      </x:c>
      <x:c r="E81" s="35" t="n">
        <x:v>4899718.13</x:v>
      </x:c>
      <x:c r="F81" s="2" t="str">
        <x:v>https://www.sec.gov/Archives/edgar/data/2063979/000206397925000020/a2025-2ex991081525.htm</x:v>
      </x:c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0" customHeight="1">
      <x:c r="A82" s="2"/>
      <x:c r="B82" s="2"/>
      <x:c r="C82" s="31" t="n">
        <x:v>45869</x:v>
      </x:c>
      <x:c r="D82" s="2" t="str">
        <x:v>total_note_principal</x:v>
      </x:c>
      <x:c r="E82" s="35" t="n">
        <x:v>49475083.04</x:v>
      </x:c>
      <x:c r="F82" s="2" t="str">
        <x:v>https://www.sec.gov/Archives/edgar/data/2063979/000206397925000020/a2025-2ex991081525.htm</x:v>
      </x:c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0" customHeight="1">
      <x:c r="A83" s="2"/>
      <x:c r="B83" s="2"/>
      <x:c r="C83" s="31" t="n">
        <x:v>45869</x:v>
      </x:c>
      <x:c r="D83" s="2" t="str">
        <x:v>residual_distribution</x:v>
      </x:c>
      <x:c r="E83" s="35" t="n">
        <x:v>3362728.51</x:v>
      </x:c>
      <x:c r="F83" s="2" t="str">
        <x:v>https://www.sec.gov/Archives/edgar/data/2063979/000206397925000020/a2025-2ex991081525.htm</x:v>
      </x:c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0" customHeight="1">
      <x:c r="A84" s="2"/>
      <x:c r="B84" s="2"/>
      <x:c r="C84" s="31" t="n">
        <x:v>45869</x:v>
      </x:c>
      <x:c r="D84" s="2" t="str">
        <x:v>reserve_deposit</x:v>
      </x:c>
      <x:c r="E84" s="35" t="n">
        <x:v>0</x:v>
      </x:c>
      <x:c r="F84" s="2" t="str">
        <x:v>https://www.sec.gov/Archives/edgar/data/2063979/000206397925000020/a2025-2ex991081525.htm</x:v>
      </x:c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0" customHeight="1">
      <x:c r="A85" s="2"/>
      <x:c r="B85" s="2"/>
      <x:c r="C85" s="31" t="n">
        <x:v>45869</x:v>
      </x:c>
      <x:c r="D85" s="2" t="str">
        <x:v>reserve_end</x:v>
      </x:c>
      <x:c r="E85" s="35" t="n">
        <x:v>3526448.55</x:v>
      </x:c>
      <x:c r="F85" s="2" t="str">
        <x:v>https://www.sec.gov/Archives/edgar/data/2063979/000206397925000020/a2025-2ex991081525.htm</x:v>
      </x:c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0" customHeight="1">
      <x:c r="A86" s="2"/>
      <x:c r="B86" s="2"/>
      <x:c r="C86" s="31" t="n">
        <x:v>45869</x:v>
      </x:c>
      <x:c r="D86" s="2" t="str">
        <x:v>reserve_release</x:v>
      </x:c>
      <x:c r="E86" s="35" t="n">
        <x:v>12637.3</x:v>
      </x:c>
      <x:c r="F86" s="2" t="str">
        <x:v>https://www.sec.gov/Archives/edgar/data/2063979/000206397925000020/a2025-2ex991081525.htm</x:v>
      </x:c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0" customHeight="1">
      <x:c r="A87" s="2"/>
      <x:c r="B87" s="2"/>
      <x:c r="C87" s="31" t="n">
        <x:v>45869</x:v>
      </x:c>
      <x:c r="D87" s="2" t="str">
        <x:v>interest.A1</x:v>
      </x:c>
      <x:c r="E87" s="35" t="n">
        <x:v>550726.53</x:v>
      </x:c>
      <x:c r="F87" s="2" t="str">
        <x:v>https://www.sec.gov/Archives/edgar/data/2063979/000206397925000020/a2025-2ex991081525.htm</x:v>
      </x:c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0" customHeight="1">
      <x:c r="A88" s="2"/>
      <x:c r="B88" s="2"/>
      <x:c r="C88" s="31" t="n">
        <x:v>45869</x:v>
      </x:c>
      <x:c r="D88" s="2" t="str">
        <x:v>interest.A2a</x:v>
      </x:c>
      <x:c r="E88" s="35" t="n">
        <x:v>1338750</x:v>
      </x:c>
      <x:c r="F88" s="2" t="str">
        <x:v>https://www.sec.gov/Archives/edgar/data/2063979/000206397925000020/a2025-2ex991081525.htm</x:v>
      </x:c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0" customHeight="1">
      <x:c r="A89" s="2"/>
      <x:c r="B89" s="2"/>
      <x:c r="C89" s="31" t="n">
        <x:v>45869</x:v>
      </x:c>
      <x:c r="D89" s="2" t="str">
        <x:v>interest.A2b</x:v>
      </x:c>
      <x:c r="E89" s="35" t="n">
        <x:v>699509.77</x:v>
      </x:c>
      <x:c r="F89" s="2" t="str">
        <x:v>https://www.sec.gov/Archives/edgar/data/2063979/000206397925000020/a2025-2ex991081525.htm</x:v>
      </x:c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0" customHeight="1">
      <x:c r="A90" s="2"/>
      <x:c r="B90" s="2"/>
      <x:c r="C90" s="31" t="n">
        <x:v>45869</x:v>
      </x:c>
      <x:c r="D90" s="2" t="str">
        <x:v>interest.A3</x:v>
      </x:c>
      <x:c r="E90" s="35" t="n">
        <x:v>1687840</x:v>
      </x:c>
      <x:c r="F90" s="2" t="str">
        <x:v>https://www.sec.gov/Archives/edgar/data/2063979/000206397925000020/a2025-2ex991081525.htm</x:v>
      </x:c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0" customHeight="1">
      <x:c r="A91" s="2"/>
      <x:c r="B91" s="2"/>
      <x:c r="C91" s="31" t="n">
        <x:v>45869</x:v>
      </x:c>
      <x:c r="D91" s="2" t="str">
        <x:v>interest.A4</x:v>
      </x:c>
      <x:c r="E91" s="35" t="n">
        <x:v>344875</x:v>
      </x:c>
      <x:c r="F91" s="2" t="str">
        <x:v>https://www.sec.gov/Archives/edgar/data/2063979/000206397925000020/a2025-2ex991081525.htm</x:v>
      </x:c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0" customHeight="1">
      <x:c r="A92" s="2"/>
      <x:c r="B92" s="2"/>
      <x:c r="C92" s="31" t="n">
        <x:v>45869</x:v>
      </x:c>
      <x:c r="D92" s="2" t="str">
        <x:v>interest.B</x:v>
      </x:c>
      <x:c r="E92" s="35" t="n">
        <x:v>119536</x:v>
      </x:c>
      <x:c r="F92" s="2" t="str">
        <x:v>https://www.sec.gov/Archives/edgar/data/2063979/000206397925000020/a2025-2ex991081525.htm</x:v>
      </x:c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0" customHeight="1">
      <x:c r="A93" s="2"/>
      <x:c r="B93" s="2"/>
      <x:c r="C93" s="31" t="n">
        <x:v>45869</x:v>
      </x:c>
      <x:c r="D93" s="2" t="str">
        <x:v>interest.C</x:v>
      </x:c>
      <x:c r="E93" s="35" t="n">
        <x:v>90988</x:v>
      </x:c>
      <x:c r="F93" s="2" t="str">
        <x:v>https://www.sec.gov/Archives/edgar/data/2063979/000206397925000020/a2025-2ex991081525.htm</x:v>
      </x:c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0" customHeight="1">
      <x:c r="A94" s="2"/>
      <x:c r="B94" s="2"/>
      <x:c r="C94" s="31" t="n">
        <x:v>45869</x:v>
      </x:c>
      <x:c r="D94" s="2" t="str">
        <x:v>interest.D</x:v>
      </x:c>
      <x:c r="E94" s="35" t="n">
        <x:v>67492.83</x:v>
      </x:c>
      <x:c r="F94" s="2" t="str">
        <x:v>https://www.sec.gov/Archives/edgar/data/2063979/000206397925000020/a2025-2ex991081525.htm</x:v>
      </x:c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0" customHeight="1">
      <x:c r="A95" s="2"/>
      <x:c r="B95" s="2"/>
      <x:c r="C95" s="31" t="n">
        <x:v>45869</x:v>
      </x:c>
      <x:c r="D95" s="2" t="str">
        <x:v>principal.A1</x:v>
      </x:c>
      <x:c r="E95" s="35" t="n">
        <x:v>49475083.04</x:v>
      </x:c>
      <x:c r="F95" s="2" t="str">
        <x:v>https://www.sec.gov/Archives/edgar/data/2063979/000206397925000020/a2025-2ex991081525.htm</x:v>
      </x:c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0" customHeight="1">
      <x:c r="A96" s="2"/>
      <x:c r="B96" s="2"/>
      <x:c r="C96" s="31" t="n">
        <x:v>45869</x:v>
      </x:c>
      <x:c r="D96" s="2" t="str">
        <x:v>principal.A2a</x:v>
      </x:c>
      <x:c r="E96" s="35" t="n">
        <x:v>0</x:v>
      </x:c>
      <x:c r="F96" s="2" t="str">
        <x:v>https://www.sec.gov/Archives/edgar/data/2063979/000206397925000020/a2025-2ex991081525.htm</x:v>
      </x:c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0" customHeight="1">
      <x:c r="A97" s="2"/>
      <x:c r="B97" s="2"/>
      <x:c r="C97" s="31" t="n">
        <x:v>45869</x:v>
      </x:c>
      <x:c r="D97" s="2" t="str">
        <x:v>principal.A2b</x:v>
      </x:c>
      <x:c r="E97" s="35" t="n">
        <x:v>0</x:v>
      </x:c>
      <x:c r="F97" s="2" t="str">
        <x:v>https://www.sec.gov/Archives/edgar/data/2063979/000206397925000020/a2025-2ex991081525.htm</x:v>
      </x:c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0" customHeight="1">
      <x:c r="A98" s="2"/>
      <x:c r="B98" s="2"/>
      <x:c r="C98" s="31" t="n">
        <x:v>45869</x:v>
      </x:c>
      <x:c r="D98" s="2" t="str">
        <x:v>principal.A3</x:v>
      </x:c>
      <x:c r="E98" s="35" t="n">
        <x:v>0</x:v>
      </x:c>
      <x:c r="F98" s="2" t="str">
        <x:v>https://www.sec.gov/Archives/edgar/data/2063979/000206397925000020/a2025-2ex991081525.htm</x:v>
      </x:c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0" customHeight="1">
      <x:c r="A99" s="2"/>
      <x:c r="B99" s="2"/>
      <x:c r="C99" s="31" t="n">
        <x:v>45869</x:v>
      </x:c>
      <x:c r="D99" s="2" t="str">
        <x:v>principal.A4</x:v>
      </x:c>
      <x:c r="E99" s="35" t="n">
        <x:v>0</x:v>
      </x:c>
      <x:c r="F99" s="2" t="str">
        <x:v>https://www.sec.gov/Archives/edgar/data/2063979/000206397925000020/a2025-2ex991081525.htm</x:v>
      </x:c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0" customHeight="1">
      <x:c r="A100" s="2"/>
      <x:c r="B100" s="2"/>
      <x:c r="C100" s="31" t="n">
        <x:v>45869</x:v>
      </x:c>
      <x:c r="D100" s="2" t="str">
        <x:v>principal.B</x:v>
      </x:c>
      <x:c r="E100" s="35" t="n">
        <x:v>0</x:v>
      </x:c>
      <x:c r="F100" s="2" t="str">
        <x:v>https://www.sec.gov/Archives/edgar/data/2063979/000206397925000020/a2025-2ex991081525.htm</x:v>
      </x:c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>
      <x:c r="C101" s="45" t="n">
        <x:v>45869</x:v>
      </x:c>
      <x:c r="D101" t="str">
        <x:v>principal.C</x:v>
      </x:c>
      <x:c r="E101" s="47" t="n">
        <x:v>0</x:v>
      </x:c>
      <x:c r="F101" t="str">
        <x:v>https://www.sec.gov/Archives/edgar/data/2063979/000206397925000020/a2025-2ex991081525.htm</x:v>
      </x:c>
    </x:row>
    <x:row r="102">
      <x:c r="C102" s="45" t="n">
        <x:v>45869</x:v>
      </x:c>
      <x:c r="D102" t="str">
        <x:v>principal.D</x:v>
      </x:c>
      <x:c r="E102" s="47" t="n">
        <x:v>0</x:v>
      </x:c>
      <x:c r="F102" t="str">
        <x:v>https://www.sec.gov/Archives/edgar/data/2063979/000206397925000020/a2025-2ex991081525.htm</x:v>
      </x:c>
    </x:row>
    <x:row r="103">
      <x:c r="C103" s="45" t="n">
        <x:v>45869</x:v>
      </x:c>
      <x:c r="D103" t="str">
        <x:v>note_end.A1</x:v>
      </x:c>
      <x:c r="E103" s="47" t="n">
        <x:v>93665783.5</x:v>
      </x:c>
      <x:c r="F103" t="str">
        <x:v>https://www.sec.gov/Archives/edgar/data/2063979/000206397925000020/a2025-2ex991081525.htm</x:v>
      </x:c>
    </x:row>
    <x:row r="104">
      <x:c r="C104" s="45" t="n">
        <x:v>45869</x:v>
      </x:c>
      <x:c r="D104" t="str">
        <x:v>note_end.A2a</x:v>
      </x:c>
      <x:c r="E104" s="47" t="n">
        <x:v>350000000</x:v>
      </x:c>
      <x:c r="F104" t="str">
        <x:v>https://www.sec.gov/Archives/edgar/data/2063979/000206397925000020/a2025-2ex991081525.htm</x:v>
      </x:c>
    </x:row>
    <x:row r="105">
      <x:c r="C105" s="45" t="n">
        <x:v>45869</x:v>
      </x:c>
      <x:c r="D105" t="str">
        <x:v>note_end.A2b</x:v>
      </x:c>
      <x:c r="E105" s="47" t="n">
        <x:v>161510000</x:v>
      </x:c>
      <x:c r="F105" t="str">
        <x:v>https://www.sec.gov/Archives/edgar/data/2063979/000206397925000020/a2025-2ex991081525.htm</x:v>
      </x:c>
    </x:row>
    <x:row r="106">
      <x:c r="C106" s="45" t="n">
        <x:v>45869</x:v>
      </x:c>
      <x:c r="D106" t="str">
        <x:v>note_end.A3</x:v>
      </x:c>
      <x:c r="E106" s="47" t="n">
        <x:v>452100000</x:v>
      </x:c>
      <x:c r="F106" t="str">
        <x:v>https://www.sec.gov/Archives/edgar/data/2063979/000206397925000020/a2025-2ex991081525.htm</x:v>
      </x:c>
    </x:row>
    <x:row r="107">
      <x:c r="C107" s="45" t="n">
        <x:v>45869</x:v>
      </x:c>
      <x:c r="D107" t="str">
        <x:v>note_end.A4</x:v>
      </x:c>
      <x:c r="E107" s="47" t="n">
        <x:v>89000000</x:v>
      </x:c>
      <x:c r="F107" t="str">
        <x:v>https://www.sec.gov/Archives/edgar/data/2063979/000206397925000020/a2025-2ex991081525.htm</x:v>
      </x:c>
    </x:row>
    <x:row r="108">
      <x:c r="C108" s="45" t="n">
        <x:v>45869</x:v>
      </x:c>
      <x:c r="D108" t="str">
        <x:v>note_end.B</x:v>
      </x:c>
      <x:c r="E108" s="47" t="n">
        <x:v>28920000</x:v>
      </x:c>
      <x:c r="F108" t="str">
        <x:v>https://www.sec.gov/Archives/edgar/data/2063979/000206397925000020/a2025-2ex991081525.htm</x:v>
      </x:c>
    </x:row>
    <x:row r="109">
      <x:c r="C109" s="45" t="n">
        <x:v>45869</x:v>
      </x:c>
      <x:c r="D109" t="str">
        <x:v>note_end.C</x:v>
      </x:c>
      <x:c r="E109" s="47" t="n">
        <x:v>21160000</x:v>
      </x:c>
      <x:c r="F109" t="str">
        <x:v>https://www.sec.gov/Archives/edgar/data/2063979/000206397925000020/a2025-2ex991081525.htm</x:v>
      </x:c>
    </x:row>
    <x:row r="110">
      <x:c r="C110" s="45" t="n">
        <x:v>45869</x:v>
      </x:c>
      <x:c r="D110" t="str">
        <x:v>note_end.D</x:v>
      </x:c>
      <x:c r="E110" s="47" t="n">
        <x:v>14110000</x:v>
      </x:c>
      <x:c r="F110" t="str">
        <x:v>https://www.sec.gov/Archives/edgar/data/2063979/000206397925000020/a2025-2ex991081525.htm</x:v>
      </x:c>
    </x:row>
    <x:row r="111">
      <x:c r="C111" s="45" t="n">
        <x:v>45869</x:v>
      </x:c>
      <x:c r="D111" t="str">
        <x:v>priority_principal</x:v>
      </x:c>
      <x:c r="E111" s="47" t="n">
        <x:v>0</x:v>
      </x:c>
      <x:c r="F111" t="str">
        <x:v>https://www.sec.gov/Archives/edgar/data/2063979/000206397925000020/a2025-2ex991081525.htm</x:v>
      </x:c>
    </x:row>
    <x:row r="112">
      <x:c r="C112" s="45" t="n">
        <x:v>45869</x:v>
      </x:c>
      <x:c r="D112" t="str">
        <x:v>secondary_principal</x:v>
      </x:c>
      <x:c r="E112" s="47" t="n">
        <x:v>3625661.3</x:v>
      </x:c>
      <x:c r="F112" t="str">
        <x:v>https://www.sec.gov/Archives/edgar/data/2063979/000206397925000020/a2025-2ex991081525.htm</x:v>
      </x:c>
    </x:row>
    <x:row r="113">
      <x:c r="C113" s="45" t="n">
        <x:v>45869</x:v>
      </x:c>
      <x:c r="D113" t="str">
        <x:v>tertiary_principal</x:v>
      </x:c>
      <x:c r="E113" s="47" t="n">
        <x:v>21160000</x:v>
      </x:c>
      <x:c r="F113" t="str">
        <x:v>https://www.sec.gov/Archives/edgar/data/2063979/000206397925000020/a2025-2ex991081525.htm</x:v>
      </x:c>
    </x:row>
    <x:row r="114">
      <x:c r="C114" s="45" t="n">
        <x:v>45869</x:v>
      </x:c>
      <x:c r="D114" t="str">
        <x:v>quaternary_principal</x:v>
      </x:c>
      <x:c r="E114" s="47" t="n">
        <x:v>14110000</x:v>
      </x:c>
      <x:c r="F114" t="str">
        <x:v>https://www.sec.gov/Archives/edgar/data/2063979/000206397925000020/a2025-2ex991081525.htm</x:v>
      </x:c>
    </x:row>
    <x:row r="115">
      <x:c r="C115" s="45" t="n">
        <x:v>45869</x:v>
      </x:c>
      <x:c r="D115" t="str">
        <x:v>regular_principal</x:v>
      </x:c>
      <x:c r="E115" s="47" t="n">
        <x:v>10579421.74</x:v>
      </x:c>
      <x:c r="F115" t="str">
        <x:v>https://www.sec.gov/Archives/edgar/data/2063979/000206397925000020/a2025-2ex991081525.htm</x:v>
      </x:c>
    </x:row>
    <x:row r="116">
      <x:c r="C116" s="45" t="n">
        <x:v>45869</x:v>
      </x:c>
      <x:c r="D116" t="str">
        <x:v>oc_target</x:v>
      </x:c>
      <x:c r="E116" s="47" t="n">
        <x:v>10579421.74</x:v>
      </x:c>
      <x:c r="F116" t="str">
        <x:v>https://www.sec.gov/Archives/edgar/data/2063979/000206397925000020/a2025-2ex991081525.htm</x:v>
      </x:c>
    </x:row>
    <x:row r="117">
      <x:c r="C117" s="45" t="n">
        <x:v>45900</x:v>
      </x:c>
      <x:c r="D117" t="str">
        <x:v>servicing_fee</x:v>
      </x:c>
      <x:c r="E117" s="47" t="n">
        <x:v>1017537.67</x:v>
      </x:c>
      <x:c r="F117" t="str">
        <x:v>https://www.sec.gov/Archives/edgar/data/2063979/000206397925000025/a2025-2ex991091525.htm</x:v>
      </x:c>
    </x:row>
    <x:row r="118">
      <x:c r="C118" s="45" t="n">
        <x:v>45900</x:v>
      </x:c>
      <x:c r="D118" t="str">
        <x:v>total_note_interest</x:v>
      </x:c>
      <x:c r="E118" s="47" t="n">
        <x:v>4709793.86</x:v>
      </x:c>
      <x:c r="F118" t="str">
        <x:v>https://www.sec.gov/Archives/edgar/data/2063979/000206397925000025/a2025-2ex991091525.htm</x:v>
      </x:c>
    </x:row>
    <x:row r="119">
      <x:c r="C119" s="45" t="n">
        <x:v>45900</x:v>
      </x:c>
      <x:c r="D119" t="str">
        <x:v>total_note_principal</x:v>
      </x:c>
      <x:c r="E119" s="47" t="n">
        <x:v>44981557.9</x:v>
      </x:c>
      <x:c r="F119" t="str">
        <x:v>https://www.sec.gov/Archives/edgar/data/2063979/000206397925000025/a2025-2ex991091525.htm</x:v>
      </x:c>
    </x:row>
    <x:row r="120">
      <x:c r="C120" s="45" t="n">
        <x:v>45900</x:v>
      </x:c>
      <x:c r="D120" t="str">
        <x:v>residual_distribution</x:v>
      </x:c>
      <x:c r="E120" s="47" t="n">
        <x:v>3407026.73</x:v>
      </x:c>
      <x:c r="F120" t="str">
        <x:v>https://www.sec.gov/Archives/edgar/data/2063979/000206397925000025/a2025-2ex991091525.htm</x:v>
      </x:c>
    </x:row>
    <x:row r="121">
      <x:c r="C121" s="45" t="n">
        <x:v>45900</x:v>
      </x:c>
      <x:c r="D121" t="str">
        <x:v>reserve_deposit</x:v>
      </x:c>
      <x:c r="E121" s="47" t="n">
        <x:v>0</x:v>
      </x:c>
      <x:c r="F121" t="str">
        <x:v>https://www.sec.gov/Archives/edgar/data/2063979/000206397925000025/a2025-2ex991091525.htm</x:v>
      </x:c>
    </x:row>
    <x:row r="122">
      <x:c r="C122" s="45" t="n">
        <x:v>45900</x:v>
      </x:c>
      <x:c r="D122" t="str">
        <x:v>reserve_end</x:v>
      </x:c>
      <x:c r="E122" s="47" t="n">
        <x:v>3526448.55</x:v>
      </x:c>
      <x:c r="F122" t="str">
        <x:v>https://www.sec.gov/Archives/edgar/data/2063979/000206397925000025/a2025-2ex991091525.htm</x:v>
      </x:c>
    </x:row>
    <x:row r="123">
      <x:c r="C123" s="45" t="n">
        <x:v>45900</x:v>
      </x:c>
      <x:c r="D123" t="str">
        <x:v>reserve_release</x:v>
      </x:c>
      <x:c r="E123" s="47" t="n">
        <x:v>12601.52</x:v>
      </x:c>
      <x:c r="F123" t="str">
        <x:v>https://www.sec.gov/Archives/edgar/data/2063979/000206397925000025/a2025-2ex991091525.htm</x:v>
      </x:c>
    </x:row>
    <x:row r="124">
      <x:c r="C124" s="45" t="n">
        <x:v>45900</x:v>
      </x:c>
      <x:c r="D124" t="str">
        <x:v>interest.A1</x:v>
      </x:c>
      <x:c r="E124" s="47" t="n">
        <x:v>360373.9</x:v>
      </x:c>
      <x:c r="F124" t="str">
        <x:v>https://www.sec.gov/Archives/edgar/data/2063979/000206397925000025/a2025-2ex991091525.htm</x:v>
      </x:c>
    </x:row>
    <x:row r="125">
      <x:c r="C125" s="45" t="n">
        <x:v>45900</x:v>
      </x:c>
      <x:c r="D125" t="str">
        <x:v>interest.A2a</x:v>
      </x:c>
      <x:c r="E125" s="47" t="n">
        <x:v>1338750</x:v>
      </x:c>
      <x:c r="F125" t="str">
        <x:v>https://www.sec.gov/Archives/edgar/data/2063979/000206397925000025/a2025-2ex991091525.htm</x:v>
      </x:c>
    </x:row>
    <x:row r="126">
      <x:c r="C126" s="45" t="n">
        <x:v>45900</x:v>
      </x:c>
      <x:c r="D126" t="str">
        <x:v>interest.A2b</x:v>
      </x:c>
      <x:c r="E126" s="47" t="n">
        <x:v>699938.13</x:v>
      </x:c>
      <x:c r="F126" t="str">
        <x:v>https://www.sec.gov/Archives/edgar/data/2063979/000206397925000025/a2025-2ex991091525.htm</x:v>
      </x:c>
    </x:row>
    <x:row r="127">
      <x:c r="C127" s="45" t="n">
        <x:v>45900</x:v>
      </x:c>
      <x:c r="D127" t="str">
        <x:v>interest.A3</x:v>
      </x:c>
      <x:c r="E127" s="47" t="n">
        <x:v>1687840</x:v>
      </x:c>
      <x:c r="F127" t="str">
        <x:v>https://www.sec.gov/Archives/edgar/data/2063979/000206397925000025/a2025-2ex991091525.htm</x:v>
      </x:c>
    </x:row>
    <x:row r="128">
      <x:c r="C128" s="45" t="n">
        <x:v>45900</x:v>
      </x:c>
      <x:c r="D128" t="str">
        <x:v>interest.A4</x:v>
      </x:c>
      <x:c r="E128" s="47" t="n">
        <x:v>344875</x:v>
      </x:c>
      <x:c r="F128" t="str">
        <x:v>https://www.sec.gov/Archives/edgar/data/2063979/000206397925000025/a2025-2ex991091525.htm</x:v>
      </x:c>
    </x:row>
    <x:row r="129">
      <x:c r="C129" s="45" t="n">
        <x:v>45900</x:v>
      </x:c>
      <x:c r="D129" t="str">
        <x:v>interest.B</x:v>
      </x:c>
      <x:c r="E129" s="47" t="n">
        <x:v>119536</x:v>
      </x:c>
      <x:c r="F129" t="str">
        <x:v>https://www.sec.gov/Archives/edgar/data/2063979/000206397925000025/a2025-2ex991091525.htm</x:v>
      </x:c>
    </x:row>
    <x:row r="130">
      <x:c r="C130" s="45" t="n">
        <x:v>45900</x:v>
      </x:c>
      <x:c r="D130" t="str">
        <x:v>interest.C</x:v>
      </x:c>
      <x:c r="E130" s="47" t="n">
        <x:v>90988</x:v>
      </x:c>
      <x:c r="F130" t="str">
        <x:v>https://www.sec.gov/Archives/edgar/data/2063979/000206397925000025/a2025-2ex991091525.htm</x:v>
      </x:c>
    </x:row>
    <x:row r="131">
      <x:c r="C131" s="45" t="n">
        <x:v>45900</x:v>
      </x:c>
      <x:c r="D131" t="str">
        <x:v>interest.D</x:v>
      </x:c>
      <x:c r="E131" s="47" t="n">
        <x:v>67492.83</x:v>
      </x:c>
      <x:c r="F131" t="str">
        <x:v>https://www.sec.gov/Archives/edgar/data/2063979/000206397925000025/a2025-2ex991091525.htm</x:v>
      </x:c>
    </x:row>
    <x:row r="132">
      <x:c r="C132" s="45" t="n">
        <x:v>45900</x:v>
      </x:c>
      <x:c r="D132" t="str">
        <x:v>principal.A1</x:v>
      </x:c>
      <x:c r="E132" s="47" t="n">
        <x:v>44981557.9</x:v>
      </x:c>
      <x:c r="F132" t="str">
        <x:v>https://www.sec.gov/Archives/edgar/data/2063979/000206397925000025/a2025-2ex991091525.htm</x:v>
      </x:c>
    </x:row>
    <x:row r="133">
      <x:c r="C133" s="45" t="n">
        <x:v>45900</x:v>
      </x:c>
      <x:c r="D133" t="str">
        <x:v>principal.A2a</x:v>
      </x:c>
      <x:c r="E133" s="47" t="n">
        <x:v>0</x:v>
      </x:c>
      <x:c r="F133" t="str">
        <x:v>https://www.sec.gov/Archives/edgar/data/2063979/000206397925000025/a2025-2ex991091525.htm</x:v>
      </x:c>
    </x:row>
    <x:row r="134">
      <x:c r="C134" s="45" t="n">
        <x:v>45900</x:v>
      </x:c>
      <x:c r="D134" t="str">
        <x:v>principal.A2b</x:v>
      </x:c>
      <x:c r="E134" s="47" t="n">
        <x:v>0</x:v>
      </x:c>
      <x:c r="F134" t="str">
        <x:v>https://www.sec.gov/Archives/edgar/data/2063979/000206397925000025/a2025-2ex991091525.htm</x:v>
      </x:c>
    </x:row>
    <x:row r="135">
      <x:c r="C135" s="45" t="n">
        <x:v>45900</x:v>
      </x:c>
      <x:c r="D135" t="str">
        <x:v>principal.A3</x:v>
      </x:c>
      <x:c r="E135" s="47" t="n">
        <x:v>0</x:v>
      </x:c>
      <x:c r="F135" t="str">
        <x:v>https://www.sec.gov/Archives/edgar/data/2063979/000206397925000025/a2025-2ex991091525.htm</x:v>
      </x:c>
    </x:row>
    <x:row r="136">
      <x:c r="C136" s="45" t="n">
        <x:v>45900</x:v>
      </x:c>
      <x:c r="D136" t="str">
        <x:v>principal.A4</x:v>
      </x:c>
      <x:c r="E136" s="47" t="n">
        <x:v>0</x:v>
      </x:c>
      <x:c r="F136" t="str">
        <x:v>https://www.sec.gov/Archives/edgar/data/2063979/000206397925000025/a2025-2ex991091525.htm</x:v>
      </x:c>
    </x:row>
    <x:row r="137">
      <x:c r="C137" s="45" t="n">
        <x:v>45900</x:v>
      </x:c>
      <x:c r="D137" t="str">
        <x:v>principal.B</x:v>
      </x:c>
      <x:c r="E137" s="47" t="n">
        <x:v>0</x:v>
      </x:c>
      <x:c r="F137" t="str">
        <x:v>https://www.sec.gov/Archives/edgar/data/2063979/000206397925000025/a2025-2ex991091525.htm</x:v>
      </x:c>
    </x:row>
    <x:row r="138">
      <x:c r="C138" s="45" t="n">
        <x:v>45900</x:v>
      </x:c>
      <x:c r="D138" t="str">
        <x:v>principal.C</x:v>
      </x:c>
      <x:c r="E138" s="47" t="n">
        <x:v>0</x:v>
      </x:c>
      <x:c r="F138" t="str">
        <x:v>https://www.sec.gov/Archives/edgar/data/2063979/000206397925000025/a2025-2ex991091525.htm</x:v>
      </x:c>
    </x:row>
    <x:row r="139">
      <x:c r="C139" s="45" t="n">
        <x:v>45900</x:v>
      </x:c>
      <x:c r="D139" t="str">
        <x:v>principal.D</x:v>
      </x:c>
      <x:c r="E139" s="47" t="n">
        <x:v>0</x:v>
      </x:c>
      <x:c r="F139" t="str">
        <x:v>https://www.sec.gov/Archives/edgar/data/2063979/000206397925000025/a2025-2ex991091525.htm</x:v>
      </x:c>
    </x:row>
    <x:row r="140">
      <x:c r="C140" s="45" t="n">
        <x:v>45900</x:v>
      </x:c>
      <x:c r="D140" t="str">
        <x:v>note_end.A1</x:v>
      </x:c>
      <x:c r="E140" s="47" t="n">
        <x:v>48684225.6</x:v>
      </x:c>
      <x:c r="F140" t="str">
        <x:v>https://www.sec.gov/Archives/edgar/data/2063979/000206397925000025/a2025-2ex991091525.htm</x:v>
      </x:c>
    </x:row>
    <x:row r="141">
      <x:c r="C141" s="45" t="n">
        <x:v>45900</x:v>
      </x:c>
      <x:c r="D141" t="str">
        <x:v>note_end.A2a</x:v>
      </x:c>
      <x:c r="E141" s="47" t="n">
        <x:v>350000000</x:v>
      </x:c>
      <x:c r="F141" t="str">
        <x:v>https://www.sec.gov/Archives/edgar/data/2063979/000206397925000025/a2025-2ex991091525.htm</x:v>
      </x:c>
    </x:row>
    <x:row r="142">
      <x:c r="C142" s="45" t="n">
        <x:v>45900</x:v>
      </x:c>
      <x:c r="D142" t="str">
        <x:v>note_end.A2b</x:v>
      </x:c>
      <x:c r="E142" s="47" t="n">
        <x:v>161510000</x:v>
      </x:c>
      <x:c r="F142" t="str">
        <x:v>https://www.sec.gov/Archives/edgar/data/2063979/000206397925000025/a2025-2ex991091525.htm</x:v>
      </x:c>
    </x:row>
    <x:row r="143">
      <x:c r="C143" s="45" t="n">
        <x:v>45900</x:v>
      </x:c>
      <x:c r="D143" t="str">
        <x:v>note_end.A3</x:v>
      </x:c>
      <x:c r="E143" s="47" t="n">
        <x:v>452100000</x:v>
      </x:c>
      <x:c r="F143" t="str">
        <x:v>https://www.sec.gov/Archives/edgar/data/2063979/000206397925000025/a2025-2ex991091525.htm</x:v>
      </x:c>
    </x:row>
    <x:row r="144">
      <x:c r="C144" s="45" t="n">
        <x:v>45900</x:v>
      </x:c>
      <x:c r="D144" t="str">
        <x:v>note_end.A4</x:v>
      </x:c>
      <x:c r="E144" s="47" t="n">
        <x:v>89000000</x:v>
      </x:c>
      <x:c r="F144" t="str">
        <x:v>https://www.sec.gov/Archives/edgar/data/2063979/000206397925000025/a2025-2ex991091525.htm</x:v>
      </x:c>
    </x:row>
    <x:row r="145">
      <x:c r="C145" s="45" t="n">
        <x:v>45900</x:v>
      </x:c>
      <x:c r="D145" t="str">
        <x:v>note_end.B</x:v>
      </x:c>
      <x:c r="E145" s="47" t="n">
        <x:v>28920000</x:v>
      </x:c>
      <x:c r="F145" t="str">
        <x:v>https://www.sec.gov/Archives/edgar/data/2063979/000206397925000025/a2025-2ex991091525.htm</x:v>
      </x:c>
    </x:row>
    <x:row r="146">
      <x:c r="C146" s="45" t="n">
        <x:v>45900</x:v>
      </x:c>
      <x:c r="D146" t="str">
        <x:v>note_end.C</x:v>
      </x:c>
      <x:c r="E146" s="47" t="n">
        <x:v>21160000</x:v>
      </x:c>
      <x:c r="F146" t="str">
        <x:v>https://www.sec.gov/Archives/edgar/data/2063979/000206397925000025/a2025-2ex991091525.htm</x:v>
      </x:c>
    </x:row>
    <x:row r="147">
      <x:c r="C147" s="45" t="n">
        <x:v>45900</x:v>
      </x:c>
      <x:c r="D147" t="str">
        <x:v>note_end.D</x:v>
      </x:c>
      <x:c r="E147" s="47" t="n">
        <x:v>14110000</x:v>
      </x:c>
      <x:c r="F147" t="str">
        <x:v>https://www.sec.gov/Archives/edgar/data/2063979/000206397925000025/a2025-2ex991091525.htm</x:v>
      </x:c>
    </x:row>
    <x:row r="148">
      <x:c r="C148" s="45" t="n">
        <x:v>45900</x:v>
      </x:c>
      <x:c r="D148" t="str">
        <x:v>priority_principal</x:v>
      </x:c>
      <x:c r="E148" s="47" t="n">
        <x:v>0</x:v>
      </x:c>
      <x:c r="F148" t="str">
        <x:v>https://www.sec.gov/Archives/edgar/data/2063979/000206397925000025/a2025-2ex991091525.htm</x:v>
      </x:c>
    </x:row>
    <x:row r="149">
      <x:c r="C149" s="45" t="n">
        <x:v>45900</x:v>
      </x:c>
      <x:c r="D149" t="str">
        <x:v>secondary_principal</x:v>
      </x:c>
      <x:c r="E149" s="47" t="n">
        <x:v>0</x:v>
      </x:c>
      <x:c r="F149" t="str">
        <x:v>https://www.sec.gov/Archives/edgar/data/2063979/000206397925000025/a2025-2ex991091525.htm</x:v>
      </x:c>
    </x:row>
    <x:row r="150">
      <x:c r="C150" s="45" t="n">
        <x:v>45900</x:v>
      </x:c>
      <x:c r="D150" t="str">
        <x:v>tertiary_principal</x:v>
      </x:c>
      <x:c r="E150" s="47" t="n">
        <x:v>20292136.16</x:v>
      </x:c>
      <x:c r="F150" t="str">
        <x:v>https://www.sec.gov/Archives/edgar/data/2063979/000206397925000025/a2025-2ex991091525.htm</x:v>
      </x:c>
    </x:row>
    <x:row r="151">
      <x:c r="C151" s="45" t="n">
        <x:v>45900</x:v>
      </x:c>
      <x:c r="D151" t="str">
        <x:v>quaternary_principal</x:v>
      </x:c>
      <x:c r="E151" s="47" t="n">
        <x:v>14110000</x:v>
      </x:c>
      <x:c r="F151" t="str">
        <x:v>https://www.sec.gov/Archives/edgar/data/2063979/000206397925000025/a2025-2ex991091525.htm</x:v>
      </x:c>
    </x:row>
    <x:row r="152">
      <x:c r="C152" s="45" t="n">
        <x:v>45900</x:v>
      </x:c>
      <x:c r="D152" t="str">
        <x:v>regular_principal</x:v>
      </x:c>
      <x:c r="E152" s="47" t="n">
        <x:v>10579421.74</x:v>
      </x:c>
      <x:c r="F152" t="str">
        <x:v>https://www.sec.gov/Archives/edgar/data/2063979/000206397925000025/a2025-2ex991091525.htm</x:v>
      </x:c>
    </x:row>
    <x:row r="153">
      <x:c r="C153" s="45" t="n">
        <x:v>45900</x:v>
      </x:c>
      <x:c r="D153" t="str">
        <x:v>oc_target</x:v>
      </x:c>
      <x:c r="E153" s="47" t="n">
        <x:v>10579421.74</x:v>
      </x:c>
      <x:c r="F153" t="str">
        <x:v>https://www.sec.gov/Archives/edgar/data/2063979/000206397925000025/a2025-2ex991091525.htm</x:v>
      </x:c>
    </x:row>
    <x:row r="154">
      <x:c r="C154" s="45" t="n">
        <x:v>45930</x:v>
      </x:c>
      <x:c r="D154" t="str">
        <x:v>servicing_fee</x:v>
      </x:c>
      <x:c r="E154" s="47" t="n">
        <x:v>980053.04</x:v>
      </x:c>
      <x:c r="F154" t="str">
        <x:v>https://www.sec.gov/Archives/edgar/data/2063979/000206397925000030/a2025-2ex991101525.htm</x:v>
      </x:c>
    </x:row>
    <x:row r="155">
      <x:c r="C155" s="45" t="n">
        <x:v>45930</x:v>
      </x:c>
      <x:c r="D155" t="str">
        <x:v>total_note_interest</x:v>
      </x:c>
      <x:c r="E155" s="47" t="n">
        <x:v>4512063.21</x:v>
      </x:c>
      <x:c r="F155" t="str">
        <x:v>https://www.sec.gov/Archives/edgar/data/2063979/000206397925000030/a2025-2ex991101525.htm</x:v>
      </x:c>
    </x:row>
    <x:row r="156">
      <x:c r="C156" s="45" t="n">
        <x:v>45930</x:v>
      </x:c>
      <x:c r="D156" t="str">
        <x:v>total_note_principal</x:v>
      </x:c>
      <x:c r="E156" s="47" t="n">
        <x:v>41139351.83</x:v>
      </x:c>
      <x:c r="F156" t="str">
        <x:v>https://www.sec.gov/Archives/edgar/data/2063979/000206397925000030/a2025-2ex991101525.htm</x:v>
      </x:c>
    </x:row>
    <x:row r="157">
      <x:c r="C157" s="45" t="n">
        <x:v>45930</x:v>
      </x:c>
      <x:c r="D157" t="str">
        <x:v>residual_distribution</x:v>
      </x:c>
      <x:c r="E157" s="47" t="n">
        <x:v>2852287.98</x:v>
      </x:c>
      <x:c r="F157" t="str">
        <x:v>https://www.sec.gov/Archives/edgar/data/2063979/000206397925000030/a2025-2ex991101525.htm</x:v>
      </x:c>
    </x:row>
    <x:row r="158">
      <x:c r="C158" s="45" t="n">
        <x:v>45930</x:v>
      </x:c>
      <x:c r="D158" t="str">
        <x:v>reserve_deposit</x:v>
      </x:c>
      <x:c r="E158" s="47" t="n">
        <x:v>0</x:v>
      </x:c>
      <x:c r="F158" t="str">
        <x:v>https://www.sec.gov/Archives/edgar/data/2063979/000206397925000030/a2025-2ex991101525.htm</x:v>
      </x:c>
    </x:row>
    <x:row r="159">
      <x:c r="C159" s="45" t="n">
        <x:v>45930</x:v>
      </x:c>
      <x:c r="D159" t="str">
        <x:v>reserve_end</x:v>
      </x:c>
      <x:c r="E159" s="47" t="n">
        <x:v>3526448.55</x:v>
      </x:c>
      <x:c r="F159" t="str">
        <x:v>https://www.sec.gov/Archives/edgar/data/2063979/000206397925000030/a2025-2ex991101525.htm</x:v>
      </x:c>
    </x:row>
    <x:row r="160">
      <x:c r="C160" s="45" t="n">
        <x:v>45930</x:v>
      </x:c>
      <x:c r="D160" t="str">
        <x:v>reserve_release</x:v>
      </x:c>
      <x:c r="E160" s="47" t="n">
        <x:v>11969.04</x:v>
      </x:c>
      <x:c r="F160" t="str">
        <x:v>https://www.sec.gov/Archives/edgar/data/2063979/000206397925000030/a2025-2ex991101525.htm</x:v>
      </x:c>
    </x:row>
    <x:row r="161">
      <x:c r="C161" s="45" t="n">
        <x:v>45930</x:v>
      </x:c>
      <x:c r="D161" t="str">
        <x:v>interest.A1</x:v>
      </x:c>
      <x:c r="E161" s="47" t="n">
        <x:v>181267.6</x:v>
      </x:c>
      <x:c r="F161" t="str">
        <x:v>https://www.sec.gov/Archives/edgar/data/2063979/000206397925000030/a2025-2ex991101525.htm</x:v>
      </x:c>
    </x:row>
    <x:row r="162">
      <x:c r="C162" s="45" t="n">
        <x:v>45930</x:v>
      </x:c>
      <x:c r="D162" t="str">
        <x:v>interest.A2a</x:v>
      </x:c>
      <x:c r="E162" s="47" t="n">
        <x:v>1338750</x:v>
      </x:c>
      <x:c r="F162" t="str">
        <x:v>https://www.sec.gov/Archives/edgar/data/2063979/000206397925000030/a2025-2ex991101525.htm</x:v>
      </x:c>
    </x:row>
    <x:row r="163">
      <x:c r="C163" s="45" t="n">
        <x:v>45930</x:v>
      </x:c>
      <x:c r="D163" t="str">
        <x:v>interest.A2b</x:v>
      </x:c>
      <x:c r="E163" s="47" t="n">
        <x:v>681313.78</x:v>
      </x:c>
      <x:c r="F163" t="str">
        <x:v>https://www.sec.gov/Archives/edgar/data/2063979/000206397925000030/a2025-2ex991101525.htm</x:v>
      </x:c>
    </x:row>
    <x:row r="164">
      <x:c r="C164" s="45" t="n">
        <x:v>45930</x:v>
      </x:c>
      <x:c r="D164" t="str">
        <x:v>interest.A3</x:v>
      </x:c>
      <x:c r="E164" s="47" t="n">
        <x:v>1687840</x:v>
      </x:c>
      <x:c r="F164" t="str">
        <x:v>https://www.sec.gov/Archives/edgar/data/2063979/000206397925000030/a2025-2ex991101525.htm</x:v>
      </x:c>
    </x:row>
    <x:row r="165">
      <x:c r="C165" s="45" t="n">
        <x:v>45930</x:v>
      </x:c>
      <x:c r="D165" t="str">
        <x:v>interest.A4</x:v>
      </x:c>
      <x:c r="E165" s="47" t="n">
        <x:v>344875</x:v>
      </x:c>
      <x:c r="F165" t="str">
        <x:v>https://www.sec.gov/Archives/edgar/data/2063979/000206397925000030/a2025-2ex991101525.htm</x:v>
      </x:c>
    </x:row>
    <x:row r="166">
      <x:c r="C166" s="45" t="n">
        <x:v>45930</x:v>
      </x:c>
      <x:c r="D166" t="str">
        <x:v>interest.B</x:v>
      </x:c>
      <x:c r="E166" s="47" t="n">
        <x:v>119536</x:v>
      </x:c>
      <x:c r="F166" t="str">
        <x:v>https://www.sec.gov/Archives/edgar/data/2063979/000206397925000030/a2025-2ex991101525.htm</x:v>
      </x:c>
    </x:row>
    <x:row r="167">
      <x:c r="C167" s="45" t="n">
        <x:v>45930</x:v>
      </x:c>
      <x:c r="D167" t="str">
        <x:v>interest.C</x:v>
      </x:c>
      <x:c r="E167" s="47" t="n">
        <x:v>90988</x:v>
      </x:c>
      <x:c r="F167" t="str">
        <x:v>https://www.sec.gov/Archives/edgar/data/2063979/000206397925000030/a2025-2ex991101525.htm</x:v>
      </x:c>
    </x:row>
    <x:row r="168">
      <x:c r="C168" s="45" t="n">
        <x:v>45930</x:v>
      </x:c>
      <x:c r="D168" t="str">
        <x:v>interest.D</x:v>
      </x:c>
      <x:c r="E168" s="47" t="n">
        <x:v>67492.83</x:v>
      </x:c>
      <x:c r="F168" t="str">
        <x:v>https://www.sec.gov/Archives/edgar/data/2063979/000206397925000030/a2025-2ex991101525.htm</x:v>
      </x:c>
    </x:row>
    <x:row r="169">
      <x:c r="C169" s="45" t="n">
        <x:v>45930</x:v>
      </x:c>
      <x:c r="D169" t="str">
        <x:v>principal.A1</x:v>
      </x:c>
      <x:c r="E169" s="47" t="n">
        <x:v>41139351.83</x:v>
      </x:c>
      <x:c r="F169" t="str">
        <x:v>https://www.sec.gov/Archives/edgar/data/2063979/000206397925000030/a2025-2ex991101525.htm</x:v>
      </x:c>
    </x:row>
    <x:row r="170">
      <x:c r="C170" s="45" t="n">
        <x:v>45930</x:v>
      </x:c>
      <x:c r="D170" t="str">
        <x:v>principal.A2a</x:v>
      </x:c>
      <x:c r="E170" s="47" t="n">
        <x:v>0</x:v>
      </x:c>
      <x:c r="F170" t="str">
        <x:v>https://www.sec.gov/Archives/edgar/data/2063979/000206397925000030/a2025-2ex991101525.htm</x:v>
      </x:c>
    </x:row>
    <x:row r="171">
      <x:c r="C171" s="45" t="n">
        <x:v>45930</x:v>
      </x:c>
      <x:c r="D171" t="str">
        <x:v>principal.A2b</x:v>
      </x:c>
      <x:c r="E171" s="47" t="n">
        <x:v>0</x:v>
      </x:c>
      <x:c r="F171" t="str">
        <x:v>https://www.sec.gov/Archives/edgar/data/2063979/000206397925000030/a2025-2ex991101525.htm</x:v>
      </x:c>
    </x:row>
    <x:row r="172">
      <x:c r="C172" s="45" t="n">
        <x:v>45930</x:v>
      </x:c>
      <x:c r="D172" t="str">
        <x:v>principal.A3</x:v>
      </x:c>
      <x:c r="E172" s="47" t="n">
        <x:v>0</x:v>
      </x:c>
      <x:c r="F172" t="str">
        <x:v>https://www.sec.gov/Archives/edgar/data/2063979/000206397925000030/a2025-2ex991101525.htm</x:v>
      </x:c>
    </x:row>
    <x:row r="173">
      <x:c r="C173" s="45" t="n">
        <x:v>45930</x:v>
      </x:c>
      <x:c r="D173" t="str">
        <x:v>principal.A4</x:v>
      </x:c>
      <x:c r="E173" s="47" t="n">
        <x:v>0</x:v>
      </x:c>
      <x:c r="F173" t="str">
        <x:v>https://www.sec.gov/Archives/edgar/data/2063979/000206397925000030/a2025-2ex991101525.htm</x:v>
      </x:c>
    </x:row>
    <x:row r="174">
      <x:c r="C174" s="45" t="n">
        <x:v>45930</x:v>
      </x:c>
      <x:c r="D174" t="str">
        <x:v>principal.B</x:v>
      </x:c>
      <x:c r="E174" s="47" t="n">
        <x:v>0</x:v>
      </x:c>
      <x:c r="F174" t="str">
        <x:v>https://www.sec.gov/Archives/edgar/data/2063979/000206397925000030/a2025-2ex991101525.htm</x:v>
      </x:c>
    </x:row>
    <x:row r="175">
      <x:c r="C175" s="45" t="n">
        <x:v>45930</x:v>
      </x:c>
      <x:c r="D175" t="str">
        <x:v>principal.C</x:v>
      </x:c>
      <x:c r="E175" s="47" t="n">
        <x:v>0</x:v>
      </x:c>
      <x:c r="F175" t="str">
        <x:v>https://www.sec.gov/Archives/edgar/data/2063979/000206397925000030/a2025-2ex991101525.htm</x:v>
      </x:c>
    </x:row>
    <x:row r="176">
      <x:c r="C176" s="45" t="n">
        <x:v>45930</x:v>
      </x:c>
      <x:c r="D176" t="str">
        <x:v>principal.D</x:v>
      </x:c>
      <x:c r="E176" s="47" t="n">
        <x:v>0</x:v>
      </x:c>
      <x:c r="F176" t="str">
        <x:v>https://www.sec.gov/Archives/edgar/data/2063979/000206397925000030/a2025-2ex991101525.htm</x:v>
      </x:c>
    </x:row>
    <x:row r="177">
      <x:c r="C177" s="45" t="n">
        <x:v>45930</x:v>
      </x:c>
      <x:c r="D177" t="str">
        <x:v>note_end.A1</x:v>
      </x:c>
      <x:c r="E177" s="47" t="n">
        <x:v>7544873.77</x:v>
      </x:c>
      <x:c r="F177" t="str">
        <x:v>https://www.sec.gov/Archives/edgar/data/2063979/000206397925000030/a2025-2ex991101525.htm</x:v>
      </x:c>
    </x:row>
    <x:row r="178">
      <x:c r="C178" s="45" t="n">
        <x:v>45930</x:v>
      </x:c>
      <x:c r="D178" t="str">
        <x:v>note_end.A2a</x:v>
      </x:c>
      <x:c r="E178" s="47" t="n">
        <x:v>350000000</x:v>
      </x:c>
      <x:c r="F178" t="str">
        <x:v>https://www.sec.gov/Archives/edgar/data/2063979/000206397925000030/a2025-2ex991101525.htm</x:v>
      </x:c>
    </x:row>
    <x:row r="179">
      <x:c r="C179" s="45" t="n">
        <x:v>45930</x:v>
      </x:c>
      <x:c r="D179" t="str">
        <x:v>note_end.A2b</x:v>
      </x:c>
      <x:c r="E179" s="47" t="n">
        <x:v>161510000</x:v>
      </x:c>
      <x:c r="F179" t="str">
        <x:v>https://www.sec.gov/Archives/edgar/data/2063979/000206397925000030/a2025-2ex991101525.htm</x:v>
      </x:c>
    </x:row>
    <x:row r="180">
      <x:c r="C180" s="45" t="n">
        <x:v>45930</x:v>
      </x:c>
      <x:c r="D180" t="str">
        <x:v>note_end.A3</x:v>
      </x:c>
      <x:c r="E180" s="47" t="n">
        <x:v>452100000</x:v>
      </x:c>
      <x:c r="F180" t="str">
        <x:v>https://www.sec.gov/Archives/edgar/data/2063979/000206397925000030/a2025-2ex991101525.htm</x:v>
      </x:c>
    </x:row>
    <x:row r="181">
      <x:c r="C181" s="45" t="n">
        <x:v>45930</x:v>
      </x:c>
      <x:c r="D181" t="str">
        <x:v>note_end.A4</x:v>
      </x:c>
      <x:c r="E181" s="47" t="n">
        <x:v>89000000</x:v>
      </x:c>
      <x:c r="F181" t="str">
        <x:v>https://www.sec.gov/Archives/edgar/data/2063979/000206397925000030/a2025-2ex991101525.htm</x:v>
      </x:c>
    </x:row>
    <x:row r="182">
      <x:c r="C182" s="45" t="n">
        <x:v>45930</x:v>
      </x:c>
      <x:c r="D182" t="str">
        <x:v>note_end.B</x:v>
      </x:c>
      <x:c r="E182" s="47" t="n">
        <x:v>28920000</x:v>
      </x:c>
      <x:c r="F182" t="str">
        <x:v>https://www.sec.gov/Archives/edgar/data/2063979/000206397925000030/a2025-2ex991101525.htm</x:v>
      </x:c>
    </x:row>
    <x:row r="183">
      <x:c r="C183" s="45" t="n">
        <x:v>45930</x:v>
      </x:c>
      <x:c r="D183" t="str">
        <x:v>note_end.C</x:v>
      </x:c>
      <x:c r="E183" s="47" t="n">
        <x:v>21160000</x:v>
      </x:c>
      <x:c r="F183" t="str">
        <x:v>https://www.sec.gov/Archives/edgar/data/2063979/000206397925000030/a2025-2ex991101525.htm</x:v>
      </x:c>
    </x:row>
    <x:row r="184">
      <x:c r="C184" s="45" t="n">
        <x:v>45930</x:v>
      </x:c>
      <x:c r="D184" t="str">
        <x:v>note_end.D</x:v>
      </x:c>
      <x:c r="E184" s="47" t="n">
        <x:v>14110000</x:v>
      </x:c>
      <x:c r="F184" t="str">
        <x:v>https://www.sec.gov/Archives/edgar/data/2063979/000206397925000030/a2025-2ex991101525.htm</x:v>
      </x:c>
    </x:row>
    <x:row r="185">
      <x:c r="C185" s="45" t="n">
        <x:v>45930</x:v>
      </x:c>
      <x:c r="D185" t="str">
        <x:v>priority_principal</x:v>
      </x:c>
      <x:c r="E185" s="47" t="n">
        <x:v>0</x:v>
      </x:c>
      <x:c r="F185" t="str">
        <x:v>https://www.sec.gov/Archives/edgar/data/2063979/000206397925000030/a2025-2ex991101525.htm</x:v>
      </x:c>
    </x:row>
    <x:row r="186">
      <x:c r="C186" s="45" t="n">
        <x:v>45930</x:v>
      </x:c>
      <x:c r="D186" t="str">
        <x:v>secondary_principal</x:v>
      </x:c>
      <x:c r="E186" s="47" t="n">
        <x:v>0</x:v>
      </x:c>
      <x:c r="F186" t="str">
        <x:v>https://www.sec.gov/Archives/edgar/data/2063979/000206397925000030/a2025-2ex991101525.htm</x:v>
      </x:c>
    </x:row>
    <x:row r="187">
      <x:c r="C187" s="45" t="n">
        <x:v>45930</x:v>
      </x:c>
      <x:c r="D187" t="str">
        <x:v>tertiary_principal</x:v>
      </x:c>
      <x:c r="E187" s="47" t="n">
        <x:v>16449930.09</x:v>
      </x:c>
      <x:c r="F187" t="str">
        <x:v>https://www.sec.gov/Archives/edgar/data/2063979/000206397925000030/a2025-2ex991101525.htm</x:v>
      </x:c>
    </x:row>
    <x:row r="188">
      <x:c r="C188" s="45" t="n">
        <x:v>45930</x:v>
      </x:c>
      <x:c r="D188" t="str">
        <x:v>quaternary_principal</x:v>
      </x:c>
      <x:c r="E188" s="47" t="n">
        <x:v>14110000</x:v>
      </x:c>
      <x:c r="F188" t="str">
        <x:v>https://www.sec.gov/Archives/edgar/data/2063979/000206397925000030/a2025-2ex991101525.htm</x:v>
      </x:c>
    </x:row>
    <x:row r="189">
      <x:c r="C189" s="45" t="n">
        <x:v>45930</x:v>
      </x:c>
      <x:c r="D189" t="str">
        <x:v>regular_principal</x:v>
      </x:c>
      <x:c r="E189" s="47" t="n">
        <x:v>10579421.74</x:v>
      </x:c>
      <x:c r="F189" t="str">
        <x:v>https://www.sec.gov/Archives/edgar/data/2063979/000206397925000030/a2025-2ex991101525.htm</x:v>
      </x:c>
    </x:row>
    <x:row r="190">
      <x:c r="C190" s="45" t="n">
        <x:v>45930</x:v>
      </x:c>
      <x:c r="D190" t="str">
        <x:v>oc_target</x:v>
      </x:c>
      <x:c r="E190" s="47" t="n">
        <x:v>10579421.74</x:v>
      </x:c>
      <x:c r="F190" t="str">
        <x:v>https://www.sec.gov/Archives/edgar/data/2063979/000206397925000030/a2025-2ex991101525.htm</x:v>
      </x:c>
    </x:row>
    <x:row r="191">
      <x:c r="C191" s="45" t="n">
        <x:v>45961</x:v>
      </x:c>
      <x:c r="D191" t="str">
        <x:v>servicing_fee</x:v>
      </x:c>
      <x:c r="E191" s="47" t="n">
        <x:v>945770.25</x:v>
      </x:c>
      <x:c r="F191" t="str">
        <x:v>https://www.sec.gov/Archives/edgar/data/2063979/000206397925000035/a2025-2ex991111725.htm</x:v>
      </x:c>
    </x:row>
    <x:row r="192">
      <x:c r="C192" s="45" t="n">
        <x:v>45961</x:v>
      </x:c>
      <x:c r="D192" t="str">
        <x:v>total_note_interest</x:v>
      </x:c>
      <x:c r="E192" s="47" t="n">
        <x:v>4409336.57</x:v>
      </x:c>
      <x:c r="F192" t="str">
        <x:v>https://www.sec.gov/Archives/edgar/data/2063979/000206397925000035/a2025-2ex991111725.htm</x:v>
      </x:c>
    </x:row>
    <x:row r="193">
      <x:c r="C193" s="45" t="n">
        <x:v>45961</x:v>
      </x:c>
      <x:c r="D193" t="str">
        <x:v>total_note_principal</x:v>
      </x:c>
      <x:c r="E193" s="47" t="n">
        <x:v>40923030.91</x:v>
      </x:c>
      <x:c r="F193" t="str">
        <x:v>https://www.sec.gov/Archives/edgar/data/2063979/000206397925000035/a2025-2ex991111725.htm</x:v>
      </x:c>
    </x:row>
    <x:row r="194">
      <x:c r="C194" s="45" t="n">
        <x:v>45961</x:v>
      </x:c>
      <x:c r="D194" t="str">
        <x:v>residual_distribution</x:v>
      </x:c>
      <x:c r="E194" s="47" t="n">
        <x:v>2780376.03</x:v>
      </x:c>
      <x:c r="F194" t="str">
        <x:v>https://www.sec.gov/Archives/edgar/data/2063979/000206397925000035/a2025-2ex991111725.htm</x:v>
      </x:c>
    </x:row>
    <x:row r="195">
      <x:c r="C195" s="45" t="n">
        <x:v>45961</x:v>
      </x:c>
      <x:c r="D195" t="str">
        <x:v>reserve_deposit</x:v>
      </x:c>
      <x:c r="E195" s="47" t="n">
        <x:v>0</x:v>
      </x:c>
      <x:c r="F195" t="str">
        <x:v>https://www.sec.gov/Archives/edgar/data/2063979/000206397925000035/a2025-2ex991111725.htm</x:v>
      </x:c>
    </x:row>
    <x:row r="196">
      <x:c r="C196" s="45" t="n">
        <x:v>45961</x:v>
      </x:c>
      <x:c r="D196" t="str">
        <x:v>reserve_end</x:v>
      </x:c>
      <x:c r="E196" s="47" t="n">
        <x:v>3526448.55</x:v>
      </x:c>
      <x:c r="F196" t="str">
        <x:v>https://www.sec.gov/Archives/edgar/data/2063979/000206397925000035/a2025-2ex991111725.htm</x:v>
      </x:c>
    </x:row>
    <x:row r="197">
      <x:c r="C197" s="45" t="n">
        <x:v>45961</x:v>
      </x:c>
      <x:c r="D197" t="str">
        <x:v>reserve_release</x:v>
      </x:c>
      <x:c r="E197" s="47" t="n">
        <x:v>12085.76</x:v>
      </x:c>
      <x:c r="F197" t="str">
        <x:v>https://www.sec.gov/Archives/edgar/data/2063979/000206397925000035/a2025-2ex991111725.htm</x:v>
      </x:c>
    </x:row>
    <x:row r="198">
      <x:c r="C198" s="45" t="n">
        <x:v>45961</x:v>
      </x:c>
      <x:c r="D198" t="str">
        <x:v>interest.A1</x:v>
      </x:c>
      <x:c r="E198" s="47" t="n">
        <x:v>30901.29</x:v>
      </x:c>
      <x:c r="F198" t="str">
        <x:v>https://www.sec.gov/Archives/edgar/data/2063979/000206397925000035/a2025-2ex991111725.htm</x:v>
      </x:c>
    </x:row>
    <x:row r="199">
      <x:c r="C199" s="45" t="n">
        <x:v>45961</x:v>
      </x:c>
      <x:c r="D199" t="str">
        <x:v>interest.A2a</x:v>
      </x:c>
      <x:c r="E199" s="47" t="n">
        <x:v>1338750</x:v>
      </x:c>
      <x:c r="F199" t="str">
        <x:v>https://www.sec.gov/Archives/edgar/data/2063979/000206397925000035/a2025-2ex991111725.htm</x:v>
      </x:c>
    </x:row>
    <x:row r="200">
      <x:c r="C200" s="45" t="n">
        <x:v>45961</x:v>
      </x:c>
      <x:c r="D200" t="str">
        <x:v>interest.A2b</x:v>
      </x:c>
      <x:c r="E200" s="47" t="n">
        <x:v>728953.45</x:v>
      </x:c>
      <x:c r="F200" t="str">
        <x:v>https://www.sec.gov/Archives/edgar/data/2063979/000206397925000035/a2025-2ex991111725.htm</x:v>
      </x:c>
    </x:row>
    <x:row r="201">
      <x:c r="C201" s="45" t="n">
        <x:v>45961</x:v>
      </x:c>
      <x:c r="D201" t="str">
        <x:v>interest.A3</x:v>
      </x:c>
      <x:c r="E201" s="47" t="n">
        <x:v>1687840</x:v>
      </x:c>
      <x:c r="F201" t="str">
        <x:v>https://www.sec.gov/Archives/edgar/data/2063979/000206397925000035/a2025-2ex991111725.htm</x:v>
      </x:c>
    </x:row>
    <x:row r="202">
      <x:c r="C202" s="45" t="n">
        <x:v>45961</x:v>
      </x:c>
      <x:c r="D202" t="str">
        <x:v>interest.A4</x:v>
      </x:c>
      <x:c r="E202" s="47" t="n">
        <x:v>344875</x:v>
      </x:c>
      <x:c r="F202" t="str">
        <x:v>https://www.sec.gov/Archives/edgar/data/2063979/000206397925000035/a2025-2ex991111725.htm</x:v>
      </x:c>
    </x:row>
    <x:row r="203">
      <x:c r="C203" s="45" t="n">
        <x:v>45961</x:v>
      </x:c>
      <x:c r="D203" t="str">
        <x:v>interest.B</x:v>
      </x:c>
      <x:c r="E203" s="47" t="n">
        <x:v>119536</x:v>
      </x:c>
      <x:c r="F203" t="str">
        <x:v>https://www.sec.gov/Archives/edgar/data/2063979/000206397925000035/a2025-2ex991111725.htm</x:v>
      </x:c>
    </x:row>
    <x:row r="204">
      <x:c r="C204" s="45" t="n">
        <x:v>45961</x:v>
      </x:c>
      <x:c r="D204" t="str">
        <x:v>interest.C</x:v>
      </x:c>
      <x:c r="E204" s="47" t="n">
        <x:v>90988</x:v>
      </x:c>
      <x:c r="F204" t="str">
        <x:v>https://www.sec.gov/Archives/edgar/data/2063979/000206397925000035/a2025-2ex991111725.htm</x:v>
      </x:c>
    </x:row>
    <x:row r="205">
      <x:c r="C205" s="45" t="n">
        <x:v>45961</x:v>
      </x:c>
      <x:c r="D205" t="str">
        <x:v>interest.D</x:v>
      </x:c>
      <x:c r="E205" s="47" t="n">
        <x:v>67492.83</x:v>
      </x:c>
      <x:c r="F205" t="str">
        <x:v>https://www.sec.gov/Archives/edgar/data/2063979/000206397925000035/a2025-2ex991111725.htm</x:v>
      </x:c>
    </x:row>
    <x:row r="206">
      <x:c r="C206" s="45" t="n">
        <x:v>45961</x:v>
      </x:c>
      <x:c r="D206" t="str">
        <x:v>principal.A1</x:v>
      </x:c>
      <x:c r="E206" s="47" t="n">
        <x:v>7544873.77</x:v>
      </x:c>
      <x:c r="F206" t="str">
        <x:v>https://www.sec.gov/Archives/edgar/data/2063979/000206397925000035/a2025-2ex991111725.htm</x:v>
      </x:c>
    </x:row>
    <x:row r="207">
      <x:c r="C207" s="45" t="n">
        <x:v>45961</x:v>
      </x:c>
      <x:c r="D207" t="str">
        <x:v>principal.A2a</x:v>
      </x:c>
      <x:c r="E207" s="47" t="n">
        <x:v>22838957.2</x:v>
      </x:c>
      <x:c r="F207" t="str">
        <x:v>https://www.sec.gov/Archives/edgar/data/2063979/000206397925000035/a2025-2ex991111725.htm</x:v>
      </x:c>
    </x:row>
    <x:row r="208">
      <x:c r="C208" s="45" t="n">
        <x:v>45961</x:v>
      </x:c>
      <x:c r="D208" t="str">
        <x:v>principal.A2b</x:v>
      </x:c>
      <x:c r="E208" s="47" t="n">
        <x:v>10539199.94</x:v>
      </x:c>
      <x:c r="F208" t="str">
        <x:v>https://www.sec.gov/Archives/edgar/data/2063979/000206397925000035/a2025-2ex991111725.htm</x:v>
      </x:c>
    </x:row>
    <x:row r="209">
      <x:c r="C209" s="45" t="n">
        <x:v>45961</x:v>
      </x:c>
      <x:c r="D209" t="str">
        <x:v>principal.A3</x:v>
      </x:c>
      <x:c r="E209" s="47" t="n">
        <x:v>0</x:v>
      </x:c>
      <x:c r="F209" t="str">
        <x:v>https://www.sec.gov/Archives/edgar/data/2063979/000206397925000035/a2025-2ex991111725.htm</x:v>
      </x:c>
    </x:row>
    <x:row r="210">
      <x:c r="C210" s="45" t="n">
        <x:v>45961</x:v>
      </x:c>
      <x:c r="D210" t="str">
        <x:v>principal.A4</x:v>
      </x:c>
      <x:c r="E210" s="47" t="n">
        <x:v>0</x:v>
      </x:c>
      <x:c r="F210" t="str">
        <x:v>https://www.sec.gov/Archives/edgar/data/2063979/000206397925000035/a2025-2ex991111725.htm</x:v>
      </x:c>
    </x:row>
    <x:row r="211">
      <x:c r="C211" s="45" t="n">
        <x:v>45961</x:v>
      </x:c>
      <x:c r="D211" t="str">
        <x:v>principal.B</x:v>
      </x:c>
      <x:c r="E211" s="47" t="n">
        <x:v>0</x:v>
      </x:c>
      <x:c r="F211" t="str">
        <x:v>https://www.sec.gov/Archives/edgar/data/2063979/000206397925000035/a2025-2ex991111725.htm</x:v>
      </x:c>
    </x:row>
    <x:row r="212">
      <x:c r="C212" s="45" t="n">
        <x:v>45961</x:v>
      </x:c>
      <x:c r="D212" t="str">
        <x:v>principal.C</x:v>
      </x:c>
      <x:c r="E212" s="47" t="n">
        <x:v>0</x:v>
      </x:c>
      <x:c r="F212" t="str">
        <x:v>https://www.sec.gov/Archives/edgar/data/2063979/000206397925000035/a2025-2ex991111725.htm</x:v>
      </x:c>
    </x:row>
    <x:row r="213">
      <x:c r="C213" s="45" t="n">
        <x:v>45961</x:v>
      </x:c>
      <x:c r="D213" t="str">
        <x:v>principal.D</x:v>
      </x:c>
      <x:c r="E213" s="47" t="n">
        <x:v>0</x:v>
      </x:c>
      <x:c r="F213" t="str">
        <x:v>https://www.sec.gov/Archives/edgar/data/2063979/000206397925000035/a2025-2ex991111725.htm</x:v>
      </x:c>
    </x:row>
    <x:row r="214">
      <x:c r="C214" s="45" t="n">
        <x:v>45961</x:v>
      </x:c>
      <x:c r="D214" t="str">
        <x:v>note_end.A1</x:v>
      </x:c>
      <x:c r="E214" s="47" t="n">
        <x:v>0</x:v>
      </x:c>
      <x:c r="F214" t="str">
        <x:v>https://www.sec.gov/Archives/edgar/data/2063979/000206397925000035/a2025-2ex991111725.htm</x:v>
      </x:c>
    </x:row>
    <x:row r="215">
      <x:c r="C215" s="45" t="n">
        <x:v>45961</x:v>
      </x:c>
      <x:c r="D215" t="str">
        <x:v>note_end.A2a</x:v>
      </x:c>
      <x:c r="E215" s="47" t="n">
        <x:v>327161042.8</x:v>
      </x:c>
      <x:c r="F215" t="str">
        <x:v>https://www.sec.gov/Archives/edgar/data/2063979/000206397925000035/a2025-2ex991111725.htm</x:v>
      </x:c>
    </x:row>
    <x:row r="216">
      <x:c r="C216" s="45" t="n">
        <x:v>45961</x:v>
      </x:c>
      <x:c r="D216" t="str">
        <x:v>note_end.A2b</x:v>
      </x:c>
      <x:c r="E216" s="47" t="n">
        <x:v>150970800.06</x:v>
      </x:c>
      <x:c r="F216" t="str">
        <x:v>https://www.sec.gov/Archives/edgar/data/2063979/000206397925000035/a2025-2ex991111725.htm</x:v>
      </x:c>
    </x:row>
    <x:row r="217">
      <x:c r="C217" s="45" t="n">
        <x:v>45961</x:v>
      </x:c>
      <x:c r="D217" t="str">
        <x:v>note_end.A3</x:v>
      </x:c>
      <x:c r="E217" s="47" t="n">
        <x:v>452100000</x:v>
      </x:c>
      <x:c r="F217" t="str">
        <x:v>https://www.sec.gov/Archives/edgar/data/2063979/000206397925000035/a2025-2ex991111725.htm</x:v>
      </x:c>
    </x:row>
    <x:row r="218">
      <x:c r="C218" s="45" t="n">
        <x:v>45961</x:v>
      </x:c>
      <x:c r="D218" t="str">
        <x:v>note_end.A4</x:v>
      </x:c>
      <x:c r="E218" s="47" t="n">
        <x:v>89000000</x:v>
      </x:c>
      <x:c r="F218" t="str">
        <x:v>https://www.sec.gov/Archives/edgar/data/2063979/000206397925000035/a2025-2ex991111725.htm</x:v>
      </x:c>
    </x:row>
    <x:row r="219">
      <x:c r="C219" s="45" t="n">
        <x:v>45961</x:v>
      </x:c>
      <x:c r="D219" t="str">
        <x:v>note_end.B</x:v>
      </x:c>
      <x:c r="E219" s="47" t="n">
        <x:v>28920000</x:v>
      </x:c>
      <x:c r="F219" t="str">
        <x:v>https://www.sec.gov/Archives/edgar/data/2063979/000206397925000035/a2025-2ex991111725.htm</x:v>
      </x:c>
    </x:row>
    <x:row r="220">
      <x:c r="C220" s="45" t="n">
        <x:v>45961</x:v>
      </x:c>
      <x:c r="D220" t="str">
        <x:v>note_end.C</x:v>
      </x:c>
      <x:c r="E220" s="47" t="n">
        <x:v>21160000</x:v>
      </x:c>
      <x:c r="F220" t="str">
        <x:v>https://www.sec.gov/Archives/edgar/data/2063979/000206397925000035/a2025-2ex991111725.htm</x:v>
      </x:c>
    </x:row>
    <x:row r="221">
      <x:c r="C221" s="45" t="n">
        <x:v>45961</x:v>
      </x:c>
      <x:c r="D221" t="str">
        <x:v>note_end.D</x:v>
      </x:c>
      <x:c r="E221" s="47" t="n">
        <x:v>14110000</x:v>
      </x:c>
      <x:c r="F221" t="str">
        <x:v>https://www.sec.gov/Archives/edgar/data/2063979/000206397925000035/a2025-2ex991111725.htm</x:v>
      </x:c>
    </x:row>
    <x:row r="222">
      <x:c r="C222" s="45" t="n">
        <x:v>45961</x:v>
      </x:c>
      <x:c r="D222" t="str">
        <x:v>priority_principal</x:v>
      </x:c>
      <x:c r="E222" s="47" t="n">
        <x:v>0</x:v>
      </x:c>
      <x:c r="F222" t="str">
        <x:v>https://www.sec.gov/Archives/edgar/data/2063979/000206397925000035/a2025-2ex991111725.htm</x:v>
      </x:c>
    </x:row>
    <x:row r="223">
      <x:c r="C223" s="45" t="n">
        <x:v>45961</x:v>
      </x:c>
      <x:c r="D223" t="str">
        <x:v>secondary_principal</x:v>
      </x:c>
      <x:c r="E223" s="47" t="n">
        <x:v>0</x:v>
      </x:c>
      <x:c r="F223" t="str">
        <x:v>https://www.sec.gov/Archives/edgar/data/2063979/000206397925000035/a2025-2ex991111725.htm</x:v>
      </x:c>
    </x:row>
    <x:row r="224">
      <x:c r="C224" s="45" t="n">
        <x:v>45961</x:v>
      </x:c>
      <x:c r="D224" t="str">
        <x:v>tertiary_principal</x:v>
      </x:c>
      <x:c r="E224" s="47" t="n">
        <x:v>16233609.17</x:v>
      </x:c>
      <x:c r="F224" t="str">
        <x:v>https://www.sec.gov/Archives/edgar/data/2063979/000206397925000035/a2025-2ex991111725.htm</x:v>
      </x:c>
    </x:row>
    <x:row r="225">
      <x:c r="C225" s="45" t="n">
        <x:v>45961</x:v>
      </x:c>
      <x:c r="D225" t="str">
        <x:v>quaternary_principal</x:v>
      </x:c>
      <x:c r="E225" s="47" t="n">
        <x:v>14110000</x:v>
      </x:c>
      <x:c r="F225" t="str">
        <x:v>https://www.sec.gov/Archives/edgar/data/2063979/000206397925000035/a2025-2ex991111725.htm</x:v>
      </x:c>
    </x:row>
    <x:row r="226">
      <x:c r="C226" s="45" t="n">
        <x:v>45961</x:v>
      </x:c>
      <x:c r="D226" t="str">
        <x:v>regular_principal</x:v>
      </x:c>
      <x:c r="E226" s="47" t="n">
        <x:v>10579421.74</x:v>
      </x:c>
      <x:c r="F226" t="str">
        <x:v>https://www.sec.gov/Archives/edgar/data/2063979/000206397925000035/a2025-2ex991111725.htm</x:v>
      </x:c>
    </x:row>
    <x:row r="227">
      <x:c r="C227" s="45" t="n">
        <x:v>45961</x:v>
      </x:c>
      <x:c r="D227" t="str">
        <x:v>oc_target</x:v>
      </x:c>
      <x:c r="E227" s="47" t="n">
        <x:v>10579421.74</x:v>
      </x:c>
      <x:c r="F227" t="str">
        <x:v>https://www.sec.gov/Archives/edgar/data/2063979/000206397925000035/a2025-2ex991111725.htm</x:v>
      </x:c>
    </x:row>
    <x:row r="228">
      <x:c r="C228" s="45" t="n">
        <x:v>45991</x:v>
      </x:c>
      <x:c r="D228" t="str">
        <x:v>servicing_fee</x:v>
      </x:c>
      <x:c r="E228" s="47" t="n">
        <x:v>911667.72</x:v>
      </x:c>
      <x:c r="F228" t="str">
        <x:v>https://www.sec.gov/Archives/edgar/data/2063979/000206397925000040/a2025-2ex991121525.htm</x:v>
      </x:c>
    </x:row>
    <x:row r="229">
      <x:c r="C229" s="45" t="n">
        <x:v>45991</x:v>
      </x:c>
      <x:c r="D229" t="str">
        <x:v>total_note_interest</x:v>
      </x:c>
      <x:c r="E229" s="47" t="n">
        <x:v>4129506.98</x:v>
      </x:c>
      <x:c r="F229" t="str">
        <x:v>https://www.sec.gov/Archives/edgar/data/2063979/000206397925000040/a2025-2ex991121525.htm</x:v>
      </x:c>
    </x:row>
    <x:row r="230">
      <x:c r="C230" s="45" t="n">
        <x:v>45991</x:v>
      </x:c>
      <x:c r="D230" t="str">
        <x:v>total_note_principal</x:v>
      </x:c>
      <x:c r="E230" s="47" t="n">
        <x:v>37828487.04</x:v>
      </x:c>
      <x:c r="F230" t="str">
        <x:v>https://www.sec.gov/Archives/edgar/data/2063979/000206397925000040/a2025-2ex991121525.htm</x:v>
      </x:c>
    </x:row>
    <x:row r="231">
      <x:c r="C231" s="45" t="n">
        <x:v>45991</x:v>
      </x:c>
      <x:c r="D231" t="str">
        <x:v>residual_distribution</x:v>
      </x:c>
      <x:c r="E231" s="47" t="n">
        <x:v>3268287.98</x:v>
      </x:c>
      <x:c r="F231" t="str">
        <x:v>https://www.sec.gov/Archives/edgar/data/2063979/000206397925000040/a2025-2ex991121525.htm</x:v>
      </x:c>
    </x:row>
    <x:row r="232">
      <x:c r="C232" s="45" t="n">
        <x:v>45991</x:v>
      </x:c>
      <x:c r="D232" t="str">
        <x:v>reserve_deposit</x:v>
      </x:c>
      <x:c r="E232" s="47" t="n">
        <x:v>0</x:v>
      </x:c>
      <x:c r="F232" t="str">
        <x:v>https://www.sec.gov/Archives/edgar/data/2063979/000206397925000040/a2025-2ex991121525.htm</x:v>
      </x:c>
    </x:row>
    <x:row r="233">
      <x:c r="C233" s="45" t="n">
        <x:v>45991</x:v>
      </x:c>
      <x:c r="D233" t="str">
        <x:v>reserve_end</x:v>
      </x:c>
      <x:c r="E233" s="47" t="n">
        <x:v>3526448.55</x:v>
      </x:c>
      <x:c r="F233" t="str">
        <x:v>https://www.sec.gov/Archives/edgar/data/2063979/000206397925000040/a2025-2ex991121525.htm</x:v>
      </x:c>
    </x:row>
    <x:row r="234">
      <x:c r="C234" s="45" t="n">
        <x:v>45991</x:v>
      </x:c>
      <x:c r="D234" t="str">
        <x:v>reserve_release</x:v>
      </x:c>
      <x:c r="E234" s="47" t="n">
        <x:v>11292.88</x:v>
      </x:c>
      <x:c r="F234" t="str">
        <x:v>https://www.sec.gov/Archives/edgar/data/2063979/000206397925000040/a2025-2ex991121525.htm</x:v>
      </x:c>
    </x:row>
    <x:row r="235">
      <x:c r="C235" s="45" t="n">
        <x:v>45991</x:v>
      </x:c>
      <x:c r="D235" t="str">
        <x:v>interest.A1</x:v>
      </x:c>
      <x:c r="E235" s="47" t="n">
        <x:v>0</x:v>
      </x:c>
      <x:c r="F235" t="str">
        <x:v>https://www.sec.gov/Archives/edgar/data/2063979/000206397925000040/a2025-2ex991121525.htm</x:v>
      </x:c>
    </x:row>
    <x:row r="236">
      <x:c r="C236" s="45" t="n">
        <x:v>45991</x:v>
      </x:c>
      <x:c r="D236" t="str">
        <x:v>interest.A2a</x:v>
      </x:c>
      <x:c r="E236" s="47" t="n">
        <x:v>1251390.99</x:v>
      </x:c>
      <x:c r="F236" t="str">
        <x:v>https://www.sec.gov/Archives/edgar/data/2063979/000206397925000040/a2025-2ex991121525.htm</x:v>
      </x:c>
    </x:row>
    <x:row r="237">
      <x:c r="C237" s="45" t="n">
        <x:v>45991</x:v>
      </x:c>
      <x:c r="D237" t="str">
        <x:v>interest.A2b</x:v>
      </x:c>
      <x:c r="E237" s="47" t="n">
        <x:v>567384.16</x:v>
      </x:c>
      <x:c r="F237" t="str">
        <x:v>https://www.sec.gov/Archives/edgar/data/2063979/000206397925000040/a2025-2ex991121525.htm</x:v>
      </x:c>
    </x:row>
    <x:row r="238">
      <x:c r="C238" s="45" t="n">
        <x:v>45991</x:v>
      </x:c>
      <x:c r="D238" t="str">
        <x:v>interest.A3</x:v>
      </x:c>
      <x:c r="E238" s="47" t="n">
        <x:v>1687840</x:v>
      </x:c>
      <x:c r="F238" t="str">
        <x:v>https://www.sec.gov/Archives/edgar/data/2063979/000206397925000040/a2025-2ex991121525.htm</x:v>
      </x:c>
    </x:row>
    <x:row r="239">
      <x:c r="C239" s="45" t="n">
        <x:v>45991</x:v>
      </x:c>
      <x:c r="D239" t="str">
        <x:v>interest.A4</x:v>
      </x:c>
      <x:c r="E239" s="47" t="n">
        <x:v>344875</x:v>
      </x:c>
      <x:c r="F239" t="str">
        <x:v>https://www.sec.gov/Archives/edgar/data/2063979/000206397925000040/a2025-2ex991121525.htm</x:v>
      </x:c>
    </x:row>
    <x:row r="240">
      <x:c r="C240" s="45" t="n">
        <x:v>45991</x:v>
      </x:c>
      <x:c r="D240" t="str">
        <x:v>interest.B</x:v>
      </x:c>
      <x:c r="E240" s="47" t="n">
        <x:v>119536</x:v>
      </x:c>
      <x:c r="F240" t="str">
        <x:v>https://www.sec.gov/Archives/edgar/data/2063979/000206397925000040/a2025-2ex991121525.htm</x:v>
      </x:c>
    </x:row>
    <x:row r="241">
      <x:c r="C241" s="45" t="n">
        <x:v>45991</x:v>
      </x:c>
      <x:c r="D241" t="str">
        <x:v>interest.C</x:v>
      </x:c>
      <x:c r="E241" s="47" t="n">
        <x:v>90988</x:v>
      </x:c>
      <x:c r="F241" t="str">
        <x:v>https://www.sec.gov/Archives/edgar/data/2063979/000206397925000040/a2025-2ex991121525.htm</x:v>
      </x:c>
    </x:row>
    <x:row r="242">
      <x:c r="C242" s="45" t="n">
        <x:v>45991</x:v>
      </x:c>
      <x:c r="D242" t="str">
        <x:v>interest.D</x:v>
      </x:c>
      <x:c r="E242" s="47" t="n">
        <x:v>67492.83</x:v>
      </x:c>
      <x:c r="F242" t="str">
        <x:v>https://www.sec.gov/Archives/edgar/data/2063979/000206397925000040/a2025-2ex991121525.htm</x:v>
      </x:c>
    </x:row>
    <x:row r="243">
      <x:c r="C243" s="45" t="n">
        <x:v>45991</x:v>
      </x:c>
      <x:c r="D243" t="str">
        <x:v>principal.A1</x:v>
      </x:c>
      <x:c r="E243" s="47" t="n">
        <x:v>0</x:v>
      </x:c>
      <x:c r="F243" t="str">
        <x:v>https://www.sec.gov/Archives/edgar/data/2063979/000206397925000040/a2025-2ex991121525.htm</x:v>
      </x:c>
    </x:row>
    <x:row r="244">
      <x:c r="C244" s="45" t="n">
        <x:v>45991</x:v>
      </x:c>
      <x:c r="D244" t="str">
        <x:v>principal.A2a</x:v>
      </x:c>
      <x:c r="E244" s="47" t="n">
        <x:v>25884089.19</x:v>
      </x:c>
      <x:c r="F244" t="str">
        <x:v>https://www.sec.gov/Archives/edgar/data/2063979/000206397925000040/a2025-2ex991121525.htm</x:v>
      </x:c>
    </x:row>
    <x:row r="245">
      <x:c r="C245" s="45" t="n">
        <x:v>45991</x:v>
      </x:c>
      <x:c r="D245" t="str">
        <x:v>principal.A2b</x:v>
      </x:c>
      <x:c r="E245" s="47" t="n">
        <x:v>11944397.85</x:v>
      </x:c>
      <x:c r="F245" t="str">
        <x:v>https://www.sec.gov/Archives/edgar/data/2063979/000206397925000040/a2025-2ex991121525.htm</x:v>
      </x:c>
    </x:row>
    <x:row r="246">
      <x:c r="C246" s="45" t="n">
        <x:v>45991</x:v>
      </x:c>
      <x:c r="D246" t="str">
        <x:v>principal.A3</x:v>
      </x:c>
      <x:c r="E246" s="47" t="n">
        <x:v>0</x:v>
      </x:c>
      <x:c r="F246" t="str">
        <x:v>https://www.sec.gov/Archives/edgar/data/2063979/000206397925000040/a2025-2ex991121525.htm</x:v>
      </x:c>
    </x:row>
    <x:row r="247">
      <x:c r="C247" s="45" t="n">
        <x:v>45991</x:v>
      </x:c>
      <x:c r="D247" t="str">
        <x:v>principal.A4</x:v>
      </x:c>
      <x:c r="E247" s="47" t="n">
        <x:v>0</x:v>
      </x:c>
      <x:c r="F247" t="str">
        <x:v>https://www.sec.gov/Archives/edgar/data/2063979/000206397925000040/a2025-2ex991121525.htm</x:v>
      </x:c>
    </x:row>
    <x:row r="248">
      <x:c r="C248" s="45" t="n">
        <x:v>45991</x:v>
      </x:c>
      <x:c r="D248" t="str">
        <x:v>principal.B</x:v>
      </x:c>
      <x:c r="E248" s="47" t="n">
        <x:v>0</x:v>
      </x:c>
      <x:c r="F248" t="str">
        <x:v>https://www.sec.gov/Archives/edgar/data/2063979/000206397925000040/a2025-2ex991121525.htm</x:v>
      </x:c>
    </x:row>
    <x:row r="249">
      <x:c r="C249" s="45" t="n">
        <x:v>45991</x:v>
      </x:c>
      <x:c r="D249" t="str">
        <x:v>principal.C</x:v>
      </x:c>
      <x:c r="E249" s="47" t="n">
        <x:v>0</x:v>
      </x:c>
      <x:c r="F249" t="str">
        <x:v>https://www.sec.gov/Archives/edgar/data/2063979/000206397925000040/a2025-2ex991121525.htm</x:v>
      </x:c>
    </x:row>
    <x:row r="250">
      <x:c r="C250" s="45" t="n">
        <x:v>45991</x:v>
      </x:c>
      <x:c r="D250" t="str">
        <x:v>principal.D</x:v>
      </x:c>
      <x:c r="E250" s="47" t="n">
        <x:v>0</x:v>
      </x:c>
      <x:c r="F250" t="str">
        <x:v>https://www.sec.gov/Archives/edgar/data/2063979/000206397925000040/a2025-2ex991121525.htm</x:v>
      </x:c>
    </x:row>
    <x:row r="251">
      <x:c r="C251" s="45" t="n">
        <x:v>45991</x:v>
      </x:c>
      <x:c r="D251" t="str">
        <x:v>note_end.A1</x:v>
      </x:c>
      <x:c r="E251" s="47" t="n">
        <x:v>0</x:v>
      </x:c>
      <x:c r="F251" t="str">
        <x:v>https://www.sec.gov/Archives/edgar/data/2063979/000206397925000040/a2025-2ex991121525.htm</x:v>
      </x:c>
    </x:row>
    <x:row r="252">
      <x:c r="C252" s="45" t="n">
        <x:v>45991</x:v>
      </x:c>
      <x:c r="D252" t="str">
        <x:v>note_end.A2a</x:v>
      </x:c>
      <x:c r="E252" s="47" t="n">
        <x:v>301276953.61</x:v>
      </x:c>
      <x:c r="F252" t="str">
        <x:v>https://www.sec.gov/Archives/edgar/data/2063979/000206397925000040/a2025-2ex991121525.htm</x:v>
      </x:c>
    </x:row>
    <x:row r="253">
      <x:c r="C253" s="45" t="n">
        <x:v>45991</x:v>
      </x:c>
      <x:c r="D253" t="str">
        <x:v>note_end.A2b</x:v>
      </x:c>
      <x:c r="E253" s="47" t="n">
        <x:v>139026402.21</x:v>
      </x:c>
      <x:c r="F253" t="str">
        <x:v>https://www.sec.gov/Archives/edgar/data/2063979/000206397925000040/a2025-2ex991121525.htm</x:v>
      </x:c>
    </x:row>
    <x:row r="254">
      <x:c r="C254" s="45" t="n">
        <x:v>45991</x:v>
      </x:c>
      <x:c r="D254" t="str">
        <x:v>note_end.A3</x:v>
      </x:c>
      <x:c r="E254" s="47" t="n">
        <x:v>452100000</x:v>
      </x:c>
      <x:c r="F254" t="str">
        <x:v>https://www.sec.gov/Archives/edgar/data/2063979/000206397925000040/a2025-2ex991121525.htm</x:v>
      </x:c>
    </x:row>
    <x:row r="255">
      <x:c r="C255" s="45" t="n">
        <x:v>45991</x:v>
      </x:c>
      <x:c r="D255" t="str">
        <x:v>note_end.A4</x:v>
      </x:c>
      <x:c r="E255" s="47" t="n">
        <x:v>89000000</x:v>
      </x:c>
      <x:c r="F255" t="str">
        <x:v>https://www.sec.gov/Archives/edgar/data/2063979/000206397925000040/a2025-2ex991121525.htm</x:v>
      </x:c>
    </x:row>
    <x:row r="256">
      <x:c r="C256" s="45" t="n">
        <x:v>45991</x:v>
      </x:c>
      <x:c r="D256" t="str">
        <x:v>note_end.B</x:v>
      </x:c>
      <x:c r="E256" s="47" t="n">
        <x:v>28920000</x:v>
      </x:c>
      <x:c r="F256" t="str">
        <x:v>https://www.sec.gov/Archives/edgar/data/2063979/000206397925000040/a2025-2ex991121525.htm</x:v>
      </x:c>
    </x:row>
    <x:row r="257">
      <x:c r="C257" s="45" t="n">
        <x:v>45991</x:v>
      </x:c>
      <x:c r="D257" t="str">
        <x:v>note_end.C</x:v>
      </x:c>
      <x:c r="E257" s="47" t="n">
        <x:v>21160000</x:v>
      </x:c>
      <x:c r="F257" t="str">
        <x:v>https://www.sec.gov/Archives/edgar/data/2063979/000206397925000040/a2025-2ex991121525.htm</x:v>
      </x:c>
    </x:row>
    <x:row r="258">
      <x:c r="C258" s="45" t="n">
        <x:v>45991</x:v>
      </x:c>
      <x:c r="D258" t="str">
        <x:v>note_end.D</x:v>
      </x:c>
      <x:c r="E258" s="47" t="n">
        <x:v>14110000</x:v>
      </x:c>
      <x:c r="F258" t="str">
        <x:v>https://www.sec.gov/Archives/edgar/data/2063979/000206397925000040/a2025-2ex991121525.htm</x:v>
      </x:c>
    </x:row>
    <x:row r="259">
      <x:c r="C259" s="45" t="n">
        <x:v>45991</x:v>
      </x:c>
      <x:c r="D259" t="str">
        <x:v>priority_principal</x:v>
      </x:c>
      <x:c r="E259" s="47" t="n">
        <x:v>0</x:v>
      </x:c>
      <x:c r="F259" t="str">
        <x:v>https://www.sec.gov/Archives/edgar/data/2063979/000206397925000040/a2025-2ex991121525.htm</x:v>
      </x:c>
    </x:row>
    <x:row r="260">
      <x:c r="C260" s="45" t="n">
        <x:v>45991</x:v>
      </x:c>
      <x:c r="D260" t="str">
        <x:v>secondary_principal</x:v>
      </x:c>
      <x:c r="E260" s="47" t="n">
        <x:v>0</x:v>
      </x:c>
      <x:c r="F260" t="str">
        <x:v>https://www.sec.gov/Archives/edgar/data/2063979/000206397925000040/a2025-2ex991121525.htm</x:v>
      </x:c>
    </x:row>
    <x:row r="261">
      <x:c r="C261" s="45" t="n">
        <x:v>45991</x:v>
      </x:c>
      <x:c r="D261" t="str">
        <x:v>tertiary_principal</x:v>
      </x:c>
      <x:c r="E261" s="47" t="n">
        <x:v>13139065.3</x:v>
      </x:c>
      <x:c r="F261" t="str">
        <x:v>https://www.sec.gov/Archives/edgar/data/2063979/000206397925000040/a2025-2ex991121525.htm</x:v>
      </x:c>
    </x:row>
    <x:row r="262">
      <x:c r="C262" s="45" t="n">
        <x:v>45991</x:v>
      </x:c>
      <x:c r="D262" t="str">
        <x:v>quaternary_principal</x:v>
      </x:c>
      <x:c r="E262" s="47" t="n">
        <x:v>14110000</x:v>
      </x:c>
      <x:c r="F262" t="str">
        <x:v>https://www.sec.gov/Archives/edgar/data/2063979/000206397925000040/a2025-2ex991121525.htm</x:v>
      </x:c>
    </x:row>
    <x:row r="263">
      <x:c r="C263" s="45" t="n">
        <x:v>45991</x:v>
      </x:c>
      <x:c r="D263" t="str">
        <x:v>regular_principal</x:v>
      </x:c>
      <x:c r="E263" s="47" t="n">
        <x:v>10579421.74</x:v>
      </x:c>
      <x:c r="F263" t="str">
        <x:v>https://www.sec.gov/Archives/edgar/data/2063979/000206397925000040/a2025-2ex991121525.htm</x:v>
      </x:c>
    </x:row>
    <x:row r="264">
      <x:c r="C264" s="45" t="n">
        <x:v>45991</x:v>
      </x:c>
      <x:c r="D264" t="str">
        <x:v>oc_target</x:v>
      </x:c>
      <x:c r="E264" s="47" t="n">
        <x:v>10579421.74</x:v>
      </x:c>
      <x:c r="F264" t="str">
        <x:v>https://www.sec.gov/Archives/edgar/data/2063979/000206397925000040/a2025-2ex991121525.htm</x:v>
      </x:c>
    </x:row>
    <x:row r="265">
      <x:c r="C265" s="45" t="n">
        <x:v>46022</x:v>
      </x:c>
      <x:c r="D265" t="str">
        <x:v>servicing_fee</x:v>
      </x:c>
      <x:c r="E265" s="47" t="n">
        <x:v>880143.98</x:v>
      </x:c>
      <x:c r="F265" t="str">
        <x:v>https://www.sec.gov/Archives/edgar/data/2063979/000206397926000005/a2025-2ex991011526.htm</x:v>
      </x:c>
    </x:row>
    <x:row r="266">
      <x:c r="C266" s="45" t="n">
        <x:v>46022</x:v>
      </x:c>
      <x:c r="D266" t="str">
        <x:v>total_note_interest</x:v>
      </x:c>
      <x:c r="E266" s="47" t="n">
        <x:v>4022656.32</x:v>
      </x:c>
      <x:c r="F266" t="str">
        <x:v>https://www.sec.gov/Archives/edgar/data/2063979/000206397926000005/a2025-2ex991011526.htm</x:v>
      </x:c>
    </x:row>
    <x:row r="267">
      <x:c r="C267" s="45" t="n">
        <x:v>46022</x:v>
      </x:c>
      <x:c r="D267" t="str">
        <x:v>total_note_principal</x:v>
      </x:c>
      <x:c r="E267" s="47" t="n">
        <x:v>37555222.53</x:v>
      </x:c>
      <x:c r="F267" t="str">
        <x:v>https://www.sec.gov/Archives/edgar/data/2063979/000206397926000005/a2025-2ex991011526.htm</x:v>
      </x:c>
    </x:row>
    <x:row r="268">
      <x:c r="C268" s="45" t="n">
        <x:v>46022</x:v>
      </x:c>
      <x:c r="D268" t="str">
        <x:v>residual_distribution</x:v>
      </x:c>
      <x:c r="E268" s="47" t="n">
        <x:v>2795823.12</x:v>
      </x:c>
      <x:c r="F268" t="str">
        <x:v>https://www.sec.gov/Archives/edgar/data/2063979/000206397926000005/a2025-2ex991011526.htm</x:v>
      </x:c>
    </x:row>
    <x:row r="269">
      <x:c r="C269" s="45" t="n">
        <x:v>46022</x:v>
      </x:c>
      <x:c r="D269" t="str">
        <x:v>reserve_deposit</x:v>
      </x:c>
      <x:c r="E269" s="47" t="n">
        <x:v>0</x:v>
      </x:c>
      <x:c r="F269" t="str">
        <x:v>https://www.sec.gov/Archives/edgar/data/2063979/000206397926000005/a2025-2ex991011526.htm</x:v>
      </x:c>
    </x:row>
    <x:row r="270">
      <x:c r="C270" s="45" t="n">
        <x:v>46022</x:v>
      </x:c>
      <x:c r="D270" t="str">
        <x:v>reserve_end</x:v>
      </x:c>
      <x:c r="E270" s="47" t="n">
        <x:v>3526448.55</x:v>
      </x:c>
      <x:c r="F270" t="str">
        <x:v>https://www.sec.gov/Archives/edgar/data/2063979/000206397926000005/a2025-2ex991011526.htm</x:v>
      </x:c>
    </x:row>
    <x:row r="271">
      <x:c r="C271" s="45" t="n">
        <x:v>46022</x:v>
      </x:c>
      <x:c r="D271" t="str">
        <x:v>reserve_release</x:v>
      </x:c>
      <x:c r="E271" s="47" t="n">
        <x:v>11207.94</x:v>
      </x:c>
      <x:c r="F271" t="str">
        <x:v>https://www.sec.gov/Archives/edgar/data/2063979/000206397926000005/a2025-2ex991011526.htm</x:v>
      </x:c>
    </x:row>
    <x:row r="272">
      <x:c r="C272" s="45" t="n">
        <x:v>46022</x:v>
      </x:c>
      <x:c r="D272" t="str">
        <x:v>interest.A1</x:v>
      </x:c>
      <x:c r="E272" s="47" t="n">
        <x:v>0</x:v>
      </x:c>
      <x:c r="F272" t="str">
        <x:v>https://www.sec.gov/Archives/edgar/data/2063979/000206397926000005/a2025-2ex991011526.htm</x:v>
      </x:c>
    </x:row>
    <x:row r="273">
      <x:c r="C273" s="45" t="n">
        <x:v>46022</x:v>
      </x:c>
      <x:c r="D273" t="str">
        <x:v>interest.A2a</x:v>
      </x:c>
      <x:c r="E273" s="47" t="n">
        <x:v>1152384.35</x:v>
      </x:c>
      <x:c r="F273" t="str">
        <x:v>https://www.sec.gov/Archives/edgar/data/2063979/000206397926000005/a2025-2ex991011526.htm</x:v>
      </x:c>
    </x:row>
    <x:row r="274">
      <x:c r="C274" s="45" t="n">
        <x:v>46022</x:v>
      </x:c>
      <x:c r="D274" t="str">
        <x:v>interest.A2b</x:v>
      </x:c>
      <x:c r="E274" s="47" t="n">
        <x:v>559540.14</x:v>
      </x:c>
      <x:c r="F274" t="str">
        <x:v>https://www.sec.gov/Archives/edgar/data/2063979/000206397926000005/a2025-2ex991011526.htm</x:v>
      </x:c>
    </x:row>
    <x:row r="275">
      <x:c r="C275" s="45" t="n">
        <x:v>46022</x:v>
      </x:c>
      <x:c r="D275" t="str">
        <x:v>interest.A3</x:v>
      </x:c>
      <x:c r="E275" s="47" t="n">
        <x:v>1687840</x:v>
      </x:c>
      <x:c r="F275" t="str">
        <x:v>https://www.sec.gov/Archives/edgar/data/2063979/000206397926000005/a2025-2ex991011526.htm</x:v>
      </x:c>
    </x:row>
    <x:row r="276">
      <x:c r="C276" s="45" t="n">
        <x:v>46022</x:v>
      </x:c>
      <x:c r="D276" t="str">
        <x:v>interest.A4</x:v>
      </x:c>
      <x:c r="E276" s="47" t="n">
        <x:v>344875</x:v>
      </x:c>
      <x:c r="F276" t="str">
        <x:v>https://www.sec.gov/Archives/edgar/data/2063979/000206397926000005/a2025-2ex991011526.htm</x:v>
      </x:c>
    </x:row>
    <x:row r="277">
      <x:c r="C277" s="45" t="n">
        <x:v>46022</x:v>
      </x:c>
      <x:c r="D277" t="str">
        <x:v>interest.B</x:v>
      </x:c>
      <x:c r="E277" s="47" t="n">
        <x:v>119536</x:v>
      </x:c>
      <x:c r="F277" t="str">
        <x:v>https://www.sec.gov/Archives/edgar/data/2063979/000206397926000005/a2025-2ex991011526.htm</x:v>
      </x:c>
    </x:row>
    <x:row r="278">
      <x:c r="C278" s="45" t="n">
        <x:v>46022</x:v>
      </x:c>
      <x:c r="D278" t="str">
        <x:v>interest.C</x:v>
      </x:c>
      <x:c r="E278" s="47" t="n">
        <x:v>90988</x:v>
      </x:c>
      <x:c r="F278" t="str">
        <x:v>https://www.sec.gov/Archives/edgar/data/2063979/000206397926000005/a2025-2ex991011526.htm</x:v>
      </x:c>
    </x:row>
    <x:row r="279">
      <x:c r="C279" s="45" t="n">
        <x:v>46022</x:v>
      </x:c>
      <x:c r="D279" t="str">
        <x:v>interest.D</x:v>
      </x:c>
      <x:c r="E279" s="47" t="n">
        <x:v>67492.83</x:v>
      </x:c>
      <x:c r="F279" t="str">
        <x:v>https://www.sec.gov/Archives/edgar/data/2063979/000206397926000005/a2025-2ex991011526.htm</x:v>
      </x:c>
    </x:row>
    <x:row r="280">
      <x:c r="C280" s="45" t="n">
        <x:v>46022</x:v>
      </x:c>
      <x:c r="D280" t="str">
        <x:v>principal.A1</x:v>
      </x:c>
      <x:c r="E280" s="47" t="n">
        <x:v>0</x:v>
      </x:c>
      <x:c r="F280" t="str">
        <x:v>https://www.sec.gov/Archives/edgar/data/2063979/000206397926000005/a2025-2ex991011526.htm</x:v>
      </x:c>
    </x:row>
    <x:row r="281">
      <x:c r="C281" s="45" t="n">
        <x:v>46022</x:v>
      </x:c>
      <x:c r="D281" t="str">
        <x:v>principal.A2a</x:v>
      </x:c>
      <x:c r="E281" s="47" t="n">
        <x:v>25697108.34</x:v>
      </x:c>
      <x:c r="F281" t="str">
        <x:v>https://www.sec.gov/Archives/edgar/data/2063979/000206397926000005/a2025-2ex991011526.htm</x:v>
      </x:c>
    </x:row>
    <x:row r="282">
      <x:c r="C282" s="45" t="n">
        <x:v>46022</x:v>
      </x:c>
      <x:c r="D282" t="str">
        <x:v>principal.A2b</x:v>
      </x:c>
      <x:c r="E282" s="47" t="n">
        <x:v>11858114.19</x:v>
      </x:c>
      <x:c r="F282" t="str">
        <x:v>https://www.sec.gov/Archives/edgar/data/2063979/000206397926000005/a2025-2ex991011526.htm</x:v>
      </x:c>
    </x:row>
    <x:row r="283">
      <x:c r="C283" s="45" t="n">
        <x:v>46022</x:v>
      </x:c>
      <x:c r="D283" t="str">
        <x:v>principal.A3</x:v>
      </x:c>
      <x:c r="E283" s="47" t="n">
        <x:v>0</x:v>
      </x:c>
      <x:c r="F283" t="str">
        <x:v>https://www.sec.gov/Archives/edgar/data/2063979/000206397926000005/a2025-2ex991011526.htm</x:v>
      </x:c>
    </x:row>
    <x:row r="284">
      <x:c r="C284" s="45" t="n">
        <x:v>46022</x:v>
      </x:c>
      <x:c r="D284" t="str">
        <x:v>principal.A4</x:v>
      </x:c>
      <x:c r="E284" s="47" t="n">
        <x:v>0</x:v>
      </x:c>
      <x:c r="F284" t="str">
        <x:v>https://www.sec.gov/Archives/edgar/data/2063979/000206397926000005/a2025-2ex991011526.htm</x:v>
      </x:c>
    </x:row>
    <x:row r="285">
      <x:c r="C285" s="45" t="n">
        <x:v>46022</x:v>
      </x:c>
      <x:c r="D285" t="str">
        <x:v>principal.B</x:v>
      </x:c>
      <x:c r="E285" s="47" t="n">
        <x:v>0</x:v>
      </x:c>
      <x:c r="F285" t="str">
        <x:v>https://www.sec.gov/Archives/edgar/data/2063979/000206397926000005/a2025-2ex991011526.htm</x:v>
      </x:c>
    </x:row>
    <x:row r="286">
      <x:c r="C286" s="45" t="n">
        <x:v>46022</x:v>
      </x:c>
      <x:c r="D286" t="str">
        <x:v>principal.C</x:v>
      </x:c>
      <x:c r="E286" s="47" t="n">
        <x:v>0</x:v>
      </x:c>
      <x:c r="F286" t="str">
        <x:v>https://www.sec.gov/Archives/edgar/data/2063979/000206397926000005/a2025-2ex991011526.htm</x:v>
      </x:c>
    </x:row>
    <x:row r="287">
      <x:c r="C287" s="45" t="n">
        <x:v>46022</x:v>
      </x:c>
      <x:c r="D287" t="str">
        <x:v>principal.D</x:v>
      </x:c>
      <x:c r="E287" s="47" t="n">
        <x:v>0</x:v>
      </x:c>
      <x:c r="F287" t="str">
        <x:v>https://www.sec.gov/Archives/edgar/data/2063979/000206397926000005/a2025-2ex991011526.htm</x:v>
      </x:c>
    </x:row>
    <x:row r="288">
      <x:c r="C288" s="45" t="n">
        <x:v>46022</x:v>
      </x:c>
      <x:c r="D288" t="str">
        <x:v>note_end.A1</x:v>
      </x:c>
      <x:c r="E288" s="47" t="n">
        <x:v>0</x:v>
      </x:c>
      <x:c r="F288" t="str">
        <x:v>https://www.sec.gov/Archives/edgar/data/2063979/000206397926000005/a2025-2ex991011526.htm</x:v>
      </x:c>
    </x:row>
    <x:row r="289">
      <x:c r="C289" s="45" t="n">
        <x:v>46022</x:v>
      </x:c>
      <x:c r="D289" t="str">
        <x:v>note_end.A2a</x:v>
      </x:c>
      <x:c r="E289" s="47" t="n">
        <x:v>275579845.27</x:v>
      </x:c>
      <x:c r="F289" t="str">
        <x:v>https://www.sec.gov/Archives/edgar/data/2063979/000206397926000005/a2025-2ex991011526.htm</x:v>
      </x:c>
    </x:row>
    <x:row r="290">
      <x:c r="C290" s="45" t="n">
        <x:v>46022</x:v>
      </x:c>
      <x:c r="D290" t="str">
        <x:v>note_end.A2b</x:v>
      </x:c>
      <x:c r="E290" s="47" t="n">
        <x:v>127168288.02</x:v>
      </x:c>
      <x:c r="F290" t="str">
        <x:v>https://www.sec.gov/Archives/edgar/data/2063979/000206397926000005/a2025-2ex991011526.htm</x:v>
      </x:c>
    </x:row>
    <x:row r="291">
      <x:c r="C291" s="45" t="n">
        <x:v>46022</x:v>
      </x:c>
      <x:c r="D291" t="str">
        <x:v>note_end.A3</x:v>
      </x:c>
      <x:c r="E291" s="47" t="n">
        <x:v>452100000</x:v>
      </x:c>
      <x:c r="F291" t="str">
        <x:v>https://www.sec.gov/Archives/edgar/data/2063979/000206397926000005/a2025-2ex991011526.htm</x:v>
      </x:c>
    </x:row>
    <x:row r="292">
      <x:c r="C292" s="45" t="n">
        <x:v>46022</x:v>
      </x:c>
      <x:c r="D292" t="str">
        <x:v>note_end.A4</x:v>
      </x:c>
      <x:c r="E292" s="47" t="n">
        <x:v>89000000</x:v>
      </x:c>
      <x:c r="F292" t="str">
        <x:v>https://www.sec.gov/Archives/edgar/data/2063979/000206397926000005/a2025-2ex991011526.htm</x:v>
      </x:c>
    </x:row>
    <x:row r="293">
      <x:c r="C293" s="45" t="n">
        <x:v>46022</x:v>
      </x:c>
      <x:c r="D293" t="str">
        <x:v>note_end.B</x:v>
      </x:c>
      <x:c r="E293" s="47" t="n">
        <x:v>28920000</x:v>
      </x:c>
      <x:c r="F293" t="str">
        <x:v>https://www.sec.gov/Archives/edgar/data/2063979/000206397926000005/a2025-2ex991011526.htm</x:v>
      </x:c>
    </x:row>
    <x:row r="294">
      <x:c r="C294" s="45" t="n">
        <x:v>46022</x:v>
      </x:c>
      <x:c r="D294" t="str">
        <x:v>note_end.C</x:v>
      </x:c>
      <x:c r="E294" s="47" t="n">
        <x:v>21160000</x:v>
      </x:c>
      <x:c r="F294" t="str">
        <x:v>https://www.sec.gov/Archives/edgar/data/2063979/000206397926000005/a2025-2ex991011526.htm</x:v>
      </x:c>
    </x:row>
    <x:row r="295">
      <x:c r="C295" s="45" t="n">
        <x:v>46022</x:v>
      </x:c>
      <x:c r="D295" t="str">
        <x:v>note_end.D</x:v>
      </x:c>
      <x:c r="E295" s="47" t="n">
        <x:v>14110000</x:v>
      </x:c>
      <x:c r="F295" t="str">
        <x:v>https://www.sec.gov/Archives/edgar/data/2063979/000206397926000005/a2025-2ex991011526.htm</x:v>
      </x:c>
    </x:row>
    <x:row r="296">
      <x:c r="C296" s="45" t="n">
        <x:v>46022</x:v>
      </x:c>
      <x:c r="D296" t="str">
        <x:v>priority_principal</x:v>
      </x:c>
      <x:c r="E296" s="47" t="n">
        <x:v>0</x:v>
      </x:c>
      <x:c r="F296" t="str">
        <x:v>https://www.sec.gov/Archives/edgar/data/2063979/000206397926000005/a2025-2ex991011526.htm</x:v>
      </x:c>
    </x:row>
    <x:row r="297">
      <x:c r="C297" s="45" t="n">
        <x:v>46022</x:v>
      </x:c>
      <x:c r="D297" t="str">
        <x:v>secondary_principal</x:v>
      </x:c>
      <x:c r="E297" s="47" t="n">
        <x:v>0</x:v>
      </x:c>
      <x:c r="F297" t="str">
        <x:v>https://www.sec.gov/Archives/edgar/data/2063979/000206397926000005/a2025-2ex991011526.htm</x:v>
      </x:c>
    </x:row>
    <x:row r="298">
      <x:c r="C298" s="45" t="n">
        <x:v>46022</x:v>
      </x:c>
      <x:c r="D298" t="str">
        <x:v>tertiary_principal</x:v>
      </x:c>
      <x:c r="E298" s="47" t="n">
        <x:v>12865800.79</x:v>
      </x:c>
      <x:c r="F298" t="str">
        <x:v>https://www.sec.gov/Archives/edgar/data/2063979/000206397926000005/a2025-2ex991011526.htm</x:v>
      </x:c>
    </x:row>
    <x:row r="299">
      <x:c r="C299" s="45" t="n">
        <x:v>46022</x:v>
      </x:c>
      <x:c r="D299" t="str">
        <x:v>quaternary_principal</x:v>
      </x:c>
      <x:c r="E299" s="47" t="n">
        <x:v>14110000</x:v>
      </x:c>
      <x:c r="F299" t="str">
        <x:v>https://www.sec.gov/Archives/edgar/data/2063979/000206397926000005/a2025-2ex991011526.htm</x:v>
      </x:c>
    </x:row>
    <x:row r="300">
      <x:c r="C300" s="45" t="n">
        <x:v>46022</x:v>
      </x:c>
      <x:c r="D300" t="str">
        <x:v>regular_principal</x:v>
      </x:c>
      <x:c r="E300" s="47" t="n">
        <x:v>10579421.74</x:v>
      </x:c>
      <x:c r="F300" t="str">
        <x:v>https://www.sec.gov/Archives/edgar/data/2063979/000206397926000005/a2025-2ex991011526.htm</x:v>
      </x:c>
    </x:row>
    <x:row r="301">
      <x:c r="C301" s="45" t="n">
        <x:v>46022</x:v>
      </x:c>
      <x:c r="D301" t="str">
        <x:v>oc_target</x:v>
      </x:c>
      <x:c r="E301" s="47" t="n">
        <x:v>10579421.74</x:v>
      </x:c>
      <x:c r="F301" t="str">
        <x:v>https://www.sec.gov/Archives/edgar/data/2063979/000206397926000005/a2025-2ex991011526.htm</x:v>
      </x:c>
    </x:row>
    <x:row r="302">
      <x:c r="C302" s="45" t="n">
        <x:v>46053</x:v>
      </x:c>
      <x:c r="D302" t="str">
        <x:v>servicing_fee</x:v>
      </x:c>
      <x:c r="E302" s="47" t="n">
        <x:v>848847.96</x:v>
      </x:c>
      <x:c r="F302" t="str">
        <x:v>https://www.sec.gov/Archives/edgar/data/2063979/000206397926000010/a2025-2ex991021726.htm</x:v>
      </x:c>
    </x:row>
    <x:row r="303">
      <x:c r="C303" s="45" t="n">
        <x:v>46053</x:v>
      </x:c>
      <x:c r="D303" t="str">
        <x:v>total_note_interest</x:v>
      </x:c>
      <x:c r="E303" s="47" t="n">
        <x:v>3877427.92</x:v>
      </x:c>
      <x:c r="F303" t="str">
        <x:v>https://www.sec.gov/Archives/edgar/data/2063979/000206397926000010/a2025-2ex991021726.htm</x:v>
      </x:c>
    </x:row>
    <x:row r="304">
      <x:c r="C304" s="45" t="n">
        <x:v>46053</x:v>
      </x:c>
      <x:c r="D304" t="str">
        <x:v>total_note_principal</x:v>
      </x:c>
      <x:c r="E304" s="47" t="n">
        <x:v>37363874.89</x:v>
      </x:c>
      <x:c r="F304" t="str">
        <x:v>https://www.sec.gov/Archives/edgar/data/2063979/000206397926000010/a2025-2ex991021726.htm</x:v>
      </x:c>
    </x:row>
    <x:row r="305">
      <x:c r="C305" s="45" t="n">
        <x:v>46053</x:v>
      </x:c>
      <x:c r="D305" t="str">
        <x:v>residual_distribution</x:v>
      </x:c>
      <x:c r="E305" s="47" t="n">
        <x:v>2847691.21</x:v>
      </x:c>
      <x:c r="F305" t="str">
        <x:v>https://www.sec.gov/Archives/edgar/data/2063979/000206397926000010/a2025-2ex991021726.htm</x:v>
      </x:c>
    </x:row>
    <x:row r="306">
      <x:c r="C306" s="45" t="n">
        <x:v>46053</x:v>
      </x:c>
      <x:c r="D306" t="str">
        <x:v>reserve_deposit</x:v>
      </x:c>
      <x:c r="E306" s="47" t="n">
        <x:v>0</x:v>
      </x:c>
      <x:c r="F306" t="str">
        <x:v>https://www.sec.gov/Archives/edgar/data/2063979/000206397926000010/a2025-2ex991021726.htm</x:v>
      </x:c>
    </x:row>
    <x:row r="307">
      <x:c r="C307" s="45" t="n">
        <x:v>46053</x:v>
      </x:c>
      <x:c r="D307" t="str">
        <x:v>reserve_end</x:v>
      </x:c>
      <x:c r="E307" s="47" t="n">
        <x:v>3526448.55</x:v>
      </x:c>
      <x:c r="F307" t="str">
        <x:v>https://www.sec.gov/Archives/edgar/data/2063979/000206397926000010/a2025-2ex991021726.htm</x:v>
      </x:c>
    </x:row>
    <x:row r="308">
      <x:c r="C308" s="45" t="n">
        <x:v>46053</x:v>
      </x:c>
      <x:c r="D308" t="str">
        <x:v>reserve_release</x:v>
      </x:c>
      <x:c r="E308" s="47" t="n">
        <x:v>10884.15</x:v>
      </x:c>
      <x:c r="F308" t="str">
        <x:v>https://www.sec.gov/Archives/edgar/data/2063979/000206397926000010/a2025-2ex991021726.htm</x:v>
      </x:c>
    </x:row>
    <x:row r="309">
      <x:c r="C309" s="45" t="n">
        <x:v>46053</x:v>
      </x:c>
      <x:c r="D309" t="str">
        <x:v>interest.A1</x:v>
      </x:c>
      <x:c r="E309" s="47" t="n">
        <x:v>0</x:v>
      </x:c>
      <x:c r="F309" t="str">
        <x:v>https://www.sec.gov/Archives/edgar/data/2063979/000206397926000010/a2025-2ex991021726.htm</x:v>
      </x:c>
    </x:row>
    <x:row r="310">
      <x:c r="C310" s="45" t="n">
        <x:v>46053</x:v>
      </x:c>
      <x:c r="D310" t="str">
        <x:v>interest.A2a</x:v>
      </x:c>
      <x:c r="E310" s="47" t="n">
        <x:v>1054092.91</x:v>
      </x:c>
      <x:c r="F310" t="str">
        <x:v>https://www.sec.gov/Archives/edgar/data/2063979/000206397926000010/a2025-2ex991021726.htm</x:v>
      </x:c>
    </x:row>
    <x:row r="311">
      <x:c r="C311" s="45" t="n">
        <x:v>46053</x:v>
      </x:c>
      <x:c r="D311" t="str">
        <x:v>interest.A2b</x:v>
      </x:c>
      <x:c r="E311" s="47" t="n">
        <x:v>512603.18</x:v>
      </x:c>
      <x:c r="F311" t="str">
        <x:v>https://www.sec.gov/Archives/edgar/data/2063979/000206397926000010/a2025-2ex991021726.htm</x:v>
      </x:c>
    </x:row>
    <x:row r="312">
      <x:c r="C312" s="45" t="n">
        <x:v>46053</x:v>
      </x:c>
      <x:c r="D312" t="str">
        <x:v>interest.A3</x:v>
      </x:c>
      <x:c r="E312" s="47" t="n">
        <x:v>1687840</x:v>
      </x:c>
      <x:c r="F312" t="str">
        <x:v>https://www.sec.gov/Archives/edgar/data/2063979/000206397926000010/a2025-2ex991021726.htm</x:v>
      </x:c>
    </x:row>
    <x:row r="313">
      <x:c r="C313" s="45" t="n">
        <x:v>46053</x:v>
      </x:c>
      <x:c r="D313" t="str">
        <x:v>interest.A4</x:v>
      </x:c>
      <x:c r="E313" s="47" t="n">
        <x:v>344875</x:v>
      </x:c>
      <x:c r="F313" t="str">
        <x:v>https://www.sec.gov/Archives/edgar/data/2063979/000206397926000010/a2025-2ex991021726.htm</x:v>
      </x:c>
    </x:row>
    <x:row r="314">
      <x:c r="C314" s="45" t="n">
        <x:v>46053</x:v>
      </x:c>
      <x:c r="D314" t="str">
        <x:v>interest.B</x:v>
      </x:c>
      <x:c r="E314" s="47" t="n">
        <x:v>119536</x:v>
      </x:c>
      <x:c r="F314" t="str">
        <x:v>https://www.sec.gov/Archives/edgar/data/2063979/000206397926000010/a2025-2ex991021726.htm</x:v>
      </x:c>
    </x:row>
    <x:row r="315">
      <x:c r="C315" s="45" t="n">
        <x:v>46053</x:v>
      </x:c>
      <x:c r="D315" t="str">
        <x:v>interest.C</x:v>
      </x:c>
      <x:c r="E315" s="47" t="n">
        <x:v>90988</x:v>
      </x:c>
      <x:c r="F315" t="str">
        <x:v>https://www.sec.gov/Archives/edgar/data/2063979/000206397926000010/a2025-2ex991021726.htm</x:v>
      </x:c>
    </x:row>
    <x:row r="316">
      <x:c r="C316" s="45" t="n">
        <x:v>46053</x:v>
      </x:c>
      <x:c r="D316" t="str">
        <x:v>interest.D</x:v>
      </x:c>
      <x:c r="E316" s="47" t="n">
        <x:v>67492.83</x:v>
      </x:c>
      <x:c r="F316" t="str">
        <x:v>https://www.sec.gov/Archives/edgar/data/2063979/000206397926000010/a2025-2ex991021726.htm</x:v>
      </x:c>
    </x:row>
    <x:row r="317">
      <x:c r="C317" s="45" t="n">
        <x:v>46053</x:v>
      </x:c>
      <x:c r="D317" t="str">
        <x:v>principal.A1</x:v>
      </x:c>
      <x:c r="E317" s="47" t="n">
        <x:v>0</x:v>
      </x:c>
      <x:c r="F317" t="str">
        <x:v>https://www.sec.gov/Archives/edgar/data/2063979/000206397926000010/a2025-2ex991021726.htm</x:v>
      </x:c>
    </x:row>
    <x:row r="318">
      <x:c r="C318" s="45" t="n">
        <x:v>46053</x:v>
      </x:c>
      <x:c r="D318" t="str">
        <x:v>principal.A2a</x:v>
      </x:c>
      <x:c r="E318" s="47" t="n">
        <x:v>25566178.98</x:v>
      </x:c>
      <x:c r="F318" t="str">
        <x:v>https://www.sec.gov/Archives/edgar/data/2063979/000206397926000010/a2025-2ex991021726.htm</x:v>
      </x:c>
    </x:row>
    <x:row r="319">
      <x:c r="C319" s="45" t="n">
        <x:v>46053</x:v>
      </x:c>
      <x:c r="D319" t="str">
        <x:v>principal.A2b</x:v>
      </x:c>
      <x:c r="E319" s="47" t="n">
        <x:v>11797695.91</x:v>
      </x:c>
      <x:c r="F319" t="str">
        <x:v>https://www.sec.gov/Archives/edgar/data/2063979/000206397926000010/a2025-2ex991021726.htm</x:v>
      </x:c>
    </x:row>
    <x:row r="320">
      <x:c r="C320" s="45" t="n">
        <x:v>46053</x:v>
      </x:c>
      <x:c r="D320" t="str">
        <x:v>principal.A3</x:v>
      </x:c>
      <x:c r="E320" s="47" t="n">
        <x:v>0</x:v>
      </x:c>
      <x:c r="F320" t="str">
        <x:v>https://www.sec.gov/Archives/edgar/data/2063979/000206397926000010/a2025-2ex991021726.htm</x:v>
      </x:c>
    </x:row>
    <x:row r="321">
      <x:c r="C321" s="45" t="n">
        <x:v>46053</x:v>
      </x:c>
      <x:c r="D321" t="str">
        <x:v>principal.A4</x:v>
      </x:c>
      <x:c r="E321" s="47" t="n">
        <x:v>0</x:v>
      </x:c>
      <x:c r="F321" t="str">
        <x:v>https://www.sec.gov/Archives/edgar/data/2063979/000206397926000010/a2025-2ex991021726.htm</x:v>
      </x:c>
    </x:row>
    <x:row r="322">
      <x:c r="C322" s="45" t="n">
        <x:v>46053</x:v>
      </x:c>
      <x:c r="D322" t="str">
        <x:v>principal.B</x:v>
      </x:c>
      <x:c r="E322" s="47" t="n">
        <x:v>0</x:v>
      </x:c>
      <x:c r="F322" t="str">
        <x:v>https://www.sec.gov/Archives/edgar/data/2063979/000206397926000010/a2025-2ex991021726.htm</x:v>
      </x:c>
    </x:row>
    <x:row r="323">
      <x:c r="C323" s="45" t="n">
        <x:v>46053</x:v>
      </x:c>
      <x:c r="D323" t="str">
        <x:v>principal.C</x:v>
      </x:c>
      <x:c r="E323" s="47" t="n">
        <x:v>0</x:v>
      </x:c>
      <x:c r="F323" t="str">
        <x:v>https://www.sec.gov/Archives/edgar/data/2063979/000206397926000010/a2025-2ex991021726.htm</x:v>
      </x:c>
    </x:row>
    <x:row r="324">
      <x:c r="C324" s="45" t="n">
        <x:v>46053</x:v>
      </x:c>
      <x:c r="D324" t="str">
        <x:v>principal.D</x:v>
      </x:c>
      <x:c r="E324" s="47" t="n">
        <x:v>0</x:v>
      </x:c>
      <x:c r="F324" t="str">
        <x:v>https://www.sec.gov/Archives/edgar/data/2063979/000206397926000010/a2025-2ex991021726.htm</x:v>
      </x:c>
    </x:row>
    <x:row r="325">
      <x:c r="C325" s="45" t="n">
        <x:v>46053</x:v>
      </x:c>
      <x:c r="D325" t="str">
        <x:v>note_end.A1</x:v>
      </x:c>
      <x:c r="E325" s="47" t="n">
        <x:v>0</x:v>
      </x:c>
      <x:c r="F325" t="str">
        <x:v>https://www.sec.gov/Archives/edgar/data/2063979/000206397926000010/a2025-2ex991021726.htm</x:v>
      </x:c>
    </x:row>
    <x:row r="326">
      <x:c r="C326" s="45" t="n">
        <x:v>46053</x:v>
      </x:c>
      <x:c r="D326" t="str">
        <x:v>note_end.A2a</x:v>
      </x:c>
      <x:c r="E326" s="47" t="n">
        <x:v>250013666.29</x:v>
      </x:c>
      <x:c r="F326" t="str">
        <x:v>https://www.sec.gov/Archives/edgar/data/2063979/000206397926000010/a2025-2ex991021726.htm</x:v>
      </x:c>
    </x:row>
    <x:row r="327">
      <x:c r="C327" s="45" t="n">
        <x:v>46053</x:v>
      </x:c>
      <x:c r="D327" t="str">
        <x:v>note_end.A2b</x:v>
      </x:c>
      <x:c r="E327" s="47" t="n">
        <x:v>115370592.11</x:v>
      </x:c>
      <x:c r="F327" t="str">
        <x:v>https://www.sec.gov/Archives/edgar/data/2063979/000206397926000010/a2025-2ex991021726.htm</x:v>
      </x:c>
    </x:row>
    <x:row r="328">
      <x:c r="C328" s="45" t="n">
        <x:v>46053</x:v>
      </x:c>
      <x:c r="D328" t="str">
        <x:v>note_end.A3</x:v>
      </x:c>
      <x:c r="E328" s="47" t="n">
        <x:v>452100000</x:v>
      </x:c>
      <x:c r="F328" t="str">
        <x:v>https://www.sec.gov/Archives/edgar/data/2063979/000206397926000010/a2025-2ex991021726.htm</x:v>
      </x:c>
    </x:row>
    <x:row r="329">
      <x:c r="C329" s="45" t="n">
        <x:v>46053</x:v>
      </x:c>
      <x:c r="D329" t="str">
        <x:v>note_end.A4</x:v>
      </x:c>
      <x:c r="E329" s="47" t="n">
        <x:v>89000000</x:v>
      </x:c>
      <x:c r="F329" t="str">
        <x:v>https://www.sec.gov/Archives/edgar/data/2063979/000206397926000010/a2025-2ex991021726.htm</x:v>
      </x:c>
    </x:row>
    <x:row r="330">
      <x:c r="C330" s="45" t="n">
        <x:v>46053</x:v>
      </x:c>
      <x:c r="D330" t="str">
        <x:v>note_end.B</x:v>
      </x:c>
      <x:c r="E330" s="47" t="n">
        <x:v>28920000</x:v>
      </x:c>
      <x:c r="F330" t="str">
        <x:v>https://www.sec.gov/Archives/edgar/data/2063979/000206397926000010/a2025-2ex991021726.htm</x:v>
      </x:c>
    </x:row>
    <x:row r="331">
      <x:c r="C331" s="45" t="n">
        <x:v>46053</x:v>
      </x:c>
      <x:c r="D331" t="str">
        <x:v>note_end.C</x:v>
      </x:c>
      <x:c r="E331" s="47" t="n">
        <x:v>21160000</x:v>
      </x:c>
      <x:c r="F331" t="str">
        <x:v>https://www.sec.gov/Archives/edgar/data/2063979/000206397926000010/a2025-2ex991021726.htm</x:v>
      </x:c>
    </x:row>
    <x:row r="332">
      <x:c r="C332" s="45" t="n">
        <x:v>46053</x:v>
      </x:c>
      <x:c r="D332" t="str">
        <x:v>note_end.D</x:v>
      </x:c>
      <x:c r="E332" s="47" t="n">
        <x:v>14110000</x:v>
      </x:c>
      <x:c r="F332" t="str">
        <x:v>https://www.sec.gov/Archives/edgar/data/2063979/000206397926000010/a2025-2ex991021726.htm</x:v>
      </x:c>
    </x:row>
    <x:row r="333">
      <x:c r="C333" s="45" t="n">
        <x:v>46053</x:v>
      </x:c>
      <x:c r="D333" t="str">
        <x:v>priority_principal</x:v>
      </x:c>
      <x:c r="E333" s="47" t="n">
        <x:v>0</x:v>
      </x:c>
      <x:c r="F333" t="str">
        <x:v>https://www.sec.gov/Archives/edgar/data/2063979/000206397926000010/a2025-2ex991021726.htm</x:v>
      </x:c>
    </x:row>
    <x:row r="334">
      <x:c r="C334" s="45" t="n">
        <x:v>46053</x:v>
      </x:c>
      <x:c r="D334" t="str">
        <x:v>secondary_principal</x:v>
      </x:c>
      <x:c r="E334" s="47" t="n">
        <x:v>0</x:v>
      </x:c>
      <x:c r="F334" t="str">
        <x:v>https://www.sec.gov/Archives/edgar/data/2063979/000206397926000010/a2025-2ex991021726.htm</x:v>
      </x:c>
    </x:row>
    <x:row r="335">
      <x:c r="C335" s="45" t="n">
        <x:v>46053</x:v>
      </x:c>
      <x:c r="D335" t="str">
        <x:v>tertiary_principal</x:v>
      </x:c>
      <x:c r="E335" s="47" t="n">
        <x:v>12674453.15</x:v>
      </x:c>
      <x:c r="F335" t="str">
        <x:v>https://www.sec.gov/Archives/edgar/data/2063979/000206397926000010/a2025-2ex991021726.htm</x:v>
      </x:c>
    </x:row>
    <x:row r="336">
      <x:c r="C336" s="45" t="n">
        <x:v>46053</x:v>
      </x:c>
      <x:c r="D336" t="str">
        <x:v>quaternary_principal</x:v>
      </x:c>
      <x:c r="E336" s="47" t="n">
        <x:v>14110000</x:v>
      </x:c>
      <x:c r="F336" t="str">
        <x:v>https://www.sec.gov/Archives/edgar/data/2063979/000206397926000010/a2025-2ex991021726.htm</x:v>
      </x:c>
    </x:row>
    <x:row r="337">
      <x:c r="C337" s="45" t="n">
        <x:v>46053</x:v>
      </x:c>
      <x:c r="D337" t="str">
        <x:v>regular_principal</x:v>
      </x:c>
      <x:c r="E337" s="47" t="n">
        <x:v>10579421.74</x:v>
      </x:c>
      <x:c r="F337" t="str">
        <x:v>https://www.sec.gov/Archives/edgar/data/2063979/000206397926000010/a2025-2ex991021726.htm</x:v>
      </x:c>
    </x:row>
    <x:row r="338">
      <x:c r="C338" s="45" t="n">
        <x:v>46053</x:v>
      </x:c>
      <x:c r="D338" t="str">
        <x:v>oc_target</x:v>
      </x:c>
      <x:c r="E338" s="47" t="n">
        <x:v>10579421.74</x:v>
      </x:c>
      <x:c r="F338" t="str">
        <x:v>https://www.sec.gov/Archives/edgar/data/2063979/000206397926000010/a2025-2ex991021726.htm</x:v>
      </x:c>
    </x:row>
    <x:row r="339">
      <x:c r="C339" s="45" t="n">
        <x:v>46081</x:v>
      </x:c>
      <x:c r="D339" t="str">
        <x:v>servicing_fee</x:v>
      </x:c>
      <x:c r="E339" s="47" t="n">
        <x:v>817711.4</x:v>
      </x:c>
      <x:c r="F339" t="str">
        <x:v>https://www.sec.gov/Archives/edgar/data/2063979/000206397926000015/a2025-2ex991031626.htm</x:v>
      </x:c>
    </x:row>
    <x:row r="340">
      <x:c r="C340" s="45" t="n">
        <x:v>46081</x:v>
      </x:c>
      <x:c r="D340" t="str">
        <x:v>total_note_interest</x:v>
      </x:c>
      <x:c r="E340" s="47" t="n">
        <x:v>3643274.04</x:v>
      </x:c>
      <x:c r="F340" t="str">
        <x:v>https://www.sec.gov/Archives/edgar/data/2063979/000206397926000015/a2025-2ex991031626.htm</x:v>
      </x:c>
    </x:row>
    <x:row r="341">
      <x:c r="C341" s="45" t="n">
        <x:v>46081</x:v>
      </x:c>
      <x:c r="D341" t="str">
        <x:v>total_note_principal</x:v>
      </x:c>
      <x:c r="E341" s="47" t="n">
        <x:v>33719316.64</x:v>
      </x:c>
      <x:c r="F341" t="str">
        <x:v>https://www.sec.gov/Archives/edgar/data/2063979/000206397926000015/a2025-2ex991031626.htm</x:v>
      </x:c>
    </x:row>
    <x:row r="342">
      <x:c r="C342" s="45" t="n">
        <x:v>46081</x:v>
      </x:c>
      <x:c r="D342" t="str">
        <x:v>residual_distribution</x:v>
      </x:c>
      <x:c r="E342" s="47" t="n">
        <x:v>2764073.08</x:v>
      </x:c>
      <x:c r="F342" t="str">
        <x:v>https://www.sec.gov/Archives/edgar/data/2063979/000206397926000015/a2025-2ex991031626.htm</x:v>
      </x:c>
    </x:row>
    <x:row r="343">
      <x:c r="C343" s="45" t="n">
        <x:v>46081</x:v>
      </x:c>
      <x:c r="D343" t="str">
        <x:v>reserve_deposit</x:v>
      </x:c>
      <x:c r="E343" s="47" t="n">
        <x:v>0</x:v>
      </x:c>
      <x:c r="F343" t="str">
        <x:v>https://www.sec.gov/Archives/edgar/data/2063979/000206397926000015/a2025-2ex991031626.htm</x:v>
      </x:c>
    </x:row>
    <x:row r="344">
      <x:c r="C344" s="45" t="n">
        <x:v>46081</x:v>
      </x:c>
      <x:c r="D344" t="str">
        <x:v>reserve_end</x:v>
      </x:c>
      <x:c r="E344" s="47" t="n">
        <x:v>3526448.55</x:v>
      </x:c>
      <x:c r="F344" t="str">
        <x:v>https://www.sec.gov/Archives/edgar/data/2063979/000206397926000015/a2025-2ex991031626.htm</x:v>
      </x:c>
    </x:row>
    <x:row r="345">
      <x:c r="C345" s="45" t="n">
        <x:v>46081</x:v>
      </x:c>
      <x:c r="D345" t="str">
        <x:v>reserve_release</x:v>
      </x:c>
      <x:c r="E345" s="47" t="n">
        <x:v>9733.92</x:v>
      </x:c>
      <x:c r="F345" t="str">
        <x:v>https://www.sec.gov/Archives/edgar/data/2063979/000206397926000015/a2025-2ex991031626.htm</x:v>
      </x:c>
    </x:row>
    <x:row r="346">
      <x:c r="C346" s="45" t="n">
        <x:v>46081</x:v>
      </x:c>
      <x:c r="D346" t="str">
        <x:v>interest.A1</x:v>
      </x:c>
      <x:c r="E346" s="47" t="n">
        <x:v>0</x:v>
      </x:c>
      <x:c r="F346" t="str">
        <x:v>https://www.sec.gov/Archives/edgar/data/2063979/000206397926000015/a2025-2ex991031626.htm</x:v>
      </x:c>
    </x:row>
    <x:row r="347">
      <x:c r="C347" s="45" t="n">
        <x:v>46081</x:v>
      </x:c>
      <x:c r="D347" t="str">
        <x:v>interest.A2a</x:v>
      </x:c>
      <x:c r="E347" s="47" t="n">
        <x:v>956302.27</x:v>
      </x:c>
      <x:c r="F347" t="str">
        <x:v>https://www.sec.gov/Archives/edgar/data/2063979/000206397926000015/a2025-2ex991031626.htm</x:v>
      </x:c>
    </x:row>
    <x:row r="348">
      <x:c r="C348" s="45" t="n">
        <x:v>46081</x:v>
      </x:c>
      <x:c r="D348" t="str">
        <x:v>interest.A2b</x:v>
      </x:c>
      <x:c r="E348" s="47" t="n">
        <x:v>376239.94</x:v>
      </x:c>
      <x:c r="F348" t="str">
        <x:v>https://www.sec.gov/Archives/edgar/data/2063979/000206397926000015/a2025-2ex991031626.htm</x:v>
      </x:c>
    </x:row>
    <x:row r="349">
      <x:c r="C349" s="45" t="n">
        <x:v>46081</x:v>
      </x:c>
      <x:c r="D349" t="str">
        <x:v>interest.A3</x:v>
      </x:c>
      <x:c r="E349" s="47" t="n">
        <x:v>1687840</x:v>
      </x:c>
      <x:c r="F349" t="str">
        <x:v>https://www.sec.gov/Archives/edgar/data/2063979/000206397926000015/a2025-2ex991031626.htm</x:v>
      </x:c>
    </x:row>
    <x:row r="350">
      <x:c r="C350" s="45" t="n">
        <x:v>46081</x:v>
      </x:c>
      <x:c r="D350" t="str">
        <x:v>interest.A4</x:v>
      </x:c>
      <x:c r="E350" s="47" t="n">
        <x:v>344875</x:v>
      </x:c>
      <x:c r="F350" t="str">
        <x:v>https://www.sec.gov/Archives/edgar/data/2063979/000206397926000015/a2025-2ex991031626.htm</x:v>
      </x:c>
    </x:row>
    <x:row r="351">
      <x:c r="C351" s="45" t="n">
        <x:v>46081</x:v>
      </x:c>
      <x:c r="D351" t="str">
        <x:v>interest.B</x:v>
      </x:c>
      <x:c r="E351" s="47" t="n">
        <x:v>119536</x:v>
      </x:c>
      <x:c r="F351" t="str">
        <x:v>https://www.sec.gov/Archives/edgar/data/2063979/000206397926000015/a2025-2ex991031626.htm</x:v>
      </x:c>
    </x:row>
    <x:row r="352">
      <x:c r="C352" s="45" t="n">
        <x:v>46081</x:v>
      </x:c>
      <x:c r="D352" t="str">
        <x:v>interest.C</x:v>
      </x:c>
      <x:c r="E352" s="47" t="n">
        <x:v>90988</x:v>
      </x:c>
      <x:c r="F352" t="str">
        <x:v>https://www.sec.gov/Archives/edgar/data/2063979/000206397926000015/a2025-2ex991031626.htm</x:v>
      </x:c>
    </x:row>
    <x:row r="353">
      <x:c r="C353" s="45" t="n">
        <x:v>46081</x:v>
      </x:c>
      <x:c r="D353" t="str">
        <x:v>interest.D</x:v>
      </x:c>
      <x:c r="E353" s="47" t="n">
        <x:v>67492.83</x:v>
      </x:c>
      <x:c r="F353" t="str">
        <x:v>https://www.sec.gov/Archives/edgar/data/2063979/000206397926000015/a2025-2ex991031626.htm</x:v>
      </x:c>
    </x:row>
    <x:row r="354">
      <x:c r="C354" s="45" t="n">
        <x:v>46081</x:v>
      </x:c>
      <x:c r="D354" t="str">
        <x:v>principal.A1</x:v>
      </x:c>
      <x:c r="E354" s="47" t="n">
        <x:v>0</x:v>
      </x:c>
      <x:c r="F354" t="str">
        <x:v>https://www.sec.gov/Archives/edgar/data/2063979/000206397926000015/a2025-2ex991031626.htm</x:v>
      </x:c>
    </x:row>
    <x:row r="355">
      <x:c r="C355" s="45" t="n">
        <x:v>46081</x:v>
      </x:c>
      <x:c r="D355" t="str">
        <x:v>principal.A2a</x:v>
      </x:c>
      <x:c r="E355" s="47" t="n">
        <x:v>23072395.11</x:v>
      </x:c>
      <x:c r="F355" t="str">
        <x:v>https://www.sec.gov/Archives/edgar/data/2063979/000206397926000015/a2025-2ex991031626.htm</x:v>
      </x:c>
    </x:row>
    <x:row r="356">
      <x:c r="C356" s="45" t="n">
        <x:v>46081</x:v>
      </x:c>
      <x:c r="D356" t="str">
        <x:v>principal.A2b</x:v>
      </x:c>
      <x:c r="E356" s="47" t="n">
        <x:v>10646921.53</x:v>
      </x:c>
      <x:c r="F356" t="str">
        <x:v>https://www.sec.gov/Archives/edgar/data/2063979/000206397926000015/a2025-2ex991031626.htm</x:v>
      </x:c>
    </x:row>
    <x:row r="357">
      <x:c r="C357" s="45" t="n">
        <x:v>46081</x:v>
      </x:c>
      <x:c r="D357" t="str">
        <x:v>principal.A3</x:v>
      </x:c>
      <x:c r="E357" s="47" t="n">
        <x:v>0</x:v>
      </x:c>
      <x:c r="F357" t="str">
        <x:v>https://www.sec.gov/Archives/edgar/data/2063979/000206397926000015/a2025-2ex991031626.htm</x:v>
      </x:c>
    </x:row>
    <x:row r="358">
      <x:c r="C358" s="45" t="n">
        <x:v>46081</x:v>
      </x:c>
      <x:c r="D358" t="str">
        <x:v>principal.A4</x:v>
      </x:c>
      <x:c r="E358" s="47" t="n">
        <x:v>0</x:v>
      </x:c>
      <x:c r="F358" t="str">
        <x:v>https://www.sec.gov/Archives/edgar/data/2063979/000206397926000015/a2025-2ex991031626.htm</x:v>
      </x:c>
    </x:row>
    <x:row r="359">
      <x:c r="C359" s="45" t="n">
        <x:v>46081</x:v>
      </x:c>
      <x:c r="D359" t="str">
        <x:v>principal.B</x:v>
      </x:c>
      <x:c r="E359" s="47" t="n">
        <x:v>0</x:v>
      </x:c>
      <x:c r="F359" t="str">
        <x:v>https://www.sec.gov/Archives/edgar/data/2063979/000206397926000015/a2025-2ex991031626.htm</x:v>
      </x:c>
    </x:row>
    <x:row r="360">
      <x:c r="C360" s="45" t="n">
        <x:v>46081</x:v>
      </x:c>
      <x:c r="D360" t="str">
        <x:v>principal.C</x:v>
      </x:c>
      <x:c r="E360" s="47" t="n">
        <x:v>0</x:v>
      </x:c>
      <x:c r="F360" t="str">
        <x:v>https://www.sec.gov/Archives/edgar/data/2063979/000206397926000015/a2025-2ex991031626.htm</x:v>
      </x:c>
    </x:row>
    <x:row r="361">
      <x:c r="C361" s="45" t="n">
        <x:v>46081</x:v>
      </x:c>
      <x:c r="D361" t="str">
        <x:v>principal.D</x:v>
      </x:c>
      <x:c r="E361" s="47" t="n">
        <x:v>0</x:v>
      </x:c>
      <x:c r="F361" t="str">
        <x:v>https://www.sec.gov/Archives/edgar/data/2063979/000206397926000015/a2025-2ex991031626.htm</x:v>
      </x:c>
    </x:row>
    <x:row r="362">
      <x:c r="C362" s="45" t="n">
        <x:v>46081</x:v>
      </x:c>
      <x:c r="D362" t="str">
        <x:v>note_end.A1</x:v>
      </x:c>
      <x:c r="E362" s="47" t="n">
        <x:v>0</x:v>
      </x:c>
      <x:c r="F362" t="str">
        <x:v>https://www.sec.gov/Archives/edgar/data/2063979/000206397926000015/a2025-2ex991031626.htm</x:v>
      </x:c>
    </x:row>
    <x:row r="363">
      <x:c r="C363" s="45" t="n">
        <x:v>46081</x:v>
      </x:c>
      <x:c r="D363" t="str">
        <x:v>note_end.A2a</x:v>
      </x:c>
      <x:c r="E363" s="47" t="n">
        <x:v>226941271.18</x:v>
      </x:c>
      <x:c r="F363" t="str">
        <x:v>https://www.sec.gov/Archives/edgar/data/2063979/000206397926000015/a2025-2ex991031626.htm</x:v>
      </x:c>
    </x:row>
    <x:row r="364">
      <x:c r="C364" s="45" t="n">
        <x:v>46081</x:v>
      </x:c>
      <x:c r="D364" t="str">
        <x:v>note_end.A2b</x:v>
      </x:c>
      <x:c r="E364" s="47" t="n">
        <x:v>104723670.58</x:v>
      </x:c>
      <x:c r="F364" t="str">
        <x:v>https://www.sec.gov/Archives/edgar/data/2063979/000206397926000015/a2025-2ex991031626.htm</x:v>
      </x:c>
    </x:row>
    <x:row r="365">
      <x:c r="C365" s="45" t="n">
        <x:v>46081</x:v>
      </x:c>
      <x:c r="D365" t="str">
        <x:v>note_end.A3</x:v>
      </x:c>
      <x:c r="E365" s="47" t="n">
        <x:v>452100000</x:v>
      </x:c>
      <x:c r="F365" t="str">
        <x:v>https://www.sec.gov/Archives/edgar/data/2063979/000206397926000015/a2025-2ex991031626.htm</x:v>
      </x:c>
    </x:row>
    <x:row r="366">
      <x:c r="C366" s="45" t="n">
        <x:v>46081</x:v>
      </x:c>
      <x:c r="D366" t="str">
        <x:v>note_end.A4</x:v>
      </x:c>
      <x:c r="E366" s="47" t="n">
        <x:v>89000000</x:v>
      </x:c>
      <x:c r="F366" t="str">
        <x:v>https://www.sec.gov/Archives/edgar/data/2063979/000206397926000015/a2025-2ex991031626.htm</x:v>
      </x:c>
    </x:row>
    <x:row r="367">
      <x:c r="C367" s="45" t="n">
        <x:v>46081</x:v>
      </x:c>
      <x:c r="D367" t="str">
        <x:v>note_end.B</x:v>
      </x:c>
      <x:c r="E367" s="47" t="n">
        <x:v>28920000</x:v>
      </x:c>
      <x:c r="F367" t="str">
        <x:v>https://www.sec.gov/Archives/edgar/data/2063979/000206397926000015/a2025-2ex991031626.htm</x:v>
      </x:c>
    </x:row>
    <x:row r="368">
      <x:c r="C368" s="45" t="n">
        <x:v>46081</x:v>
      </x:c>
      <x:c r="D368" t="str">
        <x:v>note_end.C</x:v>
      </x:c>
      <x:c r="E368" s="47" t="n">
        <x:v>21160000</x:v>
      </x:c>
      <x:c r="F368" t="str">
        <x:v>https://www.sec.gov/Archives/edgar/data/2063979/000206397926000015/a2025-2ex991031626.htm</x:v>
      </x:c>
    </x:row>
    <x:row r="369">
      <x:c r="C369" s="45" t="n">
        <x:v>46081</x:v>
      </x:c>
      <x:c r="D369" t="str">
        <x:v>note_end.D</x:v>
      </x:c>
      <x:c r="E369" s="47" t="n">
        <x:v>14110000</x:v>
      </x:c>
      <x:c r="F369" t="str">
        <x:v>https://www.sec.gov/Archives/edgar/data/2063979/000206397926000015/a2025-2ex991031626.htm</x:v>
      </x:c>
    </x:row>
    <x:row r="370">
      <x:c r="C370" s="45" t="n">
        <x:v>46081</x:v>
      </x:c>
      <x:c r="D370" t="str">
        <x:v>priority_principal</x:v>
      </x:c>
      <x:c r="E370" s="47" t="n">
        <x:v>0</x:v>
      </x:c>
      <x:c r="F370" t="str">
        <x:v>https://www.sec.gov/Archives/edgar/data/2063979/000206397926000015/a2025-2ex991031626.htm</x:v>
      </x:c>
    </x:row>
    <x:row r="371">
      <x:c r="C371" s="45" t="n">
        <x:v>46081</x:v>
      </x:c>
      <x:c r="D371" t="str">
        <x:v>secondary_principal</x:v>
      </x:c>
      <x:c r="E371" s="47" t="n">
        <x:v>0</x:v>
      </x:c>
      <x:c r="F371" t="str">
        <x:v>https://www.sec.gov/Archives/edgar/data/2063979/000206397926000015/a2025-2ex991031626.htm</x:v>
      </x:c>
    </x:row>
    <x:row r="372">
      <x:c r="C372" s="45" t="n">
        <x:v>46081</x:v>
      </x:c>
      <x:c r="D372" t="str">
        <x:v>tertiary_principal</x:v>
      </x:c>
      <x:c r="E372" s="47" t="n">
        <x:v>9029894.9</x:v>
      </x:c>
      <x:c r="F372" t="str">
        <x:v>https://www.sec.gov/Archives/edgar/data/2063979/000206397926000015/a2025-2ex991031626.htm</x:v>
      </x:c>
    </x:row>
    <x:row r="373">
      <x:c r="C373" s="45" t="n">
        <x:v>46081</x:v>
      </x:c>
      <x:c r="D373" t="str">
        <x:v>quaternary_principal</x:v>
      </x:c>
      <x:c r="E373" s="47" t="n">
        <x:v>14110000</x:v>
      </x:c>
      <x:c r="F373" t="str">
        <x:v>https://www.sec.gov/Archives/edgar/data/2063979/000206397926000015/a2025-2ex991031626.htm</x:v>
      </x:c>
    </x:row>
    <x:row r="374">
      <x:c r="C374" s="45" t="n">
        <x:v>46081</x:v>
      </x:c>
      <x:c r="D374" t="str">
        <x:v>regular_principal</x:v>
      </x:c>
      <x:c r="E374" s="47" t="n">
        <x:v>10579421.74</x:v>
      </x:c>
      <x:c r="F374" t="str">
        <x:v>https://www.sec.gov/Archives/edgar/data/2063979/000206397926000015/a2025-2ex991031626.htm</x:v>
      </x:c>
    </x:row>
    <x:row r="375">
      <x:c r="C375" s="45" t="n">
        <x:v>46081</x:v>
      </x:c>
      <x:c r="D375" t="str">
        <x:v>oc_target</x:v>
      </x:c>
      <x:c r="E375" s="47" t="n">
        <x:v>10579421.74</x:v>
      </x:c>
      <x:c r="F375" t="str">
        <x:v>https://www.sec.gov/Archives/edgar/data/2063979/000206397926000015/a2025-2ex991031626.htm</x:v>
      </x:c>
    </x:row>
    <x:row r="376">
      <x:c r="C376" s="45" t="n">
        <x:v>46112</x:v>
      </x:c>
      <x:c r="D376" t="str">
        <x:v>servicing_fee</x:v>
      </x:c>
      <x:c r="E376" s="47" t="n">
        <x:v>789611.97</x:v>
      </x:c>
      <x:c r="F376" t="str">
        <x:v>https://www.sec.gov/Archives/edgar/data/2063979/000206397926000020/a2025-2ex991041526.htm</x:v>
      </x:c>
    </x:row>
    <x:row r="377">
      <x:c r="C377" s="45" t="n">
        <x:v>46112</x:v>
      </x:c>
      <x:c r="D377" t="str">
        <x:v>total_note_interest</x:v>
      </x:c>
      <x:c r="E377" s="47" t="n">
        <x:v>3559472.8</x:v>
      </x:c>
      <x:c r="F377" t="str">
        <x:v>https://www.sec.gov/Archives/edgar/data/2063979/000206397926000020/a2025-2ex991041526.htm</x:v>
      </x:c>
    </x:row>
    <x:row r="378">
      <x:c r="C378" s="45" t="n">
        <x:v>46112</x:v>
      </x:c>
      <x:c r="D378" t="str">
        <x:v>total_note_principal</x:v>
      </x:c>
      <x:c r="E378" s="47" t="n">
        <x:v>38321889.35</x:v>
      </x:c>
      <x:c r="F378" t="str">
        <x:v>https://www.sec.gov/Archives/edgar/data/2063979/000206397926000020/a2025-2ex991041526.htm</x:v>
      </x:c>
    </x:row>
    <x:row r="379">
      <x:c r="C379" s="45" t="n">
        <x:v>46112</x:v>
      </x:c>
      <x:c r="D379" t="str">
        <x:v>residual_distribution</x:v>
      </x:c>
      <x:c r="E379" s="47" t="n">
        <x:v>2805224.19</x:v>
      </x:c>
      <x:c r="F379" t="str">
        <x:v>https://www.sec.gov/Archives/edgar/data/2063979/000206397926000020/a2025-2ex991041526.htm</x:v>
      </x:c>
    </x:row>
    <x:row r="380">
      <x:c r="C380" s="45" t="n">
        <x:v>46112</x:v>
      </x:c>
      <x:c r="D380" t="str">
        <x:v>reserve_deposit</x:v>
      </x:c>
      <x:c r="E380" s="47" t="n">
        <x:v>0</x:v>
      </x:c>
      <x:c r="F380" t="str">
        <x:v>https://www.sec.gov/Archives/edgar/data/2063979/000206397926000020/a2025-2ex991041526.htm</x:v>
      </x:c>
    </x:row>
    <x:row r="381">
      <x:c r="C381" s="45" t="n">
        <x:v>46112</x:v>
      </x:c>
      <x:c r="D381" t="str">
        <x:v>reserve_end</x:v>
      </x:c>
      <x:c r="E381" s="47" t="n">
        <x:v>3526448.55</x:v>
      </x:c>
      <x:c r="F381" t="str">
        <x:v>https://www.sec.gov/Archives/edgar/data/2063979/000206397926000020/a2025-2ex991041526.htm</x:v>
      </x:c>
    </x:row>
    <x:row r="382">
      <x:c r="C382" s="45" t="n">
        <x:v>46112</x:v>
      </x:c>
      <x:c r="D382" t="str">
        <x:v>reserve_release</x:v>
      </x:c>
      <x:c r="E382" s="47" t="n">
        <x:v>10706.08</x:v>
      </x:c>
      <x:c r="F382" t="str">
        <x:v>https://www.sec.gov/Archives/edgar/data/2063979/000206397926000020/a2025-2ex991041526.htm</x:v>
      </x:c>
    </x:row>
    <x:row r="383">
      <x:c r="C383" s="45" t="n">
        <x:v>46112</x:v>
      </x:c>
      <x:c r="D383" t="str">
        <x:v>interest.A1</x:v>
      </x:c>
      <x:c r="E383" s="47" t="n">
        <x:v>0</x:v>
      </x:c>
      <x:c r="F383" t="str">
        <x:v>https://www.sec.gov/Archives/edgar/data/2063979/000206397926000020/a2025-2ex991041526.htm</x:v>
      </x:c>
    </x:row>
    <x:row r="384">
      <x:c r="C384" s="45" t="n">
        <x:v>46112</x:v>
      </x:c>
      <x:c r="D384" t="str">
        <x:v>interest.A2a</x:v>
      </x:c>
      <x:c r="E384" s="47" t="n">
        <x:v>868050.36</x:v>
      </x:c>
      <x:c r="F384" t="str">
        <x:v>https://www.sec.gov/Archives/edgar/data/2063979/000206397926000020/a2025-2ex991041526.htm</x:v>
      </x:c>
    </x:row>
    <x:row r="385">
      <x:c r="C385" s="45" t="n">
        <x:v>46112</x:v>
      </x:c>
      <x:c r="D385" t="str">
        <x:v>interest.A2b</x:v>
      </x:c>
      <x:c r="E385" s="47" t="n">
        <x:v>380690.61</x:v>
      </x:c>
      <x:c r="F385" t="str">
        <x:v>https://www.sec.gov/Archives/edgar/data/2063979/000206397926000020/a2025-2ex991041526.htm</x:v>
      </x:c>
    </x:row>
    <x:row r="386">
      <x:c r="C386" s="45" t="n">
        <x:v>46112</x:v>
      </x:c>
      <x:c r="D386" t="str">
        <x:v>interest.A3</x:v>
      </x:c>
      <x:c r="E386" s="47" t="n">
        <x:v>1687840</x:v>
      </x:c>
      <x:c r="F386" t="str">
        <x:v>https://www.sec.gov/Archives/edgar/data/2063979/000206397926000020/a2025-2ex991041526.htm</x:v>
      </x:c>
    </x:row>
    <x:row r="387">
      <x:c r="C387" s="45" t="n">
        <x:v>46112</x:v>
      </x:c>
      <x:c r="D387" t="str">
        <x:v>interest.A4</x:v>
      </x:c>
      <x:c r="E387" s="47" t="n">
        <x:v>344875</x:v>
      </x:c>
      <x:c r="F387" t="str">
        <x:v>https://www.sec.gov/Archives/edgar/data/2063979/000206397926000020/a2025-2ex991041526.htm</x:v>
      </x:c>
    </x:row>
    <x:row r="388">
      <x:c r="C388" s="45" t="n">
        <x:v>46112</x:v>
      </x:c>
      <x:c r="D388" t="str">
        <x:v>interest.B</x:v>
      </x:c>
      <x:c r="E388" s="47" t="n">
        <x:v>119536</x:v>
      </x:c>
      <x:c r="F388" t="str">
        <x:v>https://www.sec.gov/Archives/edgar/data/2063979/000206397926000020/a2025-2ex991041526.htm</x:v>
      </x:c>
    </x:row>
    <x:row r="389">
      <x:c r="C389" s="45" t="n">
        <x:v>46112</x:v>
      </x:c>
      <x:c r="D389" t="str">
        <x:v>interest.C</x:v>
      </x:c>
      <x:c r="E389" s="47" t="n">
        <x:v>90988</x:v>
      </x:c>
      <x:c r="F389" t="str">
        <x:v>https://www.sec.gov/Archives/edgar/data/2063979/000206397926000020/a2025-2ex991041526.htm</x:v>
      </x:c>
    </x:row>
    <x:row r="390">
      <x:c r="C390" s="45" t="n">
        <x:v>46112</x:v>
      </x:c>
      <x:c r="D390" t="str">
        <x:v>interest.D</x:v>
      </x:c>
      <x:c r="E390" s="47" t="n">
        <x:v>67492.83</x:v>
      </x:c>
      <x:c r="F390" t="str">
        <x:v>https://www.sec.gov/Archives/edgar/data/2063979/000206397926000020/a2025-2ex991041526.htm</x:v>
      </x:c>
    </x:row>
    <x:row r="391">
      <x:c r="C391" s="45" t="n">
        <x:v>46112</x:v>
      </x:c>
      <x:c r="D391" t="str">
        <x:v>principal.A1</x:v>
      </x:c>
      <x:c r="E391" s="47" t="n">
        <x:v>0</x:v>
      </x:c>
      <x:c r="F391" t="str">
        <x:v>https://www.sec.gov/Archives/edgar/data/2063979/000206397926000020/a2025-2ex991041526.htm</x:v>
      </x:c>
    </x:row>
    <x:row r="392">
      <x:c r="C392" s="45" t="n">
        <x:v>46112</x:v>
      </x:c>
      <x:c r="D392" t="str">
        <x:v>principal.A2a</x:v>
      </x:c>
      <x:c r="E392" s="47" t="n">
        <x:v>26221699.03</x:v>
      </x:c>
      <x:c r="F392" t="str">
        <x:v>https://www.sec.gov/Archives/edgar/data/2063979/000206397926000020/a2025-2ex991041526.htm</x:v>
      </x:c>
    </x:row>
    <x:row r="393">
      <x:c r="C393" s="45" t="n">
        <x:v>46112</x:v>
      </x:c>
      <x:c r="D393" t="str">
        <x:v>principal.A2b</x:v>
      </x:c>
      <x:c r="E393" s="47" t="n">
        <x:v>12100190.32</x:v>
      </x:c>
      <x:c r="F393" t="str">
        <x:v>https://www.sec.gov/Archives/edgar/data/2063979/000206397926000020/a2025-2ex991041526.htm</x:v>
      </x:c>
    </x:row>
    <x:row r="394">
      <x:c r="C394" s="45" t="n">
        <x:v>46112</x:v>
      </x:c>
      <x:c r="D394" t="str">
        <x:v>principal.A3</x:v>
      </x:c>
      <x:c r="E394" s="47" t="n">
        <x:v>0</x:v>
      </x:c>
      <x:c r="F394" t="str">
        <x:v>https://www.sec.gov/Archives/edgar/data/2063979/000206397926000020/a2025-2ex991041526.htm</x:v>
      </x:c>
    </x:row>
    <x:row r="395">
      <x:c r="C395" s="45" t="n">
        <x:v>46112</x:v>
      </x:c>
      <x:c r="D395" t="str">
        <x:v>principal.A4</x:v>
      </x:c>
      <x:c r="E395" s="47" t="n">
        <x:v>0</x:v>
      </x:c>
      <x:c r="F395" t="str">
        <x:v>https://www.sec.gov/Archives/edgar/data/2063979/000206397926000020/a2025-2ex991041526.htm</x:v>
      </x:c>
    </x:row>
    <x:row r="396">
      <x:c r="C396" s="45" t="n">
        <x:v>46112</x:v>
      </x:c>
      <x:c r="D396" t="str">
        <x:v>principal.B</x:v>
      </x:c>
      <x:c r="E396" s="47" t="n">
        <x:v>0</x:v>
      </x:c>
      <x:c r="F396" t="str">
        <x:v>https://www.sec.gov/Archives/edgar/data/2063979/000206397926000020/a2025-2ex991041526.htm</x:v>
      </x:c>
    </x:row>
    <x:row r="397">
      <x:c r="C397" s="45" t="n">
        <x:v>46112</x:v>
      </x:c>
      <x:c r="D397" t="str">
        <x:v>principal.C</x:v>
      </x:c>
      <x:c r="E397" s="47" t="n">
        <x:v>0</x:v>
      </x:c>
      <x:c r="F397" t="str">
        <x:v>https://www.sec.gov/Archives/edgar/data/2063979/000206397926000020/a2025-2ex991041526.htm</x:v>
      </x:c>
    </x:row>
    <x:row r="398">
      <x:c r="C398" s="45" t="n">
        <x:v>46112</x:v>
      </x:c>
      <x:c r="D398" t="str">
        <x:v>principal.D</x:v>
      </x:c>
      <x:c r="E398" s="47" t="n">
        <x:v>0</x:v>
      </x:c>
      <x:c r="F398" t="str">
        <x:v>https://www.sec.gov/Archives/edgar/data/2063979/000206397926000020/a2025-2ex991041526.htm</x:v>
      </x:c>
    </x:row>
    <x:row r="399">
      <x:c r="C399" s="45" t="n">
        <x:v>46112</x:v>
      </x:c>
      <x:c r="D399" t="str">
        <x:v>note_end.A1</x:v>
      </x:c>
      <x:c r="E399" s="47" t="n">
        <x:v>0</x:v>
      </x:c>
      <x:c r="F399" t="str">
        <x:v>https://www.sec.gov/Archives/edgar/data/2063979/000206397926000020/a2025-2ex991041526.htm</x:v>
      </x:c>
    </x:row>
    <x:row r="400">
      <x:c r="C400" s="45" t="n">
        <x:v>46112</x:v>
      </x:c>
      <x:c r="D400" t="str">
        <x:v>note_end.A2a</x:v>
      </x:c>
      <x:c r="E400" s="47" t="n">
        <x:v>200719572.15</x:v>
      </x:c>
      <x:c r="F400" t="str">
        <x:v>https://www.sec.gov/Archives/edgar/data/2063979/000206397926000020/a2025-2ex991041526.htm</x:v>
      </x:c>
    </x:row>
    <x:row r="401">
      <x:c r="C401" s="45" t="n">
        <x:v>46112</x:v>
      </x:c>
      <x:c r="D401" t="str">
        <x:v>note_end.A2b</x:v>
      </x:c>
      <x:c r="E401" s="47" t="n">
        <x:v>92623480.26</x:v>
      </x:c>
      <x:c r="F401" t="str">
        <x:v>https://www.sec.gov/Archives/edgar/data/2063979/000206397926000020/a2025-2ex991041526.htm</x:v>
      </x:c>
    </x:row>
    <x:row r="402">
      <x:c r="C402" s="45" t="n">
        <x:v>46112</x:v>
      </x:c>
      <x:c r="D402" t="str">
        <x:v>note_end.A3</x:v>
      </x:c>
      <x:c r="E402" s="47" t="n">
        <x:v>452100000</x:v>
      </x:c>
      <x:c r="F402" t="str">
        <x:v>https://www.sec.gov/Archives/edgar/data/2063979/000206397926000020/a2025-2ex991041526.htm</x:v>
      </x:c>
    </x:row>
    <x:row r="403">
      <x:c r="C403" s="45" t="n">
        <x:v>46112</x:v>
      </x:c>
      <x:c r="D403" t="str">
        <x:v>note_end.A4</x:v>
      </x:c>
      <x:c r="E403" s="47" t="n">
        <x:v>89000000</x:v>
      </x:c>
      <x:c r="F403" t="str">
        <x:v>https://www.sec.gov/Archives/edgar/data/2063979/000206397926000020/a2025-2ex991041526.htm</x:v>
      </x:c>
    </x:row>
    <x:row r="404">
      <x:c r="C404" s="45" t="n">
        <x:v>46112</x:v>
      </x:c>
      <x:c r="D404" t="str">
        <x:v>note_end.B</x:v>
      </x:c>
      <x:c r="E404" s="47" t="n">
        <x:v>28920000</x:v>
      </x:c>
      <x:c r="F404" t="str">
        <x:v>https://www.sec.gov/Archives/edgar/data/2063979/000206397926000020/a2025-2ex991041526.htm</x:v>
      </x:c>
    </x:row>
    <x:row r="405">
      <x:c r="C405" s="45" t="n">
        <x:v>46112</x:v>
      </x:c>
      <x:c r="D405" t="str">
        <x:v>note_end.C</x:v>
      </x:c>
      <x:c r="E405" s="47" t="n">
        <x:v>21160000</x:v>
      </x:c>
      <x:c r="F405" t="str">
        <x:v>https://www.sec.gov/Archives/edgar/data/2063979/000206397926000020/a2025-2ex991041526.htm</x:v>
      </x:c>
    </x:row>
    <x:row r="406">
      <x:c r="C406" s="45" t="n">
        <x:v>46112</x:v>
      </x:c>
      <x:c r="D406" t="str">
        <x:v>note_end.D</x:v>
      </x:c>
      <x:c r="E406" s="47" t="n">
        <x:v>14110000</x:v>
      </x:c>
      <x:c r="F406" t="str">
        <x:v>https://www.sec.gov/Archives/edgar/data/2063979/000206397926000020/a2025-2ex991041526.htm</x:v>
      </x:c>
    </x:row>
    <x:row r="407">
      <x:c r="C407" s="45" t="n">
        <x:v>46112</x:v>
      </x:c>
      <x:c r="D407" t="str">
        <x:v>priority_principal</x:v>
      </x:c>
      <x:c r="E407" s="47" t="n">
        <x:v>0</x:v>
      </x:c>
      <x:c r="F407" t="str">
        <x:v>https://www.sec.gov/Archives/edgar/data/2063979/000206397926000020/a2025-2ex991041526.htm</x:v>
      </x:c>
    </x:row>
    <x:row r="408">
      <x:c r="C408" s="45" t="n">
        <x:v>46112</x:v>
      </x:c>
      <x:c r="D408" t="str">
        <x:v>secondary_principal</x:v>
      </x:c>
      <x:c r="E408" s="47" t="n">
        <x:v>0</x:v>
      </x:c>
      <x:c r="F408" t="str">
        <x:v>https://www.sec.gov/Archives/edgar/data/2063979/000206397926000020/a2025-2ex991041526.htm</x:v>
      </x:c>
    </x:row>
    <x:row r="409">
      <x:c r="C409" s="45" t="n">
        <x:v>46112</x:v>
      </x:c>
      <x:c r="D409" t="str">
        <x:v>tertiary_principal</x:v>
      </x:c>
      <x:c r="E409" s="47" t="n">
        <x:v>13632467.61</x:v>
      </x:c>
      <x:c r="F409" t="str">
        <x:v>https://www.sec.gov/Archives/edgar/data/2063979/000206397926000020/a2025-2ex991041526.htm</x:v>
      </x:c>
    </x:row>
    <x:row r="410">
      <x:c r="C410" s="45" t="n">
        <x:v>46112</x:v>
      </x:c>
      <x:c r="D410" t="str">
        <x:v>quaternary_principal</x:v>
      </x:c>
      <x:c r="E410" s="47" t="n">
        <x:v>14110000</x:v>
      </x:c>
      <x:c r="F410" t="str">
        <x:v>https://www.sec.gov/Archives/edgar/data/2063979/000206397926000020/a2025-2ex991041526.htm</x:v>
      </x:c>
    </x:row>
    <x:row r="411">
      <x:c r="C411" s="45" t="n">
        <x:v>46112</x:v>
      </x:c>
      <x:c r="D411" t="str">
        <x:v>regular_principal</x:v>
      </x:c>
      <x:c r="E411" s="47" t="n">
        <x:v>10579421.74</x:v>
      </x:c>
      <x:c r="F411" t="str">
        <x:v>https://www.sec.gov/Archives/edgar/data/2063979/000206397926000020/a2025-2ex991041526.htm</x:v>
      </x:c>
    </x:row>
    <x:row r="412">
      <x:c r="C412" s="45" t="n">
        <x:v>46112</x:v>
      </x:c>
      <x:c r="D412" t="str">
        <x:v>oc_target</x:v>
      </x:c>
      <x:c r="E412" s="47" t="n">
        <x:v>10579421.74</x:v>
      </x:c>
      <x:c r="F412" t="str">
        <x:v>https://www.sec.gov/Archives/edgar/data/2063979/000206397926000020/a2025-2ex991041526.htm</x:v>
      </x:c>
    </x:row>
    <x:row r="413">
      <x:c r="C413" s="45" t="n">
        <x:v>46142</x:v>
      </x:c>
      <x:c r="D413" t="str">
        <x:v>servicing_fee</x:v>
      </x:c>
      <x:c r="E413" s="47" t="n">
        <x:v>757677.06</x:v>
      </x:c>
      <x:c r="F413" t="str">
        <x:v>https://www.sec.gov/Archives/edgar/data/2063979/000206397926000025/a2025-2ex991051526.htm</x:v>
      </x:c>
    </x:row>
    <x:row r="414">
      <x:c r="C414" s="45" t="n">
        <x:v>46142</x:v>
      </x:c>
      <x:c r="D414" t="str">
        <x:v>total_note_interest</x:v>
      </x:c>
      <x:c r="E414" s="47" t="n">
        <x:v>3412685.14</x:v>
      </x:c>
      <x:c r="F414" t="str">
        <x:v>https://www.sec.gov/Archives/edgar/data/2063979/000206397926000025/a2025-2ex991051526.htm</x:v>
      </x:c>
    </x:row>
    <x:row r="415">
      <x:c r="C415" s="45" t="n">
        <x:v>46142</x:v>
      </x:c>
      <x:c r="D415" t="str">
        <x:v>total_note_principal</x:v>
      </x:c>
      <x:c r="E415" s="47" t="n">
        <x:v>34904165.81</x:v>
      </x:c>
      <x:c r="F415" t="str">
        <x:v>https://www.sec.gov/Archives/edgar/data/2063979/000206397926000025/a2025-2ex991051526.htm</x:v>
      </x:c>
    </x:row>
    <x:row r="416">
      <x:c r="C416" s="45" t="n">
        <x:v>46142</x:v>
      </x:c>
      <x:c r="D416" t="str">
        <x:v>residual_distribution</x:v>
      </x:c>
      <x:c r="E416" s="47" t="n">
        <x:v>2755521.1</x:v>
      </x:c>
      <x:c r="F416" t="str">
        <x:v>https://www.sec.gov/Archives/edgar/data/2063979/000206397926000025/a2025-2ex991051526.htm</x:v>
      </x:c>
    </x:row>
    <x:row r="417">
      <x:c r="C417" s="45" t="n">
        <x:v>46142</x:v>
      </x:c>
      <x:c r="D417" t="str">
        <x:v>reserve_deposit</x:v>
      </x:c>
      <x:c r="E417" s="47" t="n">
        <x:v>0</x:v>
      </x:c>
      <x:c r="F417" t="str">
        <x:v>https://www.sec.gov/Archives/edgar/data/2063979/000206397926000025/a2025-2ex991051526.htm</x:v>
      </x:c>
    </x:row>
    <x:row r="418">
      <x:c r="C418" s="45" t="n">
        <x:v>46142</x:v>
      </x:c>
      <x:c r="D418" t="str">
        <x:v>reserve_end</x:v>
      </x:c>
      <x:c r="E418" s="47" t="n">
        <x:v>3526448.55</x:v>
      </x:c>
      <x:c r="F418" t="str">
        <x:v>https://www.sec.gov/Archives/edgar/data/2063979/000206397926000025/a2025-2ex991051526.htm</x:v>
      </x:c>
    </x:row>
    <x:row r="419">
      <x:c r="C419" s="45" t="n">
        <x:v>46142</x:v>
      </x:c>
      <x:c r="D419" t="str">
        <x:v>reserve_release</x:v>
      </x:c>
      <x:c r="E419" s="47" t="n">
        <x:v>10332.8</x:v>
      </x:c>
      <x:c r="F419" t="str">
        <x:v>https://www.sec.gov/Archives/edgar/data/2063979/000206397926000025/a2025-2ex991051526.htm</x:v>
      </x:c>
    </x:row>
    <x:row r="420">
      <x:c r="C420" s="45" t="n">
        <x:v>46142</x:v>
      </x:c>
      <x:c r="D420" t="str">
        <x:v>interest.A1</x:v>
      </x:c>
      <x:c r="E420" s="47" t="n">
        <x:v>0</x:v>
      </x:c>
      <x:c r="F420" t="str">
        <x:v>https://www.sec.gov/Archives/edgar/data/2063979/000206397926000025/a2025-2ex991051526.htm</x:v>
      </x:c>
    </x:row>
    <x:row r="421">
      <x:c r="C421" s="45" t="n">
        <x:v>46142</x:v>
      </x:c>
      <x:c r="D421" t="str">
        <x:v>interest.A2a</x:v>
      </x:c>
      <x:c r="E421" s="47" t="n">
        <x:v>767752.36</x:v>
      </x:c>
      <x:c r="F421" t="str">
        <x:v>https://www.sec.gov/Archives/edgar/data/2063979/000206397926000025/a2025-2ex991051526.htm</x:v>
      </x:c>
    </x:row>
    <x:row r="422">
      <x:c r="C422" s="45" t="n">
        <x:v>46142</x:v>
      </x:c>
      <x:c r="D422" t="str">
        <x:v>interest.A2b</x:v>
      </x:c>
      <x:c r="E422" s="47" t="n">
        <x:v>334200.95</x:v>
      </x:c>
      <x:c r="F422" t="str">
        <x:v>https://www.sec.gov/Archives/edgar/data/2063979/000206397926000025/a2025-2ex991051526.htm</x:v>
      </x:c>
    </x:row>
    <x:row r="423">
      <x:c r="C423" s="45" t="n">
        <x:v>46142</x:v>
      </x:c>
      <x:c r="D423" t="str">
        <x:v>interest.A3</x:v>
      </x:c>
      <x:c r="E423" s="47" t="n">
        <x:v>1687840</x:v>
      </x:c>
      <x:c r="F423" t="str">
        <x:v>https://www.sec.gov/Archives/edgar/data/2063979/000206397926000025/a2025-2ex991051526.htm</x:v>
      </x:c>
    </x:row>
    <x:row r="424">
      <x:c r="C424" s="45" t="n">
        <x:v>46142</x:v>
      </x:c>
      <x:c r="D424" t="str">
        <x:v>interest.A4</x:v>
      </x:c>
      <x:c r="E424" s="47" t="n">
        <x:v>344875</x:v>
      </x:c>
      <x:c r="F424" t="str">
        <x:v>https://www.sec.gov/Archives/edgar/data/2063979/000206397926000025/a2025-2ex991051526.htm</x:v>
      </x:c>
    </x:row>
    <x:row r="425">
      <x:c r="C425" s="45" t="n">
        <x:v>46142</x:v>
      </x:c>
      <x:c r="D425" t="str">
        <x:v>interest.B</x:v>
      </x:c>
      <x:c r="E425" s="47" t="n">
        <x:v>119536</x:v>
      </x:c>
      <x:c r="F425" t="str">
        <x:v>https://www.sec.gov/Archives/edgar/data/2063979/000206397926000025/a2025-2ex991051526.htm</x:v>
      </x:c>
    </x:row>
    <x:row r="426">
      <x:c r="C426" s="45" t="n">
        <x:v>46142</x:v>
      </x:c>
      <x:c r="D426" t="str">
        <x:v>interest.C</x:v>
      </x:c>
      <x:c r="E426" s="47" t="n">
        <x:v>90988</x:v>
      </x:c>
      <x:c r="F426" t="str">
        <x:v>https://www.sec.gov/Archives/edgar/data/2063979/000206397926000025/a2025-2ex991051526.htm</x:v>
      </x:c>
    </x:row>
    <x:row r="427">
      <x:c r="C427" s="45" t="n">
        <x:v>46142</x:v>
      </x:c>
      <x:c r="D427" t="str">
        <x:v>interest.D</x:v>
      </x:c>
      <x:c r="E427" s="47" t="n">
        <x:v>67492.83</x:v>
      </x:c>
      <x:c r="F427" t="str">
        <x:v>https://www.sec.gov/Archives/edgar/data/2063979/000206397926000025/a2025-2ex991051526.htm</x:v>
      </x:c>
    </x:row>
    <x:row r="428">
      <x:c r="C428" s="45" t="n">
        <x:v>46142</x:v>
      </x:c>
      <x:c r="D428" t="str">
        <x:v>principal.A1</x:v>
      </x:c>
      <x:c r="E428" s="47" t="n">
        <x:v>0</x:v>
      </x:c>
      <x:c r="F428" t="str">
        <x:v>https://www.sec.gov/Archives/edgar/data/2063979/000206397926000025/a2025-2ex991051526.htm</x:v>
      </x:c>
    </x:row>
    <x:row r="429">
      <x:c r="C429" s="45" t="n">
        <x:v>46142</x:v>
      </x:c>
      <x:c r="D429" t="str">
        <x:v>principal.A2a</x:v>
      </x:c>
      <x:c r="E429" s="47" t="n">
        <x:v>23883126.5</x:v>
      </x:c>
      <x:c r="F429" t="str">
        <x:v>https://www.sec.gov/Archives/edgar/data/2063979/000206397926000025/a2025-2ex991051526.htm</x:v>
      </x:c>
    </x:row>
    <x:row r="430">
      <x:c r="C430" s="45" t="n">
        <x:v>46142</x:v>
      </x:c>
      <x:c r="D430" t="str">
        <x:v>principal.A2b</x:v>
      </x:c>
      <x:c r="E430" s="47" t="n">
        <x:v>11021039.31</x:v>
      </x:c>
      <x:c r="F430" t="str">
        <x:v>https://www.sec.gov/Archives/edgar/data/2063979/000206397926000025/a2025-2ex991051526.htm</x:v>
      </x:c>
    </x:row>
    <x:row r="431">
      <x:c r="C431" s="45" t="n">
        <x:v>46142</x:v>
      </x:c>
      <x:c r="D431" t="str">
        <x:v>principal.A3</x:v>
      </x:c>
      <x:c r="E431" s="47" t="n">
        <x:v>0</x:v>
      </x:c>
      <x:c r="F431" t="str">
        <x:v>https://www.sec.gov/Archives/edgar/data/2063979/000206397926000025/a2025-2ex991051526.htm</x:v>
      </x:c>
    </x:row>
    <x:row r="432">
      <x:c r="C432" s="45" t="n">
        <x:v>46142</x:v>
      </x:c>
      <x:c r="D432" t="str">
        <x:v>principal.A4</x:v>
      </x:c>
      <x:c r="E432" s="47" t="n">
        <x:v>0</x:v>
      </x:c>
      <x:c r="F432" t="str">
        <x:v>https://www.sec.gov/Archives/edgar/data/2063979/000206397926000025/a2025-2ex991051526.htm</x:v>
      </x:c>
    </x:row>
    <x:row r="433">
      <x:c r="C433" s="45" t="n">
        <x:v>46142</x:v>
      </x:c>
      <x:c r="D433" t="str">
        <x:v>principal.B</x:v>
      </x:c>
      <x:c r="E433" s="47" t="n">
        <x:v>0</x:v>
      </x:c>
      <x:c r="F433" t="str">
        <x:v>https://www.sec.gov/Archives/edgar/data/2063979/000206397926000025/a2025-2ex991051526.htm</x:v>
      </x:c>
    </x:row>
    <x:row r="434">
      <x:c r="C434" s="45" t="n">
        <x:v>46142</x:v>
      </x:c>
      <x:c r="D434" t="str">
        <x:v>principal.C</x:v>
      </x:c>
      <x:c r="E434" s="47" t="n">
        <x:v>0</x:v>
      </x:c>
      <x:c r="F434" t="str">
        <x:v>https://www.sec.gov/Archives/edgar/data/2063979/000206397926000025/a2025-2ex991051526.htm</x:v>
      </x:c>
    </x:row>
    <x:row r="435">
      <x:c r="C435" s="45" t="n">
        <x:v>46142</x:v>
      </x:c>
      <x:c r="D435" t="str">
        <x:v>principal.D</x:v>
      </x:c>
      <x:c r="E435" s="47" t="n">
        <x:v>0</x:v>
      </x:c>
      <x:c r="F435" t="str">
        <x:v>https://www.sec.gov/Archives/edgar/data/2063979/000206397926000025/a2025-2ex991051526.htm</x:v>
      </x:c>
    </x:row>
    <x:row r="436">
      <x:c r="C436" s="45" t="n">
        <x:v>46142</x:v>
      </x:c>
      <x:c r="D436" t="str">
        <x:v>note_end.A1</x:v>
      </x:c>
      <x:c r="E436" s="47" t="n">
        <x:v>0</x:v>
      </x:c>
      <x:c r="F436" t="str">
        <x:v>https://www.sec.gov/Archives/edgar/data/2063979/000206397926000025/a2025-2ex991051526.htm</x:v>
      </x:c>
    </x:row>
    <x:row r="437">
      <x:c r="C437" s="45" t="n">
        <x:v>46142</x:v>
      </x:c>
      <x:c r="D437" t="str">
        <x:v>note_end.A2a</x:v>
      </x:c>
      <x:c r="E437" s="47" t="n">
        <x:v>176836445.65</x:v>
      </x:c>
      <x:c r="F437" t="str">
        <x:v>https://www.sec.gov/Archives/edgar/data/2063979/000206397926000025/a2025-2ex991051526.htm</x:v>
      </x:c>
    </x:row>
    <x:row r="438">
      <x:c r="C438" s="45" t="n">
        <x:v>46142</x:v>
      </x:c>
      <x:c r="D438" t="str">
        <x:v>note_end.A2b</x:v>
      </x:c>
      <x:c r="E438" s="47" t="n">
        <x:v>81602440.95</x:v>
      </x:c>
      <x:c r="F438" t="str">
        <x:v>https://www.sec.gov/Archives/edgar/data/2063979/000206397926000025/a2025-2ex991051526.htm</x:v>
      </x:c>
    </x:row>
    <x:row r="439">
      <x:c r="C439" s="45" t="n">
        <x:v>46142</x:v>
      </x:c>
      <x:c r="D439" t="str">
        <x:v>note_end.A3</x:v>
      </x:c>
      <x:c r="E439" s="47" t="n">
        <x:v>452100000</x:v>
      </x:c>
      <x:c r="F439" t="str">
        <x:v>https://www.sec.gov/Archives/edgar/data/2063979/000206397926000025/a2025-2ex991051526.htm</x:v>
      </x:c>
    </x:row>
    <x:row r="440">
      <x:c r="C440" s="45" t="n">
        <x:v>46142</x:v>
      </x:c>
      <x:c r="D440" t="str">
        <x:v>note_end.A4</x:v>
      </x:c>
      <x:c r="E440" s="47" t="n">
        <x:v>89000000</x:v>
      </x:c>
      <x:c r="F440" t="str">
        <x:v>https://www.sec.gov/Archives/edgar/data/2063979/000206397926000025/a2025-2ex991051526.htm</x:v>
      </x:c>
    </x:row>
    <x:row r="441">
      <x:c r="C441" s="45" t="n">
        <x:v>46142</x:v>
      </x:c>
      <x:c r="D441" t="str">
        <x:v>note_end.B</x:v>
      </x:c>
      <x:c r="E441" s="47" t="n">
        <x:v>28920000</x:v>
      </x:c>
      <x:c r="F441" t="str">
        <x:v>https://www.sec.gov/Archives/edgar/data/2063979/000206397926000025/a2025-2ex991051526.htm</x:v>
      </x:c>
    </x:row>
    <x:row r="442">
      <x:c r="C442" s="45" t="n">
        <x:v>46142</x:v>
      </x:c>
      <x:c r="D442" t="str">
        <x:v>note_end.C</x:v>
      </x:c>
      <x:c r="E442" s="47" t="n">
        <x:v>21160000</x:v>
      </x:c>
      <x:c r="F442" t="str">
        <x:v>https://www.sec.gov/Archives/edgar/data/2063979/000206397926000025/a2025-2ex991051526.htm</x:v>
      </x:c>
    </x:row>
    <x:row r="443">
      <x:c r="C443" s="45" t="n">
        <x:v>46142</x:v>
      </x:c>
      <x:c r="D443" t="str">
        <x:v>note_end.D</x:v>
      </x:c>
      <x:c r="E443" s="47" t="n">
        <x:v>14110000</x:v>
      </x:c>
      <x:c r="F443" t="str">
        <x:v>https://www.sec.gov/Archives/edgar/data/2063979/000206397926000025/a2025-2ex991051526.htm</x:v>
      </x:c>
    </x:row>
    <x:row r="444">
      <x:c r="C444" s="45" t="n">
        <x:v>46142</x:v>
      </x:c>
      <x:c r="D444" t="str">
        <x:v>priority_principal</x:v>
      </x:c>
      <x:c r="E444" s="47" t="n">
        <x:v>0</x:v>
      </x:c>
      <x:c r="F444" t="str">
        <x:v>https://www.sec.gov/Archives/edgar/data/2063979/000206397926000025/a2025-2ex991051526.htm</x:v>
      </x:c>
    </x:row>
    <x:row r="445">
      <x:c r="C445" s="45" t="n">
        <x:v>46142</x:v>
      </x:c>
      <x:c r="D445" t="str">
        <x:v>secondary_principal</x:v>
      </x:c>
      <x:c r="E445" s="47" t="n">
        <x:v>0</x:v>
      </x:c>
      <x:c r="F445" t="str">
        <x:v>https://www.sec.gov/Archives/edgar/data/2063979/000206397926000025/a2025-2ex991051526.htm</x:v>
      </x:c>
    </x:row>
    <x:row r="446">
      <x:c r="C446" s="45" t="n">
        <x:v>46142</x:v>
      </x:c>
      <x:c r="D446" t="str">
        <x:v>tertiary_principal</x:v>
      </x:c>
      <x:c r="E446" s="47" t="n">
        <x:v>10214744.07</x:v>
      </x:c>
      <x:c r="F446" t="str">
        <x:v>https://www.sec.gov/Archives/edgar/data/2063979/000206397926000025/a2025-2ex991051526.htm</x:v>
      </x:c>
    </x:row>
    <x:row r="447">
      <x:c r="C447" s="45" t="n">
        <x:v>46142</x:v>
      </x:c>
      <x:c r="D447" t="str">
        <x:v>quaternary_principal</x:v>
      </x:c>
      <x:c r="E447" s="47" t="n">
        <x:v>14110000</x:v>
      </x:c>
      <x:c r="F447" t="str">
        <x:v>https://www.sec.gov/Archives/edgar/data/2063979/000206397926000025/a2025-2ex991051526.htm</x:v>
      </x:c>
    </x:row>
    <x:row r="448">
      <x:c r="C448" s="45" t="n">
        <x:v>46142</x:v>
      </x:c>
      <x:c r="D448" t="str">
        <x:v>regular_principal</x:v>
      </x:c>
      <x:c r="E448" s="47" t="n">
        <x:v>10579421.74</x:v>
      </x:c>
      <x:c r="F448" t="str">
        <x:v>https://www.sec.gov/Archives/edgar/data/2063979/000206397926000025/a2025-2ex991051526.htm</x:v>
      </x:c>
    </x:row>
    <x:row r="449">
      <x:c r="C449" s="45" t="n">
        <x:v>46142</x:v>
      </x:c>
      <x:c r="D449" t="str">
        <x:v>oc_target</x:v>
      </x:c>
      <x:c r="E449" s="47" t="n">
        <x:v>10579421.74</x:v>
      </x:c>
      <x:c r="F449" t="str">
        <x:v>https://www.sec.gov/Archives/edgar/data/2063979/000206397926000025/a2025-2ex991051526.htm</x:v>
      </x:c>
    </x:row>
    <x:row r="450">
      <x:c r="C450" s="45" t="n">
        <x:v>46173</x:v>
      </x:c>
      <x:c r="D450" t="str">
        <x:v>servicing_fee</x:v>
      </x:c>
      <x:c r="E450" s="47" t="n">
        <x:v>728590.26</x:v>
      </x:c>
      <x:c r="F450" t="str">
        <x:v>https://www.sec.gov/Archives/edgar/data/2063979/000206397926000032/a2025-2ex991061526.htm</x:v>
      </x:c>
    </x:row>
    <x:row r="451">
      <x:c r="C451" s="45" t="n">
        <x:v>46173</x:v>
      </x:c>
      <x:c r="D451" t="str">
        <x:v>total_note_interest</x:v>
      </x:c>
      <x:c r="E451" s="47" t="n">
        <x:v>3291595.26</x:v>
      </x:c>
      <x:c r="F451" t="str">
        <x:v>https://www.sec.gov/Archives/edgar/data/2063979/000206397926000032/a2025-2ex991061526.htm</x:v>
      </x:c>
    </x:row>
    <x:row r="452">
      <x:c r="C452" s="45" t="n">
        <x:v>46173</x:v>
      </x:c>
      <x:c r="D452" t="str">
        <x:v>total_note_principal</x:v>
      </x:c>
      <x:c r="E452" s="47" t="n">
        <x:v>33627688.96</x:v>
      </x:c>
      <x:c r="F452" t="str">
        <x:v>https://www.sec.gov/Archives/edgar/data/2063979/000206397926000032/a2025-2ex991061526.htm</x:v>
      </x:c>
    </x:row>
    <x:row r="453">
      <x:c r="C453" s="45" t="n">
        <x:v>46173</x:v>
      </x:c>
      <x:c r="D453" t="str">
        <x:v>residual_distribution</x:v>
      </x:c>
      <x:c r="E453" s="47" t="n">
        <x:v>2534145.77</x:v>
      </x:c>
      <x:c r="F453" t="str">
        <x:v>https://www.sec.gov/Archives/edgar/data/2063979/000206397926000032/a2025-2ex991061526.htm</x:v>
      </x:c>
    </x:row>
    <x:row r="454">
      <x:c r="C454" s="45" t="n">
        <x:v>46173</x:v>
      </x:c>
      <x:c r="D454" t="str">
        <x:v>reserve_deposit</x:v>
      </x:c>
      <x:c r="E454" s="47" t="n">
        <x:v>0</x:v>
      </x:c>
      <x:c r="F454" t="str">
        <x:v>https://www.sec.gov/Archives/edgar/data/2063979/000206397926000032/a2025-2ex991061526.htm</x:v>
      </x:c>
    </x:row>
    <x:row r="455">
      <x:c r="C455" s="45" t="n">
        <x:v>46173</x:v>
      </x:c>
      <x:c r="D455" t="str">
        <x:v>reserve_end</x:v>
      </x:c>
      <x:c r="E455" s="47" t="n">
        <x:v>3526448.55</x:v>
      </x:c>
      <x:c r="F455" t="str">
        <x:v>https://www.sec.gov/Archives/edgar/data/2063979/000206397926000032/a2025-2ex991061526.htm</x:v>
      </x:c>
    </x:row>
    <x:row r="456">
      <x:c r="C456" s="45" t="n">
        <x:v>46173</x:v>
      </x:c>
      <x:c r="D456" t="str">
        <x:v>reserve_release</x:v>
      </x:c>
      <x:c r="E456" s="47" t="n">
        <x:v>10566.97</x:v>
      </x:c>
      <x:c r="F456" t="str">
        <x:v>https://www.sec.gov/Archives/edgar/data/2063979/000206397926000032/a2025-2ex991061526.htm</x:v>
      </x:c>
    </x:row>
    <x:row r="457">
      <x:c r="C457" s="45" t="n">
        <x:v>46173</x:v>
      </x:c>
      <x:c r="D457" t="str">
        <x:v>interest.A1</x:v>
      </x:c>
      <x:c r="E457" s="47" t="n">
        <x:v>0</x:v>
      </x:c>
      <x:c r="F457" t="str">
        <x:v>https://www.sec.gov/Archives/edgar/data/2063979/000206397926000032/a2025-2ex991061526.htm</x:v>
      </x:c>
    </x:row>
    <x:row r="458">
      <x:c r="C458" s="45" t="n">
        <x:v>46173</x:v>
      </x:c>
      <x:c r="D458" t="str">
        <x:v>interest.A2a</x:v>
      </x:c>
      <x:c r="E458" s="47" t="n">
        <x:v>676399.4</x:v>
      </x:c>
      <x:c r="F458" t="str">
        <x:v>https://www.sec.gov/Archives/edgar/data/2063979/000206397926000032/a2025-2ex991061526.htm</x:v>
      </x:c>
    </x:row>
    <x:row r="459">
      <x:c r="C459" s="45" t="n">
        <x:v>46173</x:v>
      </x:c>
      <x:c r="D459" t="str">
        <x:v>interest.A2b</x:v>
      </x:c>
      <x:c r="E459" s="47" t="n">
        <x:v>304464.03</x:v>
      </x:c>
      <x:c r="F459" t="str">
        <x:v>https://www.sec.gov/Archives/edgar/data/2063979/000206397926000032/a2025-2ex991061526.htm</x:v>
      </x:c>
    </x:row>
    <x:row r="460">
      <x:c r="C460" s="45" t="n">
        <x:v>46173</x:v>
      </x:c>
      <x:c r="D460" t="str">
        <x:v>interest.A3</x:v>
      </x:c>
      <x:c r="E460" s="47" t="n">
        <x:v>1687840</x:v>
      </x:c>
      <x:c r="F460" t="str">
        <x:v>https://www.sec.gov/Archives/edgar/data/2063979/000206397926000032/a2025-2ex991061526.htm</x:v>
      </x:c>
    </x:row>
    <x:row r="461">
      <x:c r="C461" s="45" t="n">
        <x:v>46173</x:v>
      </x:c>
      <x:c r="D461" t="str">
        <x:v>interest.A4</x:v>
      </x:c>
      <x:c r="E461" s="47" t="n">
        <x:v>344875</x:v>
      </x:c>
      <x:c r="F461" t="str">
        <x:v>https://www.sec.gov/Archives/edgar/data/2063979/000206397926000032/a2025-2ex991061526.htm</x:v>
      </x:c>
    </x:row>
    <x:row r="462">
      <x:c r="C462" s="45" t="n">
        <x:v>46173</x:v>
      </x:c>
      <x:c r="D462" t="str">
        <x:v>interest.B</x:v>
      </x:c>
      <x:c r="E462" s="47" t="n">
        <x:v>119536</x:v>
      </x:c>
      <x:c r="F462" t="str">
        <x:v>https://www.sec.gov/Archives/edgar/data/2063979/000206397926000032/a2025-2ex991061526.htm</x:v>
      </x:c>
    </x:row>
    <x:row r="463">
      <x:c r="C463" s="45" t="n">
        <x:v>46173</x:v>
      </x:c>
      <x:c r="D463" t="str">
        <x:v>interest.C</x:v>
      </x:c>
      <x:c r="E463" s="47" t="n">
        <x:v>90988</x:v>
      </x:c>
      <x:c r="F463" t="str">
        <x:v>https://www.sec.gov/Archives/edgar/data/2063979/000206397926000032/a2025-2ex991061526.htm</x:v>
      </x:c>
    </x:row>
    <x:row r="464">
      <x:c r="C464" s="45" t="n">
        <x:v>46173</x:v>
      </x:c>
      <x:c r="D464" t="str">
        <x:v>interest.D</x:v>
      </x:c>
      <x:c r="E464" s="47" t="n">
        <x:v>67492.83</x:v>
      </x:c>
      <x:c r="F464" t="str">
        <x:v>https://www.sec.gov/Archives/edgar/data/2063979/000206397926000032/a2025-2ex991061526.htm</x:v>
      </x:c>
    </x:row>
    <x:row r="465">
      <x:c r="C465" s="45" t="n">
        <x:v>46173</x:v>
      </x:c>
      <x:c r="D465" t="str">
        <x:v>principal.A1</x:v>
      </x:c>
      <x:c r="E465" s="47" t="n">
        <x:v>0</x:v>
      </x:c>
      <x:c r="F465" t="str">
        <x:v>https://www.sec.gov/Archives/edgar/data/2063979/000206397926000032/a2025-2ex991061526.htm</x:v>
      </x:c>
    </x:row>
    <x:row r="466">
      <x:c r="C466" s="45" t="n">
        <x:v>46173</x:v>
      </x:c>
      <x:c r="D466" t="str">
        <x:v>principal.A2a</x:v>
      </x:c>
      <x:c r="E466" s="47" t="n">
        <x:v>23009699</x:v>
      </x:c>
      <x:c r="F466" t="str">
        <x:v>https://www.sec.gov/Archives/edgar/data/2063979/000206397926000032/a2025-2ex991061526.htm</x:v>
      </x:c>
    </x:row>
    <x:row r="467">
      <x:c r="C467" s="45" t="n">
        <x:v>46173</x:v>
      </x:c>
      <x:c r="D467" t="str">
        <x:v>principal.A2b</x:v>
      </x:c>
      <x:c r="E467" s="47" t="n">
        <x:v>10617989.96</x:v>
      </x:c>
      <x:c r="F467" t="str">
        <x:v>https://www.sec.gov/Archives/edgar/data/2063979/000206397926000032/a2025-2ex991061526.htm</x:v>
      </x:c>
    </x:row>
    <x:row r="468">
      <x:c r="C468" s="45" t="n">
        <x:v>46173</x:v>
      </x:c>
      <x:c r="D468" t="str">
        <x:v>principal.A3</x:v>
      </x:c>
      <x:c r="E468" s="47" t="n">
        <x:v>0</x:v>
      </x:c>
      <x:c r="F468" t="str">
        <x:v>https://www.sec.gov/Archives/edgar/data/2063979/000206397926000032/a2025-2ex991061526.htm</x:v>
      </x:c>
    </x:row>
    <x:row r="469">
      <x:c r="C469" s="45" t="n">
        <x:v>46173</x:v>
      </x:c>
      <x:c r="D469" t="str">
        <x:v>principal.A4</x:v>
      </x:c>
      <x:c r="E469" s="47" t="n">
        <x:v>0</x:v>
      </x:c>
      <x:c r="F469" t="str">
        <x:v>https://www.sec.gov/Archives/edgar/data/2063979/000206397926000032/a2025-2ex991061526.htm</x:v>
      </x:c>
    </x:row>
    <x:row r="470">
      <x:c r="C470" s="45" t="n">
        <x:v>46173</x:v>
      </x:c>
      <x:c r="D470" t="str">
        <x:v>principal.B</x:v>
      </x:c>
      <x:c r="E470" s="47" t="n">
        <x:v>0</x:v>
      </x:c>
      <x:c r="F470" t="str">
        <x:v>https://www.sec.gov/Archives/edgar/data/2063979/000206397926000032/a2025-2ex991061526.htm</x:v>
      </x:c>
    </x:row>
    <x:row r="471">
      <x:c r="C471" s="45" t="n">
        <x:v>46173</x:v>
      </x:c>
      <x:c r="D471" t="str">
        <x:v>principal.C</x:v>
      </x:c>
      <x:c r="E471" s="47" t="n">
        <x:v>0</x:v>
      </x:c>
      <x:c r="F471" t="str">
        <x:v>https://www.sec.gov/Archives/edgar/data/2063979/000206397926000032/a2025-2ex991061526.htm</x:v>
      </x:c>
    </x:row>
    <x:row r="472">
      <x:c r="C472" s="45" t="n">
        <x:v>46173</x:v>
      </x:c>
      <x:c r="D472" t="str">
        <x:v>principal.D</x:v>
      </x:c>
      <x:c r="E472" s="47" t="n">
        <x:v>0</x:v>
      </x:c>
      <x:c r="F472" t="str">
        <x:v>https://www.sec.gov/Archives/edgar/data/2063979/000206397926000032/a2025-2ex991061526.htm</x:v>
      </x:c>
    </x:row>
    <x:row r="473">
      <x:c r="C473" s="45" t="n">
        <x:v>46173</x:v>
      </x:c>
      <x:c r="D473" t="str">
        <x:v>note_end.A1</x:v>
      </x:c>
      <x:c r="E473" s="47" t="n">
        <x:v>0</x:v>
      </x:c>
      <x:c r="F473" t="str">
        <x:v>https://www.sec.gov/Archives/edgar/data/2063979/000206397926000032/a2025-2ex991061526.htm</x:v>
      </x:c>
    </x:row>
    <x:row r="474">
      <x:c r="C474" s="45" t="n">
        <x:v>46173</x:v>
      </x:c>
      <x:c r="D474" t="str">
        <x:v>note_end.A2a</x:v>
      </x:c>
      <x:c r="E474" s="47" t="n">
        <x:v>153826746.65</x:v>
      </x:c>
      <x:c r="F474" t="str">
        <x:v>https://www.sec.gov/Archives/edgar/data/2063979/000206397926000032/a2025-2ex991061526.htm</x:v>
      </x:c>
    </x:row>
    <x:row r="475">
      <x:c r="C475" s="45" t="n">
        <x:v>46173</x:v>
      </x:c>
      <x:c r="D475" t="str">
        <x:v>note_end.A2b</x:v>
      </x:c>
      <x:c r="E475" s="47" t="n">
        <x:v>70984450.99</x:v>
      </x:c>
      <x:c r="F475" t="str">
        <x:v>https://www.sec.gov/Archives/edgar/data/2063979/000206397926000032/a2025-2ex991061526.htm</x:v>
      </x:c>
    </x:row>
    <x:row r="476">
      <x:c r="C476" s="45" t="n">
        <x:v>46173</x:v>
      </x:c>
      <x:c r="D476" t="str">
        <x:v>note_end.A3</x:v>
      </x:c>
      <x:c r="E476" s="47" t="n">
        <x:v>452100000</x:v>
      </x:c>
      <x:c r="F476" t="str">
        <x:v>https://www.sec.gov/Archives/edgar/data/2063979/000206397926000032/a2025-2ex991061526.htm</x:v>
      </x:c>
    </x:row>
    <x:row r="477">
      <x:c r="C477" s="45" t="n">
        <x:v>46173</x:v>
      </x:c>
      <x:c r="D477" t="str">
        <x:v>note_end.A4</x:v>
      </x:c>
      <x:c r="E477" s="47" t="n">
        <x:v>89000000</x:v>
      </x:c>
      <x:c r="F477" t="str">
        <x:v>https://www.sec.gov/Archives/edgar/data/2063979/000206397926000032/a2025-2ex991061526.htm</x:v>
      </x:c>
    </x:row>
    <x:row r="478">
      <x:c r="C478" s="45" t="n">
        <x:v>46173</x:v>
      </x:c>
      <x:c r="D478" t="str">
        <x:v>note_end.B</x:v>
      </x:c>
      <x:c r="E478" s="47" t="n">
        <x:v>28920000</x:v>
      </x:c>
      <x:c r="F478" t="str">
        <x:v>https://www.sec.gov/Archives/edgar/data/2063979/000206397926000032/a2025-2ex991061526.htm</x:v>
      </x:c>
    </x:row>
    <x:row r="479">
      <x:c r="C479" s="45" t="n">
        <x:v>46173</x:v>
      </x:c>
      <x:c r="D479" t="str">
        <x:v>note_end.C</x:v>
      </x:c>
      <x:c r="E479" s="47" t="n">
        <x:v>21160000</x:v>
      </x:c>
      <x:c r="F479" t="str">
        <x:v>https://www.sec.gov/Archives/edgar/data/2063979/000206397926000032/a2025-2ex991061526.htm</x:v>
      </x:c>
    </x:row>
    <x:row r="480">
      <x:c r="C480" s="45" t="n">
        <x:v>46173</x:v>
      </x:c>
      <x:c r="D480" t="str">
        <x:v>note_end.D</x:v>
      </x:c>
      <x:c r="E480" s="47" t="n">
        <x:v>14110000</x:v>
      </x:c>
      <x:c r="F480" t="str">
        <x:v>https://www.sec.gov/Archives/edgar/data/2063979/000206397926000032/a2025-2ex991061526.htm</x:v>
      </x:c>
    </x:row>
    <x:row r="481">
      <x:c r="C481" s="45" t="n">
        <x:v>46173</x:v>
      </x:c>
      <x:c r="D481" t="str">
        <x:v>priority_principal</x:v>
      </x:c>
      <x:c r="E481" s="47" t="n">
        <x:v>0</x:v>
      </x:c>
      <x:c r="F481" t="str">
        <x:v>https://www.sec.gov/Archives/edgar/data/2063979/000206397926000032/a2025-2ex991061526.htm</x:v>
      </x:c>
    </x:row>
    <x:row r="482">
      <x:c r="C482" s="45" t="n">
        <x:v>46173</x:v>
      </x:c>
      <x:c r="D482" t="str">
        <x:v>secondary_principal</x:v>
      </x:c>
      <x:c r="E482" s="47" t="n">
        <x:v>0</x:v>
      </x:c>
      <x:c r="F482" t="str">
        <x:v>https://www.sec.gov/Archives/edgar/data/2063979/000206397926000032/a2025-2ex991061526.htm</x:v>
      </x:c>
    </x:row>
    <x:row r="483">
      <x:c r="C483" s="45" t="n">
        <x:v>46173</x:v>
      </x:c>
      <x:c r="D483" t="str">
        <x:v>tertiary_principal</x:v>
      </x:c>
      <x:c r="E483" s="47" t="n">
        <x:v>8938267.22</x:v>
      </x:c>
      <x:c r="F483" t="str">
        <x:v>https://www.sec.gov/Archives/edgar/data/2063979/000206397926000032/a2025-2ex991061526.htm</x:v>
      </x:c>
    </x:row>
    <x:row r="484">
      <x:c r="C484" s="45" t="n">
        <x:v>46173</x:v>
      </x:c>
      <x:c r="D484" t="str">
        <x:v>quaternary_principal</x:v>
      </x:c>
      <x:c r="E484" s="47" t="n">
        <x:v>14110000</x:v>
      </x:c>
      <x:c r="F484" t="str">
        <x:v>https://www.sec.gov/Archives/edgar/data/2063979/000206397926000032/a2025-2ex991061526.htm</x:v>
      </x:c>
    </x:row>
    <x:row r="485">
      <x:c r="C485" s="45" t="n">
        <x:v>46173</x:v>
      </x:c>
      <x:c r="D485" t="str">
        <x:v>regular_principal</x:v>
      </x:c>
      <x:c r="E485" s="47" t="n">
        <x:v>10579421.74</x:v>
      </x:c>
      <x:c r="F485" t="str">
        <x:v>https://www.sec.gov/Archives/edgar/data/2063979/000206397926000032/a2025-2ex991061526.htm</x:v>
      </x:c>
    </x:row>
    <x:row r="486">
      <x:c r="C486" s="45" t="n">
        <x:v>46173</x:v>
      </x:c>
      <x:c r="D486" t="str">
        <x:v>oc_target</x:v>
      </x:c>
      <x:c r="E486" s="47" t="n">
        <x:v>10579421.74</x:v>
      </x:c>
      <x:c r="F486" t="str">
        <x:v>https://www.sec.gov/Archives/edgar/data/2063979/000206397926000032/a2025-2ex991061526.htm</x:v>
      </x:c>
    </x:row>
    <x:row r="487">
      <x:c r="C487" s="45" t="n">
        <x:v>46203</x:v>
      </x:c>
      <x:c r="D487" t="str">
        <x:v>servicing_fee</x:v>
      </x:c>
      <x:c r="E487" s="47" t="n">
        <x:v>700567.18</x:v>
      </x:c>
      <x:c r="F487" t="str">
        <x:v>https://www.sec.gov/Archives/edgar/data/2063979/000206397926000037/a2025-2ex991071526.htm</x:v>
      </x:c>
    </x:row>
    <x:row r="488">
      <x:c r="C488" s="45" t="n">
        <x:v>46203</x:v>
      </x:c>
      <x:c r="D488" t="str">
        <x:v>total_note_interest</x:v>
      </x:c>
      <x:c r="E488" s="47" t="n">
        <x:v>3152475.07</x:v>
      </x:c>
      <x:c r="F488" t="str">
        <x:v>https://www.sec.gov/Archives/edgar/data/2063979/000206397926000037/a2025-2ex991071526.htm</x:v>
      </x:c>
    </x:row>
    <x:row r="489">
      <x:c r="C489" s="45" t="n">
        <x:v>46203</x:v>
      </x:c>
      <x:c r="D489" t="str">
        <x:v>total_note_principal</x:v>
      </x:c>
      <x:c r="E489" s="47" t="n">
        <x:v>31862692.18</x:v>
      </x:c>
      <x:c r="F489" t="str">
        <x:v>https://www.sec.gov/Archives/edgar/data/2063979/000206397926000037/a2025-2ex991071526.htm</x:v>
      </x:c>
    </x:row>
    <x:row r="490">
      <x:c r="C490" s="45" t="n">
        <x:v>46203</x:v>
      </x:c>
      <x:c r="D490" t="str">
        <x:v>residual_distribution</x:v>
      </x:c>
      <x:c r="E490" s="47" t="n">
        <x:v>2199667.08</x:v>
      </x:c>
      <x:c r="F490" t="str">
        <x:v>https://www.sec.gov/Archives/edgar/data/2063979/000206397926000037/a2025-2ex991071526.htm</x:v>
      </x:c>
    </x:row>
    <x:row r="491">
      <x:c r="C491" s="45" t="n">
        <x:v>46203</x:v>
      </x:c>
      <x:c r="D491" t="str">
        <x:v>reserve_deposit</x:v>
      </x:c>
      <x:c r="E491" s="47" t="n">
        <x:v>0</x:v>
      </x:c>
      <x:c r="F491" t="str">
        <x:v>https://www.sec.gov/Archives/edgar/data/2063979/000206397926000037/a2025-2ex991071526.htm</x:v>
      </x:c>
    </x:row>
    <x:row r="492">
      <x:c r="C492" s="45" t="n">
        <x:v>46203</x:v>
      </x:c>
      <x:c r="D492" t="str">
        <x:v>reserve_end</x:v>
      </x:c>
      <x:c r="E492" s="47" t="n">
        <x:v>3526448.55</x:v>
      </x:c>
      <x:c r="F492" t="str">
        <x:v>https://www.sec.gov/Archives/edgar/data/2063979/000206397926000037/a2025-2ex991071526.htm</x:v>
      </x:c>
    </x:row>
    <x:row r="493">
      <x:c r="C493" s="45" t="n">
        <x:v>46203</x:v>
      </x:c>
      <x:c r="D493" t="str">
        <x:v>reserve_release</x:v>
      </x:c>
      <x:c r="E493" s="47" t="n">
        <x:v>10293.25</x:v>
      </x:c>
      <x:c r="F493" t="str">
        <x:v>https://www.sec.gov/Archives/edgar/data/2063979/000206397926000037/a2025-2ex991071526.htm</x:v>
      </x:c>
    </x:row>
    <x:row r="494">
      <x:c r="C494" s="45" t="n">
        <x:v>46203</x:v>
      </x:c>
      <x:c r="D494" t="str">
        <x:v>interest.A1</x:v>
      </x:c>
      <x:c r="E494" s="47" t="n">
        <x:v>0</x:v>
      </x:c>
      <x:c r="F494" t="str">
        <x:v>https://www.sec.gov/Archives/edgar/data/2063979/000206397926000037/a2025-2ex991071526.htm</x:v>
      </x:c>
    </x:row>
    <x:row r="495">
      <x:c r="C495" s="45" t="n">
        <x:v>46203</x:v>
      </x:c>
      <x:c r="D495" t="str">
        <x:v>interest.A2a</x:v>
      </x:c>
      <x:c r="E495" s="47" t="n">
        <x:v>588387.31</x:v>
      </x:c>
      <x:c r="F495" t="str">
        <x:v>https://www.sec.gov/Archives/edgar/data/2063979/000206397926000037/a2025-2ex991071526.htm</x:v>
      </x:c>
    </x:row>
    <x:row r="496">
      <x:c r="C496" s="45" t="n">
        <x:v>46203</x:v>
      </x:c>
      <x:c r="D496" t="str">
        <x:v>interest.A2b</x:v>
      </x:c>
      <x:c r="E496" s="47" t="n">
        <x:v>253355.93</x:v>
      </x:c>
      <x:c r="F496" t="str">
        <x:v>https://www.sec.gov/Archives/edgar/data/2063979/000206397926000037/a2025-2ex991071526.htm</x:v>
      </x:c>
    </x:row>
    <x:row r="497">
      <x:c r="C497" s="45" t="n">
        <x:v>46203</x:v>
      </x:c>
      <x:c r="D497" t="str">
        <x:v>interest.A3</x:v>
      </x:c>
      <x:c r="E497" s="47" t="n">
        <x:v>1687840</x:v>
      </x:c>
      <x:c r="F497" t="str">
        <x:v>https://www.sec.gov/Archives/edgar/data/2063979/000206397926000037/a2025-2ex991071526.htm</x:v>
      </x:c>
    </x:row>
    <x:row r="498">
      <x:c r="C498" s="45" t="n">
        <x:v>46203</x:v>
      </x:c>
      <x:c r="D498" t="str">
        <x:v>interest.A4</x:v>
      </x:c>
      <x:c r="E498" s="47" t="n">
        <x:v>344875</x:v>
      </x:c>
      <x:c r="F498" t="str">
        <x:v>https://www.sec.gov/Archives/edgar/data/2063979/000206397926000037/a2025-2ex991071526.htm</x:v>
      </x:c>
    </x:row>
    <x:row r="499">
      <x:c r="C499" s="45" t="n">
        <x:v>46203</x:v>
      </x:c>
      <x:c r="D499" t="str">
        <x:v>interest.B</x:v>
      </x:c>
      <x:c r="E499" s="47" t="n">
        <x:v>119536</x:v>
      </x:c>
      <x:c r="F499" t="str">
        <x:v>https://www.sec.gov/Archives/edgar/data/2063979/000206397926000037/a2025-2ex991071526.htm</x:v>
      </x:c>
    </x:row>
    <x:row r="500">
      <x:c r="C500" s="45" t="n">
        <x:v>46203</x:v>
      </x:c>
      <x:c r="D500" t="str">
        <x:v>interest.C</x:v>
      </x:c>
      <x:c r="E500" s="47" t="n">
        <x:v>90988</x:v>
      </x:c>
      <x:c r="F500" t="str">
        <x:v>https://www.sec.gov/Archives/edgar/data/2063979/000206397926000037/a2025-2ex991071526.htm</x:v>
      </x:c>
    </x:row>
    <x:row r="501">
      <x:c r="C501" s="45" t="n">
        <x:v>46203</x:v>
      </x:c>
      <x:c r="D501" t="str">
        <x:v>interest.D</x:v>
      </x:c>
      <x:c r="E501" s="47" t="n">
        <x:v>67492.83</x:v>
      </x:c>
      <x:c r="F501" t="str">
        <x:v>https://www.sec.gov/Archives/edgar/data/2063979/000206397926000037/a2025-2ex991071526.htm</x:v>
      </x:c>
    </x:row>
    <x:row r="502">
      <x:c r="C502" s="45" t="n">
        <x:v>46203</x:v>
      </x:c>
      <x:c r="D502" t="str">
        <x:v>principal.A1</x:v>
      </x:c>
      <x:c r="E502" s="47" t="n">
        <x:v>0</x:v>
      </x:c>
      <x:c r="F502" t="str">
        <x:v>https://www.sec.gov/Archives/edgar/data/2063979/000206397926000037/a2025-2ex991071526.htm</x:v>
      </x:c>
    </x:row>
    <x:row r="503">
      <x:c r="C503" s="45" t="n">
        <x:v>46203</x:v>
      </x:c>
      <x:c r="D503" t="str">
        <x:v>principal.A2a</x:v>
      </x:c>
      <x:c r="E503" s="47" t="n">
        <x:v>21802002.43</x:v>
      </x:c>
      <x:c r="F503" t="str">
        <x:v>https://www.sec.gov/Archives/edgar/data/2063979/000206397926000037/a2025-2ex991071526.htm</x:v>
      </x:c>
    </x:row>
    <x:row r="504">
      <x:c r="C504" s="45" t="n">
        <x:v>46203</x:v>
      </x:c>
      <x:c r="D504" t="str">
        <x:v>principal.A2b</x:v>
      </x:c>
      <x:c r="E504" s="47" t="n">
        <x:v>10060689.75</x:v>
      </x:c>
      <x:c r="F504" t="str">
        <x:v>https://www.sec.gov/Archives/edgar/data/2063979/000206397926000037/a2025-2ex991071526.htm</x:v>
      </x:c>
    </x:row>
    <x:row r="505">
      <x:c r="C505" s="45" t="n">
        <x:v>46203</x:v>
      </x:c>
      <x:c r="D505" t="str">
        <x:v>principal.A3</x:v>
      </x:c>
      <x:c r="E505" s="47" t="n">
        <x:v>0</x:v>
      </x:c>
      <x:c r="F505" t="str">
        <x:v>https://www.sec.gov/Archives/edgar/data/2063979/000206397926000037/a2025-2ex991071526.htm</x:v>
      </x:c>
    </x:row>
    <x:row r="506">
      <x:c r="C506" s="45" t="n">
        <x:v>46203</x:v>
      </x:c>
      <x:c r="D506" t="str">
        <x:v>principal.A4</x:v>
      </x:c>
      <x:c r="E506" s="47" t="n">
        <x:v>0</x:v>
      </x:c>
      <x:c r="F506" t="str">
        <x:v>https://www.sec.gov/Archives/edgar/data/2063979/000206397926000037/a2025-2ex991071526.htm</x:v>
      </x:c>
    </x:row>
    <x:row r="507">
      <x:c r="C507" s="45" t="n">
        <x:v>46203</x:v>
      </x:c>
      <x:c r="D507" t="str">
        <x:v>principal.B</x:v>
      </x:c>
      <x:c r="E507" s="47" t="n">
        <x:v>0</x:v>
      </x:c>
      <x:c r="F507" t="str">
        <x:v>https://www.sec.gov/Archives/edgar/data/2063979/000206397926000037/a2025-2ex991071526.htm</x:v>
      </x:c>
    </x:row>
    <x:row r="508">
      <x:c r="C508" s="45" t="n">
        <x:v>46203</x:v>
      </x:c>
      <x:c r="D508" t="str">
        <x:v>principal.C</x:v>
      </x:c>
      <x:c r="E508" s="47" t="n">
        <x:v>0</x:v>
      </x:c>
      <x:c r="F508" t="str">
        <x:v>https://www.sec.gov/Archives/edgar/data/2063979/000206397926000037/a2025-2ex991071526.htm</x:v>
      </x:c>
    </x:row>
    <x:row r="509">
      <x:c r="C509" s="45" t="n">
        <x:v>46203</x:v>
      </x:c>
      <x:c r="D509" t="str">
        <x:v>principal.D</x:v>
      </x:c>
      <x:c r="E509" s="47" t="n">
        <x:v>0</x:v>
      </x:c>
      <x:c r="F509" t="str">
        <x:v>https://www.sec.gov/Archives/edgar/data/2063979/000206397926000037/a2025-2ex991071526.htm</x:v>
      </x:c>
    </x:row>
    <x:row r="510">
      <x:c r="C510" s="45" t="n">
        <x:v>46203</x:v>
      </x:c>
      <x:c r="D510" t="str">
        <x:v>note_end.A1</x:v>
      </x:c>
      <x:c r="E510" s="47" t="n">
        <x:v>0</x:v>
      </x:c>
      <x:c r="F510" t="str">
        <x:v>https://www.sec.gov/Archives/edgar/data/2063979/000206397926000037/a2025-2ex991071526.htm</x:v>
      </x:c>
    </x:row>
    <x:row r="511">
      <x:c r="C511" s="45" t="n">
        <x:v>46203</x:v>
      </x:c>
      <x:c r="D511" t="str">
        <x:v>note_end.A2a</x:v>
      </x:c>
      <x:c r="E511" s="47" t="n">
        <x:v>132024744.22</x:v>
      </x:c>
      <x:c r="F511" t="str">
        <x:v>https://www.sec.gov/Archives/edgar/data/2063979/000206397926000037/a2025-2ex991071526.htm</x:v>
      </x:c>
    </x:row>
    <x:row r="512">
      <x:c r="C512" s="45" t="n">
        <x:v>46203</x:v>
      </x:c>
      <x:c r="D512" t="str">
        <x:v>note_end.A2b</x:v>
      </x:c>
      <x:c r="E512" s="47" t="n">
        <x:v>60923761.24</x:v>
      </x:c>
      <x:c r="F512" t="str">
        <x:v>https://www.sec.gov/Archives/edgar/data/2063979/000206397926000037/a2025-2ex991071526.htm</x:v>
      </x:c>
    </x:row>
    <x:row r="513">
      <x:c r="C513" s="45" t="n">
        <x:v>46203</x:v>
      </x:c>
      <x:c r="D513" t="str">
        <x:v>note_end.A3</x:v>
      </x:c>
      <x:c r="E513" s="47" t="n">
        <x:v>452100000</x:v>
      </x:c>
      <x:c r="F513" t="str">
        <x:v>https://www.sec.gov/Archives/edgar/data/2063979/000206397926000037/a2025-2ex991071526.htm</x:v>
      </x:c>
    </x:row>
    <x:row r="514">
      <x:c r="C514" s="45" t="n">
        <x:v>46203</x:v>
      </x:c>
      <x:c r="D514" t="str">
        <x:v>note_end.A4</x:v>
      </x:c>
      <x:c r="E514" s="47" t="n">
        <x:v>89000000</x:v>
      </x:c>
      <x:c r="F514" t="str">
        <x:v>https://www.sec.gov/Archives/edgar/data/2063979/000206397926000037/a2025-2ex991071526.htm</x:v>
      </x:c>
    </x:row>
    <x:row r="515">
      <x:c r="C515" s="45" t="n">
        <x:v>46203</x:v>
      </x:c>
      <x:c r="D515" t="str">
        <x:v>note_end.B</x:v>
      </x:c>
      <x:c r="E515" s="47" t="n">
        <x:v>28920000</x:v>
      </x:c>
      <x:c r="F515" t="str">
        <x:v>https://www.sec.gov/Archives/edgar/data/2063979/000206397926000037/a2025-2ex991071526.htm</x:v>
      </x:c>
    </x:row>
    <x:row r="516">
      <x:c r="C516" s="45" t="n">
        <x:v>46203</x:v>
      </x:c>
      <x:c r="D516" t="str">
        <x:v>note_end.C</x:v>
      </x:c>
      <x:c r="E516" s="47" t="n">
        <x:v>21160000</x:v>
      </x:c>
      <x:c r="F516" t="str">
        <x:v>https://www.sec.gov/Archives/edgar/data/2063979/000206397926000037/a2025-2ex991071526.htm</x:v>
      </x:c>
    </x:row>
    <x:row r="517">
      <x:c r="C517" s="45" t="n">
        <x:v>46203</x:v>
      </x:c>
      <x:c r="D517" t="str">
        <x:v>note_end.D</x:v>
      </x:c>
      <x:c r="E517" s="47" t="n">
        <x:v>14110000</x:v>
      </x:c>
      <x:c r="F517" t="str">
        <x:v>https://www.sec.gov/Archives/edgar/data/2063979/000206397926000037/a2025-2ex991071526.htm</x:v>
      </x:c>
    </x:row>
    <x:row r="518">
      <x:c r="C518" s="45" t="n">
        <x:v>46203</x:v>
      </x:c>
      <x:c r="D518" t="str">
        <x:v>priority_principal</x:v>
      </x:c>
      <x:c r="E518" s="47" t="n">
        <x:v>0</x:v>
      </x:c>
      <x:c r="F518" t="str">
        <x:v>https://www.sec.gov/Archives/edgar/data/2063979/000206397926000037/a2025-2ex991071526.htm</x:v>
      </x:c>
    </x:row>
    <x:row r="519">
      <x:c r="C519" s="45" t="n">
        <x:v>46203</x:v>
      </x:c>
      <x:c r="D519" t="str">
        <x:v>secondary_principal</x:v>
      </x:c>
      <x:c r="E519" s="47" t="n">
        <x:v>0</x:v>
      </x:c>
      <x:c r="F519" t="str">
        <x:v>https://www.sec.gov/Archives/edgar/data/2063979/000206397926000037/a2025-2ex991071526.htm</x:v>
      </x:c>
    </x:row>
    <x:row r="520">
      <x:c r="C520" s="45" t="n">
        <x:v>46203</x:v>
      </x:c>
      <x:c r="D520" t="str">
        <x:v>tertiary_principal</x:v>
      </x:c>
      <x:c r="E520" s="47" t="n">
        <x:v>7173270.44</x:v>
      </x:c>
      <x:c r="F520" t="str">
        <x:v>https://www.sec.gov/Archives/edgar/data/2063979/000206397926000037/a2025-2ex991071526.htm</x:v>
      </x:c>
    </x:row>
    <x:row r="521">
      <x:c r="C521" s="45" t="n">
        <x:v>46203</x:v>
      </x:c>
      <x:c r="D521" t="str">
        <x:v>quaternary_principal</x:v>
      </x:c>
      <x:c r="E521" s="47" t="n">
        <x:v>14110000</x:v>
      </x:c>
      <x:c r="F521" t="str">
        <x:v>https://www.sec.gov/Archives/edgar/data/2063979/000206397926000037/a2025-2ex991071526.htm</x:v>
      </x:c>
    </x:row>
    <x:row r="522">
      <x:c r="C522" s="45" t="n">
        <x:v>46203</x:v>
      </x:c>
      <x:c r="D522" t="str">
        <x:v>regular_principal</x:v>
      </x:c>
      <x:c r="E522" s="47" t="n">
        <x:v>10579421.74</x:v>
      </x:c>
      <x:c r="F522" t="str">
        <x:v>https://www.sec.gov/Archives/edgar/data/2063979/000206397926000037/a2025-2ex991071526.htm</x:v>
      </x:c>
    </x:row>
    <x:row r="523">
      <x:c r="C523" s="45" t="n">
        <x:v>46203</x:v>
      </x:c>
      <x:c r="D523" t="str">
        <x:v>oc_target</x:v>
      </x:c>
      <x:c r="E523" s="47" t="n">
        <x:v>10579421.74</x:v>
      </x:c>
      <x:c r="F523" t="str">
        <x:v>https://www.sec.gov/Archives/edgar/data/2063979/000206397926000037/a2025-2ex991071526.htm</x:v>
      </x:c>
    </x:row>
    <x:row r="524">
      <x:c r="C524" s="45" t="n">
        <x:v>46234</x:v>
      </x:c>
      <x:c r="D524" t="str">
        <x:v>servicing_fee</x:v>
      </x:c>
      <x:c r="E524" s="47" t="n">
        <x:v>674014.94</x:v>
      </x:c>
      <x:c r="F524" t="str">
        <x:v>https://www.sec.gov/Archives/edgar/data/2063979/000206397926000042/a2025-2ex991081726.htm</x:v>
      </x:c>
    </x:row>
    <x:row r="525">
      <x:c r="C525" s="45" t="n">
        <x:v>46234</x:v>
      </x:c>
      <x:c r="D525" t="str">
        <x:v>total_note_interest</x:v>
      </x:c>
      <x:c r="E525" s="47" t="n">
        <x:v>3056727.12</x:v>
      </x:c>
      <x:c r="F525" t="str">
        <x:v>https://www.sec.gov/Archives/edgar/data/2063979/000206397926000042/a2025-2ex991081726.htm</x:v>
      </x:c>
    </x:row>
    <x:row r="526">
      <x:c r="C526" s="45" t="n">
        <x:v>46234</x:v>
      </x:c>
      <x:c r="D526" t="str">
        <x:v>total_note_principal</x:v>
      </x:c>
      <x:c r="E526" s="47" t="n">
        <x:v>33035686.87</x:v>
      </x:c>
      <x:c r="F526" t="str">
        <x:v>https://www.sec.gov/Archives/edgar/data/2063979/000206397926000042/a2025-2ex991081726.htm</x:v>
      </x:c>
    </x:row>
    <x:row r="527">
      <x:c r="C527" s="45" t="n">
        <x:v>46234</x:v>
      </x:c>
      <x:c r="D527" t="str">
        <x:v>residual_distribution</x:v>
      </x:c>
      <x:c r="E527" s="47" t="n">
        <x:v>2385247.89</x:v>
      </x:c>
      <x:c r="F527" t="str">
        <x:v>https://www.sec.gov/Archives/edgar/data/2063979/000206397926000042/a2025-2ex991081726.htm</x:v>
      </x:c>
    </x:row>
    <x:row r="528">
      <x:c r="C528" s="45" t="n">
        <x:v>46234</x:v>
      </x:c>
      <x:c r="D528" t="str">
        <x:v>reserve_deposit</x:v>
      </x:c>
      <x:c r="E528" s="47" t="n">
        <x:v>0</x:v>
      </x:c>
      <x:c r="F528" t="str">
        <x:v>https://www.sec.gov/Archives/edgar/data/2063979/000206397926000042/a2025-2ex991081726.htm</x:v>
      </x:c>
    </x:row>
    <x:row r="529">
      <x:c r="C529" s="45" t="n">
        <x:v>46234</x:v>
      </x:c>
      <x:c r="D529" t="str">
        <x:v>reserve_end</x:v>
      </x:c>
      <x:c r="E529" s="47" t="n">
        <x:v>3526448.55</x:v>
      </x:c>
      <x:c r="F529" t="str">
        <x:v>https://www.sec.gov/Archives/edgar/data/2063979/000206397926000042/a2025-2ex991081726.htm</x:v>
      </x:c>
    </x:row>
    <x:row r="530">
      <x:c r="C530" s="45" t="n">
        <x:v>46234</x:v>
      </x:c>
      <x:c r="D530" t="str">
        <x:v>reserve_release</x:v>
      </x:c>
      <x:c r="E530" s="47" t="n">
        <x:v>10653.2</x:v>
      </x:c>
      <x:c r="F530" t="str">
        <x:v>https://www.sec.gov/Archives/edgar/data/2063979/000206397926000042/a2025-2ex991081726.htm</x:v>
      </x:c>
    </x:row>
    <x:row r="531">
      <x:c r="C531" s="45" t="n">
        <x:v>46234</x:v>
      </x:c>
      <x:c r="D531" t="str">
        <x:v>interest.A1</x:v>
      </x:c>
      <x:c r="E531" s="47" t="n">
        <x:v>0</x:v>
      </x:c>
      <x:c r="F531" t="str">
        <x:v>https://www.sec.gov/Archives/edgar/data/2063979/000206397926000042/a2025-2ex991081726.htm</x:v>
      </x:c>
    </x:row>
    <x:row r="532">
      <x:c r="C532" s="45" t="n">
        <x:v>46234</x:v>
      </x:c>
      <x:c r="D532" t="str">
        <x:v>interest.A2a</x:v>
      </x:c>
      <x:c r="E532" s="47" t="n">
        <x:v>504994.65</x:v>
      </x:c>
      <x:c r="F532" t="str">
        <x:v>https://www.sec.gov/Archives/edgar/data/2063979/000206397926000042/a2025-2ex991081726.htm</x:v>
      </x:c>
    </x:row>
    <x:row r="533">
      <x:c r="C533" s="45" t="n">
        <x:v>46234</x:v>
      </x:c>
      <x:c r="D533" t="str">
        <x:v>interest.A2b</x:v>
      </x:c>
      <x:c r="E533" s="47" t="n">
        <x:v>241000.64</x:v>
      </x:c>
      <x:c r="F533" t="str">
        <x:v>https://www.sec.gov/Archives/edgar/data/2063979/000206397926000042/a2025-2ex991081726.htm</x:v>
      </x:c>
    </x:row>
    <x:row r="534">
      <x:c r="C534" s="45" t="n">
        <x:v>46234</x:v>
      </x:c>
      <x:c r="D534" t="str">
        <x:v>interest.A3</x:v>
      </x:c>
      <x:c r="E534" s="47" t="n">
        <x:v>1687840</x:v>
      </x:c>
      <x:c r="F534" t="str">
        <x:v>https://www.sec.gov/Archives/edgar/data/2063979/000206397926000042/a2025-2ex991081726.htm</x:v>
      </x:c>
    </x:row>
    <x:row r="535">
      <x:c r="C535" s="45" t="n">
        <x:v>46234</x:v>
      </x:c>
      <x:c r="D535" t="str">
        <x:v>interest.A4</x:v>
      </x:c>
      <x:c r="E535" s="47" t="n">
        <x:v>344875</x:v>
      </x:c>
      <x:c r="F535" t="str">
        <x:v>https://www.sec.gov/Archives/edgar/data/2063979/000206397926000042/a2025-2ex991081726.htm</x:v>
      </x:c>
    </x:row>
    <x:row r="536">
      <x:c r="C536" s="45" t="n">
        <x:v>46234</x:v>
      </x:c>
      <x:c r="D536" t="str">
        <x:v>interest.B</x:v>
      </x:c>
      <x:c r="E536" s="47" t="n">
        <x:v>119536</x:v>
      </x:c>
      <x:c r="F536" t="str">
        <x:v>https://www.sec.gov/Archives/edgar/data/2063979/000206397926000042/a2025-2ex991081726.htm</x:v>
      </x:c>
    </x:row>
    <x:row r="537">
      <x:c r="C537" s="45" t="n">
        <x:v>46234</x:v>
      </x:c>
      <x:c r="D537" t="str">
        <x:v>interest.C</x:v>
      </x:c>
      <x:c r="E537" s="47" t="n">
        <x:v>90988</x:v>
      </x:c>
      <x:c r="F537" t="str">
        <x:v>https://www.sec.gov/Archives/edgar/data/2063979/000206397926000042/a2025-2ex991081726.htm</x:v>
      </x:c>
    </x:row>
    <x:row r="538">
      <x:c r="C538" s="45" t="n">
        <x:v>46234</x:v>
      </x:c>
      <x:c r="D538" t="str">
        <x:v>interest.D</x:v>
      </x:c>
      <x:c r="E538" s="47" t="n">
        <x:v>67492.83</x:v>
      </x:c>
      <x:c r="F538" t="str">
        <x:v>https://www.sec.gov/Archives/edgar/data/2063979/000206397926000042/a2025-2ex991081726.htm</x:v>
      </x:c>
    </x:row>
    <x:row r="539">
      <x:c r="C539" s="45" t="n">
        <x:v>46234</x:v>
      </x:c>
      <x:c r="D539" t="str">
        <x:v>principal.A1</x:v>
      </x:c>
      <x:c r="E539" s="47" t="n">
        <x:v>0</x:v>
      </x:c>
      <x:c r="F539" t="str">
        <x:v>https://www.sec.gov/Archives/edgar/data/2063979/000206397926000042/a2025-2ex991081726.htm</x:v>
      </x:c>
    </x:row>
    <x:row r="540">
      <x:c r="C540" s="45" t="n">
        <x:v>46234</x:v>
      </x:c>
      <x:c r="D540" t="str">
        <x:v>principal.A2a</x:v>
      </x:c>
      <x:c r="E540" s="47" t="n">
        <x:v>22604622.4</x:v>
      </x:c>
      <x:c r="F540" t="str">
        <x:v>https://www.sec.gov/Archives/edgar/data/2063979/000206397926000042/a2025-2ex991081726.htm</x:v>
      </x:c>
    </x:row>
    <x:row r="541">
      <x:c r="C541" s="45" t="n">
        <x:v>46234</x:v>
      </x:c>
      <x:c r="D541" t="str">
        <x:v>principal.A2b</x:v>
      </x:c>
      <x:c r="E541" s="47" t="n">
        <x:v>10431064.47</x:v>
      </x:c>
      <x:c r="F541" t="str">
        <x:v>https://www.sec.gov/Archives/edgar/data/2063979/000206397926000042/a2025-2ex991081726.htm</x:v>
      </x:c>
    </x:row>
    <x:row r="542">
      <x:c r="C542" s="45" t="n">
        <x:v>46234</x:v>
      </x:c>
      <x:c r="D542" t="str">
        <x:v>principal.A3</x:v>
      </x:c>
      <x:c r="E542" s="47" t="n">
        <x:v>0</x:v>
      </x:c>
      <x:c r="F542" t="str">
        <x:v>https://www.sec.gov/Archives/edgar/data/2063979/000206397926000042/a2025-2ex991081726.htm</x:v>
      </x:c>
    </x:row>
    <x:row r="543">
      <x:c r="C543" s="45" t="n">
        <x:v>46234</x:v>
      </x:c>
      <x:c r="D543" t="str">
        <x:v>principal.A4</x:v>
      </x:c>
      <x:c r="E543" s="47" t="n">
        <x:v>0</x:v>
      </x:c>
      <x:c r="F543" t="str">
        <x:v>https://www.sec.gov/Archives/edgar/data/2063979/000206397926000042/a2025-2ex991081726.htm</x:v>
      </x:c>
    </x:row>
    <x:row r="544">
      <x:c r="C544" s="45" t="n">
        <x:v>46234</x:v>
      </x:c>
      <x:c r="D544" t="str">
        <x:v>principal.B</x:v>
      </x:c>
      <x:c r="E544" s="47" t="n">
        <x:v>0</x:v>
      </x:c>
      <x:c r="F544" t="str">
        <x:v>https://www.sec.gov/Archives/edgar/data/2063979/000206397926000042/a2025-2ex991081726.htm</x:v>
      </x:c>
    </x:row>
    <x:row r="545">
      <x:c r="C545" s="45" t="n">
        <x:v>46234</x:v>
      </x:c>
      <x:c r="D545" t="str">
        <x:v>principal.C</x:v>
      </x:c>
      <x:c r="E545" s="47" t="n">
        <x:v>0</x:v>
      </x:c>
      <x:c r="F545" t="str">
        <x:v>https://www.sec.gov/Archives/edgar/data/2063979/000206397926000042/a2025-2ex991081726.htm</x:v>
      </x:c>
    </x:row>
    <x:row r="546">
      <x:c r="C546" s="45" t="n">
        <x:v>46234</x:v>
      </x:c>
      <x:c r="D546" t="str">
        <x:v>principal.D</x:v>
      </x:c>
      <x:c r="E546" s="47" t="n">
        <x:v>0</x:v>
      </x:c>
      <x:c r="F546" t="str">
        <x:v>https://www.sec.gov/Archives/edgar/data/2063979/000206397926000042/a2025-2ex991081726.htm</x:v>
      </x:c>
    </x:row>
    <x:row r="547">
      <x:c r="C547" s="45" t="n">
        <x:v>46234</x:v>
      </x:c>
      <x:c r="D547" t="str">
        <x:v>note_end.A1</x:v>
      </x:c>
      <x:c r="E547" s="47" t="n">
        <x:v>0</x:v>
      </x:c>
      <x:c r="F547" t="str">
        <x:v>https://www.sec.gov/Archives/edgar/data/2063979/000206397926000042/a2025-2ex991081726.htm</x:v>
      </x:c>
    </x:row>
    <x:row r="548">
      <x:c r="C548" s="45" t="n">
        <x:v>46234</x:v>
      </x:c>
      <x:c r="D548" t="str">
        <x:v>note_end.A2a</x:v>
      </x:c>
      <x:c r="E548" s="47" t="n">
        <x:v>109420121.82</x:v>
      </x:c>
      <x:c r="F548" t="str">
        <x:v>https://www.sec.gov/Archives/edgar/data/2063979/000206397926000042/a2025-2ex991081726.htm</x:v>
      </x:c>
    </x:row>
    <x:row r="549">
      <x:c r="C549" s="45" t="n">
        <x:v>46234</x:v>
      </x:c>
      <x:c r="D549" t="str">
        <x:v>note_end.A2b</x:v>
      </x:c>
      <x:c r="E549" s="47" t="n">
        <x:v>50492696.77</x:v>
      </x:c>
      <x:c r="F549" t="str">
        <x:v>https://www.sec.gov/Archives/edgar/data/2063979/000206397926000042/a2025-2ex991081726.htm</x:v>
      </x:c>
    </x:row>
    <x:row r="550">
      <x:c r="C550" s="45" t="n">
        <x:v>46234</x:v>
      </x:c>
      <x:c r="D550" t="str">
        <x:v>note_end.A3</x:v>
      </x:c>
      <x:c r="E550" s="47" t="n">
        <x:v>452100000</x:v>
      </x:c>
      <x:c r="F550" t="str">
        <x:v>https://www.sec.gov/Archives/edgar/data/2063979/000206397926000042/a2025-2ex991081726.htm</x:v>
      </x:c>
    </x:row>
    <x:row r="551">
      <x:c r="C551" s="45" t="n">
        <x:v>46234</x:v>
      </x:c>
      <x:c r="D551" t="str">
        <x:v>note_end.A4</x:v>
      </x:c>
      <x:c r="E551" s="47" t="n">
        <x:v>89000000</x:v>
      </x:c>
      <x:c r="F551" t="str">
        <x:v>https://www.sec.gov/Archives/edgar/data/2063979/000206397926000042/a2025-2ex991081726.htm</x:v>
      </x:c>
    </x:row>
    <x:row r="552">
      <x:c r="C552" s="45" t="n">
        <x:v>46234</x:v>
      </x:c>
      <x:c r="D552" t="str">
        <x:v>note_end.B</x:v>
      </x:c>
      <x:c r="E552" s="47" t="n">
        <x:v>28920000</x:v>
      </x:c>
      <x:c r="F552" t="str">
        <x:v>https://www.sec.gov/Archives/edgar/data/2063979/000206397926000042/a2025-2ex991081726.htm</x:v>
      </x:c>
    </x:row>
    <x:row r="553">
      <x:c r="C553" s="45" t="n">
        <x:v>46234</x:v>
      </x:c>
      <x:c r="D553" t="str">
        <x:v>note_end.C</x:v>
      </x:c>
      <x:c r="E553" s="47" t="n">
        <x:v>21160000</x:v>
      </x:c>
      <x:c r="F553" t="str">
        <x:v>https://www.sec.gov/Archives/edgar/data/2063979/000206397926000042/a2025-2ex991081726.htm</x:v>
      </x:c>
    </x:row>
    <x:row r="554">
      <x:c r="C554" s="45" t="n">
        <x:v>46234</x:v>
      </x:c>
      <x:c r="D554" t="str">
        <x:v>note_end.D</x:v>
      </x:c>
      <x:c r="E554" s="47" t="n">
        <x:v>14110000</x:v>
      </x:c>
      <x:c r="F554" t="str">
        <x:v>https://www.sec.gov/Archives/edgar/data/2063979/000206397926000042/a2025-2ex991081726.htm</x:v>
      </x:c>
    </x:row>
    <x:row r="555">
      <x:c r="C555" s="45" t="n">
        <x:v>46234</x:v>
      </x:c>
      <x:c r="D555" t="str">
        <x:v>priority_principal</x:v>
      </x:c>
      <x:c r="E555" s="47" t="n">
        <x:v>0</x:v>
      </x:c>
      <x:c r="F555" t="str">
        <x:v>https://www.sec.gov/Archives/edgar/data/2063979/000206397926000042/a2025-2ex991081726.htm</x:v>
      </x:c>
    </x:row>
    <x:row r="556">
      <x:c r="C556" s="45" t="n">
        <x:v>46234</x:v>
      </x:c>
      <x:c r="D556" t="str">
        <x:v>secondary_principal</x:v>
      </x:c>
      <x:c r="E556" s="47" t="n">
        <x:v>0</x:v>
      </x:c>
      <x:c r="F556" t="str">
        <x:v>https://www.sec.gov/Archives/edgar/data/2063979/000206397926000042/a2025-2ex991081726.htm</x:v>
      </x:c>
    </x:row>
    <x:row r="557">
      <x:c r="C557" s="45" t="n">
        <x:v>46234</x:v>
      </x:c>
      <x:c r="D557" t="str">
        <x:v>tertiary_principal</x:v>
      </x:c>
      <x:c r="E557" s="47" t="n">
        <x:v>8346265.13</x:v>
      </x:c>
      <x:c r="F557" t="str">
        <x:v>https://www.sec.gov/Archives/edgar/data/2063979/000206397926000042/a2025-2ex991081726.htm</x:v>
      </x:c>
    </x:row>
    <x:row r="558">
      <x:c r="C558" s="45" t="n">
        <x:v>46234</x:v>
      </x:c>
      <x:c r="D558" t="str">
        <x:v>quaternary_principal</x:v>
      </x:c>
      <x:c r="E558" s="47" t="n">
        <x:v>14110000</x:v>
      </x:c>
      <x:c r="F558" t="str">
        <x:v>https://www.sec.gov/Archives/edgar/data/2063979/000206397926000042/a2025-2ex991081726.htm</x:v>
      </x:c>
    </x:row>
    <x:row r="559">
      <x:c r="C559" s="45" t="n">
        <x:v>46234</x:v>
      </x:c>
      <x:c r="D559" t="str">
        <x:v>regular_principal</x:v>
      </x:c>
      <x:c r="E559" s="47" t="n">
        <x:v>10579421.74</x:v>
      </x:c>
      <x:c r="F559" t="str">
        <x:v>https://www.sec.gov/Archives/edgar/data/2063979/000206397926000042/a2025-2ex991081726.htm</x:v>
      </x:c>
    </x:row>
    <x:row r="560">
      <x:c r="C560" s="45" t="n">
        <x:v>46234</x:v>
      </x:c>
      <x:c r="D560" t="str">
        <x:v>oc_target</x:v>
      </x:c>
      <x:c r="E560" s="47" t="n">
        <x:v>10579421.74</x:v>
      </x:c>
      <x:c r="F560" t="str">
        <x:v>https://www.sec.gov/Archives/edgar/data/2063979/000206397926000042/a2025-2ex991081726.htm</x:v>
      </x:c>
    </x:row>
    <x:row r="561">
      <x:c r="C561" s="45" t="n">
        <x:v>46265</x:v>
      </x:c>
      <x:c r="D561" t="str">
        <x:v>servicing_fee</x:v>
      </x:c>
      <x:c r="E561" s="47" t="n">
        <x:v>646485.2</x:v>
      </x:c>
      <x:c r="F561" t="str">
        <x:v>https://www.sec.gov/Archives/edgar/data/2063979/000206397926000047/a2025-2ex991091526.htm</x:v>
      </x:c>
    </x:row>
    <x:row r="562">
      <x:c r="C562" s="45" t="n">
        <x:v>46265</x:v>
      </x:c>
      <x:c r="D562" t="str">
        <x:v>total_note_interest</x:v>
      </x:c>
      <x:c r="E562" s="47" t="n">
        <x:v>2905242.77</x:v>
      </x:c>
      <x:c r="F562" t="str">
        <x:v>https://www.sec.gov/Archives/edgar/data/2063979/000206397926000047/a2025-2ex991091526.htm</x:v>
      </x:c>
    </x:row>
    <x:row r="563">
      <x:c r="C563" s="45" t="n">
        <x:v>46265</x:v>
      </x:c>
      <x:c r="D563" t="str">
        <x:v>total_note_principal</x:v>
      </x:c>
      <x:c r="E563" s="47" t="n">
        <x:v>30811476.17</x:v>
      </x:c>
      <x:c r="F563" t="str">
        <x:v>https://www.sec.gov/Archives/edgar/data/2063979/000206397926000047/a2025-2ex991091526.htm</x:v>
      </x:c>
    </x:row>
    <x:row r="564">
      <x:c r="C564" s="45" t="n">
        <x:v>46265</x:v>
      </x:c>
      <x:c r="D564" t="str">
        <x:v>residual_distribution</x:v>
      </x:c>
      <x:c r="E564" s="47" t="n">
        <x:v>1756295.94</x:v>
      </x:c>
      <x:c r="F564" t="str">
        <x:v>https://www.sec.gov/Archives/edgar/data/2063979/000206397926000047/a2025-2ex991091526.htm</x:v>
      </x:c>
    </x:row>
    <x:row r="565">
      <x:c r="C565" s="45" t="n">
        <x:v>46265</x:v>
      </x:c>
      <x:c r="D565" t="str">
        <x:v>reserve_deposit</x:v>
      </x:c>
      <x:c r="E565" s="47" t="n">
        <x:v>0</x:v>
      </x:c>
      <x:c r="F565" t="str">
        <x:v>https://www.sec.gov/Archives/edgar/data/2063979/000206397926000047/a2025-2ex991091526.htm</x:v>
      </x:c>
    </x:row>
    <x:row r="566">
      <x:c r="C566" s="45" t="n">
        <x:v>46265</x:v>
      </x:c>
      <x:c r="D566" t="str">
        <x:v>reserve_end</x:v>
      </x:c>
      <x:c r="E566" s="47" t="n">
        <x:v>3526448.55</x:v>
      </x:c>
      <x:c r="F566" t="str">
        <x:v>https://www.sec.gov/Archives/edgar/data/2063979/000206397926000047/a2025-2ex991091526.htm</x:v>
      </x:c>
    </x:row>
    <x:row r="567">
      <x:c r="C567" s="45" t="n">
        <x:v>46265</x:v>
      </x:c>
      <x:c r="D567" t="str">
        <x:v>reserve_release</x:v>
      </x:c>
      <x:c r="E567" s="47" t="n">
        <x:v>10722.61</x:v>
      </x:c>
      <x:c r="F567" t="str">
        <x:v>https://www.sec.gov/Archives/edgar/data/2063979/000206397926000047/a2025-2ex991091526.htm</x:v>
      </x:c>
    </x:row>
    <x:row r="568">
      <x:c r="C568" s="45" t="n">
        <x:v>46265</x:v>
      </x:c>
      <x:c r="D568" t="str">
        <x:v>interest.A1</x:v>
      </x:c>
      <x:c r="E568" s="47" t="n">
        <x:v>0</x:v>
      </x:c>
      <x:c r="F568" t="str">
        <x:v>https://www.sec.gov/Archives/edgar/data/2063979/000206397926000047/a2025-2ex991091526.htm</x:v>
      </x:c>
    </x:row>
    <x:row r="569">
      <x:c r="C569" s="45" t="n">
        <x:v>46265</x:v>
      </x:c>
      <x:c r="D569" t="str">
        <x:v>interest.A2a</x:v>
      </x:c>
      <x:c r="E569" s="47" t="n">
        <x:v>418531.97</x:v>
      </x:c>
      <x:c r="F569" t="str">
        <x:v>https://www.sec.gov/Archives/edgar/data/2063979/000206397926000047/a2025-2ex991091526.htm</x:v>
      </x:c>
    </x:row>
    <x:row r="570">
      <x:c r="C570" s="45" t="n">
        <x:v>46265</x:v>
      </x:c>
      <x:c r="D570" t="str">
        <x:v>interest.A2b</x:v>
      </x:c>
      <x:c r="E570" s="47" t="n">
        <x:v>175978.97</x:v>
      </x:c>
      <x:c r="F570" t="str">
        <x:v>https://www.sec.gov/Archives/edgar/data/2063979/000206397926000047/a2025-2ex991091526.htm</x:v>
      </x:c>
    </x:row>
    <x:row r="571">
      <x:c r="C571" s="45" t="n">
        <x:v>46265</x:v>
      </x:c>
      <x:c r="D571" t="str">
        <x:v>interest.A3</x:v>
      </x:c>
      <x:c r="E571" s="47" t="n">
        <x:v>1687840</x:v>
      </x:c>
      <x:c r="F571" t="str">
        <x:v>https://www.sec.gov/Archives/edgar/data/2063979/000206397926000047/a2025-2ex991091526.htm</x:v>
      </x:c>
    </x:row>
    <x:row r="572">
      <x:c r="C572" s="45" t="n">
        <x:v>46265</x:v>
      </x:c>
      <x:c r="D572" t="str">
        <x:v>interest.A4</x:v>
      </x:c>
      <x:c r="E572" s="47" t="n">
        <x:v>344875</x:v>
      </x:c>
      <x:c r="F572" t="str">
        <x:v>https://www.sec.gov/Archives/edgar/data/2063979/000206397926000047/a2025-2ex991091526.htm</x:v>
      </x:c>
    </x:row>
    <x:row r="573">
      <x:c r="C573" s="45" t="n">
        <x:v>46265</x:v>
      </x:c>
      <x:c r="D573" t="str">
        <x:v>interest.B</x:v>
      </x:c>
      <x:c r="E573" s="47" t="n">
        <x:v>119536</x:v>
      </x:c>
      <x:c r="F573" t="str">
        <x:v>https://www.sec.gov/Archives/edgar/data/2063979/000206397926000047/a2025-2ex991091526.htm</x:v>
      </x:c>
    </x:row>
    <x:row r="574">
      <x:c r="C574" s="45" t="n">
        <x:v>46265</x:v>
      </x:c>
      <x:c r="D574" t="str">
        <x:v>interest.C</x:v>
      </x:c>
      <x:c r="E574" s="47" t="n">
        <x:v>90988</x:v>
      </x:c>
      <x:c r="F574" t="str">
        <x:v>https://www.sec.gov/Archives/edgar/data/2063979/000206397926000047/a2025-2ex991091526.htm</x:v>
      </x:c>
    </x:row>
    <x:row r="575">
      <x:c r="C575" s="45" t="n">
        <x:v>46265</x:v>
      </x:c>
      <x:c r="D575" t="str">
        <x:v>interest.D</x:v>
      </x:c>
      <x:c r="E575" s="47" t="n">
        <x:v>67492.83</x:v>
      </x:c>
      <x:c r="F575" t="str">
        <x:v>https://www.sec.gov/Archives/edgar/data/2063979/000206397926000047/a2025-2ex991091526.htm</x:v>
      </x:c>
    </x:row>
    <x:row r="576">
      <x:c r="C576" s="45" t="n">
        <x:v>46265</x:v>
      </x:c>
      <x:c r="D576" t="str">
        <x:v>principal.A1</x:v>
      </x:c>
      <x:c r="E576" s="47" t="n">
        <x:v>0</x:v>
      </x:c>
      <x:c r="F576" t="str">
        <x:v>https://www.sec.gov/Archives/edgar/data/2063979/000206397926000047/a2025-2ex991091526.htm</x:v>
      </x:c>
    </x:row>
    <x:row r="577">
      <x:c r="C577" s="45" t="n">
        <x:v>46265</x:v>
      </x:c>
      <x:c r="D577" t="str">
        <x:v>principal.A2a</x:v>
      </x:c>
      <x:c r="E577" s="47" t="n">
        <x:v>21082709.35</x:v>
      </x:c>
      <x:c r="F577" t="str">
        <x:v>https://www.sec.gov/Archives/edgar/data/2063979/000206397926000047/a2025-2ex991091526.htm</x:v>
      </x:c>
    </x:row>
    <x:row r="578">
      <x:c r="C578" s="45" t="n">
        <x:v>46265</x:v>
      </x:c>
      <x:c r="D578" t="str">
        <x:v>principal.A2b</x:v>
      </x:c>
      <x:c r="E578" s="47" t="n">
        <x:v>9728766.82</x:v>
      </x:c>
      <x:c r="F578" t="str">
        <x:v>https://www.sec.gov/Archives/edgar/data/2063979/000206397926000047/a2025-2ex991091526.htm</x:v>
      </x:c>
    </x:row>
    <x:row r="579">
      <x:c r="C579" s="45" t="n">
        <x:v>46265</x:v>
      </x:c>
      <x:c r="D579" t="str">
        <x:v>principal.A3</x:v>
      </x:c>
      <x:c r="E579" s="47" t="n">
        <x:v>0</x:v>
      </x:c>
      <x:c r="F579" t="str">
        <x:v>https://www.sec.gov/Archives/edgar/data/2063979/000206397926000047/a2025-2ex991091526.htm</x:v>
      </x:c>
    </x:row>
    <x:row r="580">
      <x:c r="C580" s="45" t="n">
        <x:v>46265</x:v>
      </x:c>
      <x:c r="D580" t="str">
        <x:v>principal.A4</x:v>
      </x:c>
      <x:c r="E580" s="47" t="n">
        <x:v>0</x:v>
      </x:c>
      <x:c r="F580" t="str">
        <x:v>https://www.sec.gov/Archives/edgar/data/2063979/000206397926000047/a2025-2ex991091526.htm</x:v>
      </x:c>
    </x:row>
    <x:row r="581">
      <x:c r="C581" s="45" t="n">
        <x:v>46265</x:v>
      </x:c>
      <x:c r="D581" t="str">
        <x:v>principal.B</x:v>
      </x:c>
      <x:c r="E581" s="47" t="n">
        <x:v>0</x:v>
      </x:c>
      <x:c r="F581" t="str">
        <x:v>https://www.sec.gov/Archives/edgar/data/2063979/000206397926000047/a2025-2ex991091526.htm</x:v>
      </x:c>
    </x:row>
    <x:row r="582">
      <x:c r="C582" s="45" t="n">
        <x:v>46265</x:v>
      </x:c>
      <x:c r="D582" t="str">
        <x:v>principal.C</x:v>
      </x:c>
      <x:c r="E582" s="47" t="n">
        <x:v>0</x:v>
      </x:c>
      <x:c r="F582" t="str">
        <x:v>https://www.sec.gov/Archives/edgar/data/2063979/000206397926000047/a2025-2ex991091526.htm</x:v>
      </x:c>
    </x:row>
    <x:row r="583">
      <x:c r="C583" s="45" t="n">
        <x:v>46265</x:v>
      </x:c>
      <x:c r="D583" t="str">
        <x:v>principal.D</x:v>
      </x:c>
      <x:c r="E583" s="47" t="n">
        <x:v>0</x:v>
      </x:c>
      <x:c r="F583" t="str">
        <x:v>https://www.sec.gov/Archives/edgar/data/2063979/000206397926000047/a2025-2ex991091526.htm</x:v>
      </x:c>
    </x:row>
    <x:row r="584">
      <x:c r="C584" s="45" t="n">
        <x:v>46265</x:v>
      </x:c>
      <x:c r="D584" t="str">
        <x:v>note_end.A1</x:v>
      </x:c>
      <x:c r="E584" s="47" t="n">
        <x:v>0</x:v>
      </x:c>
      <x:c r="F584" t="str">
        <x:v>https://www.sec.gov/Archives/edgar/data/2063979/000206397926000047/a2025-2ex991091526.htm</x:v>
      </x:c>
    </x:row>
    <x:row r="585">
      <x:c r="C585" s="45" t="n">
        <x:v>46265</x:v>
      </x:c>
      <x:c r="D585" t="str">
        <x:v>note_end.A2a</x:v>
      </x:c>
      <x:c r="E585" s="47" t="n">
        <x:v>88337412.47</x:v>
      </x:c>
      <x:c r="F585" t="str">
        <x:v>https://www.sec.gov/Archives/edgar/data/2063979/000206397926000047/a2025-2ex991091526.htm</x:v>
      </x:c>
    </x:row>
    <x:row r="586">
      <x:c r="C586" s="45" t="n">
        <x:v>46265</x:v>
      </x:c>
      <x:c r="D586" t="str">
        <x:v>note_end.A2b</x:v>
      </x:c>
      <x:c r="E586" s="47" t="n">
        <x:v>40763929.95</x:v>
      </x:c>
      <x:c r="F586" t="str">
        <x:v>https://www.sec.gov/Archives/edgar/data/2063979/000206397926000047/a2025-2ex991091526.htm</x:v>
      </x:c>
    </x:row>
    <x:row r="587">
      <x:c r="C587" s="45" t="n">
        <x:v>46265</x:v>
      </x:c>
      <x:c r="D587" t="str">
        <x:v>note_end.A3</x:v>
      </x:c>
      <x:c r="E587" s="47" t="n">
        <x:v>452100000</x:v>
      </x:c>
      <x:c r="F587" t="str">
        <x:v>https://www.sec.gov/Archives/edgar/data/2063979/000206397926000047/a2025-2ex991091526.htm</x:v>
      </x:c>
    </x:row>
    <x:row r="588">
      <x:c r="C588" s="45" t="n">
        <x:v>46265</x:v>
      </x:c>
      <x:c r="D588" t="str">
        <x:v>note_end.A4</x:v>
      </x:c>
      <x:c r="E588" s="47" t="n">
        <x:v>89000000</x:v>
      </x:c>
      <x:c r="F588" t="str">
        <x:v>https://www.sec.gov/Archives/edgar/data/2063979/000206397926000047/a2025-2ex991091526.htm</x:v>
      </x:c>
    </x:row>
    <x:row r="589">
      <x:c r="C589" s="45" t="n">
        <x:v>46265</x:v>
      </x:c>
      <x:c r="D589" t="str">
        <x:v>note_end.B</x:v>
      </x:c>
      <x:c r="E589" s="47" t="n">
        <x:v>28920000</x:v>
      </x:c>
      <x:c r="F589" t="str">
        <x:v>https://www.sec.gov/Archives/edgar/data/2063979/000206397926000047/a2025-2ex991091526.htm</x:v>
      </x:c>
    </x:row>
    <x:row r="590">
      <x:c r="C590" s="45" t="n">
        <x:v>46265</x:v>
      </x:c>
      <x:c r="D590" t="str">
        <x:v>note_end.C</x:v>
      </x:c>
      <x:c r="E590" s="47" t="n">
        <x:v>21160000</x:v>
      </x:c>
      <x:c r="F590" t="str">
        <x:v>https://www.sec.gov/Archives/edgar/data/2063979/000206397926000047/a2025-2ex991091526.htm</x:v>
      </x:c>
    </x:row>
    <x:row r="591">
      <x:c r="C591" s="45" t="n">
        <x:v>46265</x:v>
      </x:c>
      <x:c r="D591" t="str">
        <x:v>note_end.D</x:v>
      </x:c>
      <x:c r="E591" s="47" t="n">
        <x:v>14110000</x:v>
      </x:c>
      <x:c r="F591" t="str">
        <x:v>https://www.sec.gov/Archives/edgar/data/2063979/000206397926000047/a2025-2ex991091526.htm</x:v>
      </x:c>
    </x:row>
    <x:row r="592">
      <x:c r="C592" s="45" t="n">
        <x:v>46265</x:v>
      </x:c>
      <x:c r="D592" t="str">
        <x:v>priority_principal</x:v>
      </x:c>
      <x:c r="E592" s="47" t="n">
        <x:v>0</x:v>
      </x:c>
      <x:c r="F592" t="str">
        <x:v>https://www.sec.gov/Archives/edgar/data/2063979/000206397926000047/a2025-2ex991091526.htm</x:v>
      </x:c>
    </x:row>
    <x:row r="593">
      <x:c r="C593" s="45" t="n">
        <x:v>46265</x:v>
      </x:c>
      <x:c r="D593" t="str">
        <x:v>secondary_principal</x:v>
      </x:c>
      <x:c r="E593" s="47" t="n">
        <x:v>0</x:v>
      </x:c>
      <x:c r="F593" t="str">
        <x:v>https://www.sec.gov/Archives/edgar/data/2063979/000206397926000047/a2025-2ex991091526.htm</x:v>
      </x:c>
    </x:row>
    <x:row r="594">
      <x:c r="C594" s="45" t="n">
        <x:v>46265</x:v>
      </x:c>
      <x:c r="D594" t="str">
        <x:v>tertiary_principal</x:v>
      </x:c>
      <x:c r="E594" s="47" t="n">
        <x:v>6122054.43</x:v>
      </x:c>
      <x:c r="F594" t="str">
        <x:v>https://www.sec.gov/Archives/edgar/data/2063979/000206397926000047/a2025-2ex991091526.htm</x:v>
      </x:c>
    </x:row>
    <x:row r="595">
      <x:c r="C595" s="45" t="n">
        <x:v>46265</x:v>
      </x:c>
      <x:c r="D595" t="str">
        <x:v>quaternary_principal</x:v>
      </x:c>
      <x:c r="E595" s="47" t="n">
        <x:v>14110000</x:v>
      </x:c>
      <x:c r="F595" t="str">
        <x:v>https://www.sec.gov/Archives/edgar/data/2063979/000206397926000047/a2025-2ex991091526.htm</x:v>
      </x:c>
    </x:row>
    <x:row r="596">
      <x:c r="C596" s="45" t="n">
        <x:v>46265</x:v>
      </x:c>
      <x:c r="D596" t="str">
        <x:v>regular_principal</x:v>
      </x:c>
      <x:c r="E596" s="47" t="n">
        <x:v>10579421.74</x:v>
      </x:c>
      <x:c r="F596" t="str">
        <x:v>https://www.sec.gov/Archives/edgar/data/2063979/000206397926000047/a2025-2ex991091526.htm</x:v>
      </x:c>
    </x:row>
    <x:row r="597">
      <x:c r="C597" s="45" t="n">
        <x:v>46265</x:v>
      </x:c>
      <x:c r="D597" t="str">
        <x:v>oc_target</x:v>
      </x:c>
      <x:c r="E597" s="47" t="n">
        <x:v>10579421.74</x:v>
      </x:c>
      <x:c r="F597" t="str">
        <x:v>https://www.sec.gov/Archives/edgar/data/2063979/000206397926000047/a2025-2ex991091526.htm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8" hidden="0" customWidth="1"/>
    <x:col min="4" max="4" width="18" hidden="0" customWidth="1"/>
    <x:col min="5" max="5" width="30" hidden="0" customWidth="1"/>
    <x:col min="6" max="6" width="16" hidden="0" customWidth="1"/>
    <x:col min="7" max="7" width="16" hidden="0" customWidth="1"/>
    <x:col min="8" max="8" width="9" hidden="0" customWidth="1"/>
    <x:col min="9" max="9" width="9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Loan-tape aggregate source controls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2"/>
      <x:c r="B5" s="2"/>
      <x:c r="C5" s="19" t="str">
        <x:v>Deal</x:v>
      </x:c>
      <x:c r="D5" s="20" t="str">
        <x:v>Period</x:v>
      </x:c>
      <x:c r="E5" s="20" t="str">
        <x:v>Quantity</x:v>
      </x:c>
      <x:c r="F5" s="20" t="str">
        <x:v>Loan tape</x:v>
      </x:c>
      <x:c r="G5" s="20" t="str">
        <x:v>Certificate</x:v>
      </x:c>
      <x:c r="H5" s="20" t="str">
        <x:v>Unit</x:v>
      </x:c>
      <x:c r="I5" s="21" t="str">
        <x:v>Source definition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15" hidden="0" customHeight="1">
      <x:c r="A6" s="2"/>
      <x:c r="B6" s="2"/>
      <x:c r="C6" s="2" t="str">
        <x:v>CAOT-2024-2</x:v>
      </x:c>
      <x:c r="D6" s="31" t="n">
        <x:v>45412</x:v>
      </x:c>
      <x:c r="E6" s="2" t="str">
        <x:v>outstanding_loan_count</x:v>
      </x:c>
      <x:c r="F6" s="48" t="n">
        <x:v>84027</x:v>
      </x:c>
      <x:c r="G6" s="48" t="n">
        <x:v>84026</x:v>
      </x:c>
      <x:c r="H6" s="2" t="str">
        <x:v>loans</x:v>
      </x:c>
      <x:c r="I6" s="50" t="str">
        <x:v>Count strictly positive balances; tapes also retain paid/charged-off rows.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15" hidden="0" customHeight="1">
      <x:c r="A7" s="2"/>
      <x:c r="B7" s="2"/>
      <x:c r="C7" s="2" t="str">
        <x:v>CAOT-2024-2</x:v>
      </x:c>
      <x:c r="D7" s="31" t="n">
        <x:v>45412</x:v>
      </x:c>
      <x:c r="E7" s="2" t="str">
        <x:v>pool_begin</x:v>
      </x:c>
      <x:c r="F7" s="35" t="n">
        <x:v>1612068003.47</x:v>
      </x:c>
      <x:c r="G7" s="35" t="n">
        <x:v>1612091400.06</x:v>
      </x:c>
      <x:c r="H7" s="2" t="str">
        <x:v>USD</x:v>
      </x:c>
      <x:c r="I7" s="50" t="str">
        <x:v>Sum max(balance,0); small negative credit balances are not outstanding receivables.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15" hidden="0" customHeight="1">
      <x:c r="A8" s="2"/>
      <x:c r="B8" s="2"/>
      <x:c r="C8" s="2" t="str">
        <x:v>CAOT-2024-2</x:v>
      </x:c>
      <x:c r="D8" s="31" t="n">
        <x:v>45412</x:v>
      </x:c>
      <x:c r="E8" s="2" t="str">
        <x:v>pool_end</x:v>
      </x:c>
      <x:c r="F8" s="35" t="n">
        <x:v>1561129857.51</x:v>
      </x:c>
      <x:c r="G8" s="35" t="n">
        <x:v>1561130350.98</x:v>
      </x:c>
      <x:c r="H8" s="2" t="str">
        <x:v>USD</x:v>
      </x:c>
      <x:c r="I8" s="50" t="str">
        <x:v>Sum max(balance,0); small negative credit balances are not outstanding receivables.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15" hidden="0" customHeight="1">
      <x:c r="A9" s="2"/>
      <x:c r="B9" s="2"/>
      <x:c r="C9" s="2" t="str">
        <x:v>CAOT-2024-2</x:v>
      </x:c>
      <x:c r="D9" s="31" t="n">
        <x:v>45412</x:v>
      </x:c>
      <x:c r="E9" s="2" t="str">
        <x:v>principal_collected</x:v>
      </x:c>
      <x:c r="F9" s="35" t="n">
        <x:v>50988629.57</x:v>
      </x:c>
      <x:c r="G9" s="35" t="n">
        <x:v>50961049.08</x:v>
      </x:c>
      <x:c r="H9" s="2" t="str">
        <x:v>USD</x:v>
      </x:c>
      <x:c r="I9" s="50" t="str">
        <x:v>Raw loan principal includes non-cash reductions per issuer explanatory exhibit; certificate cash taxonomy differs.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15" hidden="0" customHeight="1">
      <x:c r="A10" s="2"/>
      <x:c r="B10" s="2"/>
      <x:c r="C10" s="2" t="str">
        <x:v>CAOT-2024-2</x:v>
      </x:c>
      <x:c r="D10" s="31" t="n">
        <x:v>45412</x:v>
      </x:c>
      <x:c r="E10" s="2" t="str">
        <x:v>interest_collected</x:v>
      </x:c>
      <x:c r="F10" s="35" t="n">
        <x:v>13011909.93</x:v>
      </x:c>
      <x:c r="G10" s="35" t="n">
        <x:v>14300555.35</x:v>
      </x:c>
      <x:c r="H10" s="2" t="str">
        <x:v>USD</x:v>
      </x:c>
      <x:c r="I10" s="50" t="str">
        <x:v>Raw tape net interest compared with certificate finance-charge collections; unexplained differences remain visible.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15" hidden="0" customHeight="1">
      <x:c r="A11" s="2"/>
      <x:c r="B11" s="2"/>
      <x:c r="C11" s="2" t="str">
        <x:v>CAOT-2024-2</x:v>
      </x:c>
      <x:c r="D11" s="31" t="n">
        <x:v>45412</x:v>
      </x:c>
      <x:c r="E11" s="2" t="str">
        <x:v>gross_chargeoffs_raw</x:v>
      </x:c>
      <x:c r="F11" s="35" t="n">
        <x:v>0</x:v>
      </x:c>
      <x:c r="G11" s="35" t="n">
        <x:v>0</x:v>
      </x:c>
      <x:c r="H11" s="2" t="str">
        <x:v>USD</x:v>
      </x:c>
      <x:c r="I11" s="50" t="str">
        <x:v>Raw chargedoffPrincipalAmount can recur following reinstatement; do not relabel every row a new default.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4" hidden="0" customHeight="1">
      <x:c r="A12" s="2"/>
      <x:c r="B12" s="2"/>
      <x:c r="C12" s="2" t="str">
        <x:v>CAOT-2024-2</x:v>
      </x:c>
      <x:c r="D12" s="31" t="n">
        <x:v>45412</x:v>
      </x:c>
      <x:c r="E12" s="2" t="str">
        <x:v>recoveries</x:v>
      </x:c>
      <x:c r="F12" s="35" t="n">
        <x:v>0</x:v>
      </x:c>
      <x:c r="G12" s="35" t="n">
        <x:v>0</x:v>
      </x:c>
      <x:c r="H12" s="2" t="str">
        <x:v>USD</x:v>
      </x:c>
      <x:c r="I12" s="50" t="str">
        <x:v>Recovered amounts are monthly flows, not cumulative; omitted fields remain SQL NULL and sum treats no reported flow as zero.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15" hidden="0" customHeight="1">
      <x:c r="A13" s="2"/>
      <x:c r="B13" s="2"/>
      <x:c r="C13" s="2" t="str">
        <x:v>CAOT-2024-2</x:v>
      </x:c>
      <x:c r="D13" s="31" t="n">
        <x:v>45443</x:v>
      </x:c>
      <x:c r="E13" s="2" t="str">
        <x:v>outstanding_loan_count</x:v>
      </x:c>
      <x:c r="F13" s="48" t="n">
        <x:v>82448</x:v>
      </x:c>
      <x:c r="G13" s="48" t="n">
        <x:v>82444</x:v>
      </x:c>
      <x:c r="H13" s="2" t="str">
        <x:v>loans</x:v>
      </x:c>
      <x:c r="I13" s="50" t="str">
        <x:v>Count strictly positive balances; tapes also retain paid/charged-off rows.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15" hidden="0" customHeight="1">
      <x:c r="A14" s="2"/>
      <x:c r="B14" s="2"/>
      <x:c r="C14" s="2" t="str">
        <x:v>CAOT-2024-2</x:v>
      </x:c>
      <x:c r="D14" s="31" t="n">
        <x:v>45443</x:v>
      </x:c>
      <x:c r="E14" s="2" t="str">
        <x:v>pool_begin</x:v>
      </x:c>
      <x:c r="F14" s="35" t="n">
        <x:v>1561129857.51</x:v>
      </x:c>
      <x:c r="G14" s="35" t="n">
        <x:v>1561130350.98</x:v>
      </x:c>
      <x:c r="H14" s="2" t="str">
        <x:v>USD</x:v>
      </x:c>
      <x:c r="I14" s="50" t="str">
        <x:v>Sum max(balance,0); small negative credit balances are not outstanding receivables.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15" hidden="0" customHeight="1">
      <x:c r="A15" s="2"/>
      <x:c r="B15" s="2"/>
      <x:c r="C15" s="2" t="str">
        <x:v>CAOT-2024-2</x:v>
      </x:c>
      <x:c r="D15" s="31" t="n">
        <x:v>45443</x:v>
      </x:c>
      <x:c r="E15" s="2" t="str">
        <x:v>pool_end</x:v>
      </x:c>
      <x:c r="F15" s="35" t="n">
        <x:v>1510088162.96</x:v>
      </x:c>
      <x:c r="G15" s="35" t="n">
        <x:v>1510094461.01</x:v>
      </x:c>
      <x:c r="H15" s="2" t="str">
        <x:v>USD</x:v>
      </x:c>
      <x:c r="I15" s="50" t="str">
        <x:v>Sum max(balance,0); small negative credit balances are not outstanding receivables.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15" hidden="0" customHeight="1">
      <x:c r="A16" s="2"/>
      <x:c r="B16" s="2"/>
      <x:c r="C16" s="2" t="str">
        <x:v>CAOT-2024-2</x:v>
      </x:c>
      <x:c r="D16" s="31" t="n">
        <x:v>45443</x:v>
      </x:c>
      <x:c r="E16" s="2" t="str">
        <x:v>principal_collected</x:v>
      </x:c>
      <x:c r="F16" s="35" t="n">
        <x:v>50943959.94</x:v>
      </x:c>
      <x:c r="G16" s="35" t="n">
        <x:v>50889925.38</x:v>
      </x:c>
      <x:c r="H16" s="2" t="str">
        <x:v>USD</x:v>
      </x:c>
      <x:c r="I16" s="50" t="str">
        <x:v>Raw loan principal includes non-cash reductions per issuer explanatory exhibit; certificate cash taxonomy differs.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15" hidden="0" customHeight="1">
      <x:c r="A17" s="2"/>
      <x:c r="B17" s="2"/>
      <x:c r="C17" s="2" t="str">
        <x:v>CAOT-2024-2</x:v>
      </x:c>
      <x:c r="D17" s="31" t="n">
        <x:v>45443</x:v>
      </x:c>
      <x:c r="E17" s="2" t="str">
        <x:v>interest_collected</x:v>
      </x:c>
      <x:c r="F17" s="35" t="n">
        <x:v>13295025.31</x:v>
      </x:c>
      <x:c r="G17" s="35" t="n">
        <x:v>14463456.12</x:v>
      </x:c>
      <x:c r="H17" s="2" t="str">
        <x:v>USD</x:v>
      </x:c>
      <x:c r="I17" s="50" t="str">
        <x:v>Raw tape net interest compared with certificate finance-charge collections; unexplained differences remain visible.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15" hidden="0" customHeight="1">
      <x:c r="A18" s="2"/>
      <x:c r="B18" s="2"/>
      <x:c r="C18" s="2" t="str">
        <x:v>CAOT-2024-2</x:v>
      </x:c>
      <x:c r="D18" s="31" t="n">
        <x:v>45443</x:v>
      </x:c>
      <x:c r="E18" s="2" t="str">
        <x:v>gross_chargeoffs_raw</x:v>
      </x:c>
      <x:c r="F18" s="35" t="n">
        <x:v>145964.59</x:v>
      </x:c>
      <x:c r="G18" s="35" t="n">
        <x:v>145964.59</x:v>
      </x:c>
      <x:c r="H18" s="2" t="str">
        <x:v>USD</x:v>
      </x:c>
      <x:c r="I18" s="50" t="str">
        <x:v>Raw chargedoffPrincipalAmount can recur following reinstatement; do not relabel every row a new default.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4" hidden="0" customHeight="1">
      <x:c r="A19" s="2"/>
      <x:c r="B19" s="2"/>
      <x:c r="C19" s="2" t="str">
        <x:v>CAOT-2024-2</x:v>
      </x:c>
      <x:c r="D19" s="31" t="n">
        <x:v>45443</x:v>
      </x:c>
      <x:c r="E19" s="2" t="str">
        <x:v>recoveries</x:v>
      </x:c>
      <x:c r="F19" s="35" t="n">
        <x:v>106662.42</x:v>
      </x:c>
      <x:c r="G19" s="35" t="n">
        <x:v>105757.42</x:v>
      </x:c>
      <x:c r="H19" s="2" t="str">
        <x:v>USD</x:v>
      </x:c>
      <x:c r="I19" s="50" t="str">
        <x:v>Recovered amounts are monthly flows, not cumulative; omitted fields remain SQL NULL and sum treats no reported flow as zero.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15" hidden="0" customHeight="1">
      <x:c r="A20" s="2"/>
      <x:c r="B20" s="2"/>
      <x:c r="C20" s="2" t="str">
        <x:v>CAOT-2024-2</x:v>
      </x:c>
      <x:c r="D20" s="31" t="n">
        <x:v>45473</x:v>
      </x:c>
      <x:c r="E20" s="2" t="str">
        <x:v>outstanding_loan_count</x:v>
      </x:c>
      <x:c r="F20" s="48" t="n">
        <x:v>80433</x:v>
      </x:c>
      <x:c r="G20" s="48" t="n">
        <x:v>80433</x:v>
      </x:c>
      <x:c r="H20" s="2" t="str">
        <x:v>loans</x:v>
      </x:c>
      <x:c r="I20" s="50" t="str">
        <x:v>Count strictly positive balances; tapes also retain paid/charged-off rows.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15" hidden="0" customHeight="1">
      <x:c r="A21" s="2"/>
      <x:c r="B21" s="2"/>
      <x:c r="C21" s="2" t="str">
        <x:v>CAOT-2024-2</x:v>
      </x:c>
      <x:c r="D21" s="31" t="n">
        <x:v>45473</x:v>
      </x:c>
      <x:c r="E21" s="2" t="str">
        <x:v>pool_begin</x:v>
      </x:c>
      <x:c r="F21" s="35" t="n">
        <x:v>1510088162.96</x:v>
      </x:c>
      <x:c r="G21" s="35" t="n">
        <x:v>1510094461.01</x:v>
      </x:c>
      <x:c r="H21" s="2" t="str">
        <x:v>USD</x:v>
      </x:c>
      <x:c r="I21" s="50" t="str">
        <x:v>Sum max(balance,0); small negative credit balances are not outstanding receivables.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15" hidden="0" customHeight="1">
      <x:c r="A22" s="2"/>
      <x:c r="B22" s="2"/>
      <x:c r="C22" s="2" t="str">
        <x:v>CAOT-2024-2</x:v>
      </x:c>
      <x:c r="D22" s="31" t="n">
        <x:v>45473</x:v>
      </x:c>
      <x:c r="E22" s="2" t="str">
        <x:v>pool_end</x:v>
      </x:c>
      <x:c r="F22" s="35" t="n">
        <x:v>1462788183.59</x:v>
      </x:c>
      <x:c r="G22" s="35" t="n">
        <x:v>1462792329.64</x:v>
      </x:c>
      <x:c r="H22" s="2" t="str">
        <x:v>USD</x:v>
      </x:c>
      <x:c r="I22" s="50" t="str">
        <x:v>Sum max(balance,0); small negative credit balances are not outstanding receivables.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15" hidden="0" customHeight="1">
      <x:c r="A23" s="2"/>
      <x:c r="B23" s="2"/>
      <x:c r="C23" s="2" t="str">
        <x:v>CAOT-2024-2</x:v>
      </x:c>
      <x:c r="D23" s="31" t="n">
        <x:v>45473</x:v>
      </x:c>
      <x:c r="E23" s="2" t="str">
        <x:v>principal_collected</x:v>
      </x:c>
      <x:c r="F23" s="35" t="n">
        <x:v>47004060.52</x:v>
      </x:c>
      <x:c r="G23" s="35" t="n">
        <x:v>46933935.41</x:v>
      </x:c>
      <x:c r="H23" s="2" t="str">
        <x:v>USD</x:v>
      </x:c>
      <x:c r="I23" s="50" t="str">
        <x:v>Raw loan principal includes non-cash reductions per issuer explanatory exhibit; certificate cash taxonomy differs.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15" hidden="0" customHeight="1">
      <x:c r="A24" s="2"/>
      <x:c r="B24" s="2"/>
      <x:c r="C24" s="2" t="str">
        <x:v>CAOT-2024-2</x:v>
      </x:c>
      <x:c r="D24" s="31" t="n">
        <x:v>45473</x:v>
      </x:c>
      <x:c r="E24" s="2" t="str">
        <x:v>interest_collected</x:v>
      </x:c>
      <x:c r="F24" s="35" t="n">
        <x:v>12701343.23</x:v>
      </x:c>
      <x:c r="G24" s="35" t="n">
        <x:v>13812678.76</x:v>
      </x:c>
      <x:c r="H24" s="2" t="str">
        <x:v>USD</x:v>
      </x:c>
      <x:c r="I24" s="50" t="str">
        <x:v>Raw tape net interest compared with certificate finance-charge collections; unexplained differences remain visible.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15" hidden="0" customHeight="1">
      <x:c r="A25" s="2"/>
      <x:c r="B25" s="2"/>
      <x:c r="C25" s="2" t="str">
        <x:v>CAOT-2024-2</x:v>
      </x:c>
      <x:c r="D25" s="31" t="n">
        <x:v>45473</x:v>
      </x:c>
      <x:c r="E25" s="2" t="str">
        <x:v>gross_chargeoffs_raw</x:v>
      </x:c>
      <x:c r="F25" s="35" t="n">
        <x:v>368195.96</x:v>
      </x:c>
      <x:c r="G25" s="35" t="n">
        <x:v>368195.96</x:v>
      </x:c>
      <x:c r="H25" s="2" t="str">
        <x:v>USD</x:v>
      </x:c>
      <x:c r="I25" s="50" t="str">
        <x:v>Raw chargedoffPrincipalAmount can recur following reinstatement; do not relabel every row a new default.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4" hidden="0" customHeight="1">
      <x:c r="A26" s="2"/>
      <x:c r="B26" s="2"/>
      <x:c r="C26" s="2" t="str">
        <x:v>CAOT-2024-2</x:v>
      </x:c>
      <x:c r="D26" s="31" t="n">
        <x:v>45473</x:v>
      </x:c>
      <x:c r="E26" s="2" t="str">
        <x:v>recoveries</x:v>
      </x:c>
      <x:c r="F26" s="35" t="n">
        <x:v>177135.46</x:v>
      </x:c>
      <x:c r="G26" s="35" t="n">
        <x:v>176985.46</x:v>
      </x:c>
      <x:c r="H26" s="2" t="str">
        <x:v>USD</x:v>
      </x:c>
      <x:c r="I26" s="50" t="str">
        <x:v>Recovered amounts are monthly flows, not cumulative; omitted fields remain SQL NULL and sum treats no reported flow as zero.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15" hidden="0" customHeight="1">
      <x:c r="A27" s="2"/>
      <x:c r="B27" s="2"/>
      <x:c r="C27" s="2" t="str">
        <x:v>CAOT-2024-2</x:v>
      </x:c>
      <x:c r="D27" s="31" t="n">
        <x:v>45504</x:v>
      </x:c>
      <x:c r="E27" s="2" t="str">
        <x:v>outstanding_loan_count</x:v>
      </x:c>
      <x:c r="F27" s="48" t="n">
        <x:v>78175</x:v>
      </x:c>
      <x:c r="G27" s="48" t="n">
        <x:v>78171</x:v>
      </x:c>
      <x:c r="H27" s="2" t="str">
        <x:v>loans</x:v>
      </x:c>
      <x:c r="I27" s="50" t="str">
        <x:v>Count strictly positive balances; tapes also retain paid/charged-off rows.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15" hidden="0" customHeight="1">
      <x:c r="A28" s="2"/>
      <x:c r="B28" s="2"/>
      <x:c r="C28" s="2" t="str">
        <x:v>CAOT-2024-2</x:v>
      </x:c>
      <x:c r="D28" s="31" t="n">
        <x:v>45504</x:v>
      </x:c>
      <x:c r="E28" s="2" t="str">
        <x:v>pool_begin</x:v>
      </x:c>
      <x:c r="F28" s="35" t="n">
        <x:v>1462788183.59</x:v>
      </x:c>
      <x:c r="G28" s="35" t="n">
        <x:v>1462792329.64</x:v>
      </x:c>
      <x:c r="H28" s="2" t="str">
        <x:v>USD</x:v>
      </x:c>
      <x:c r="I28" s="50" t="str">
        <x:v>Sum max(balance,0); small negative credit balances are not outstanding receivables.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15" hidden="0" customHeight="1">
      <x:c r="A29" s="2"/>
      <x:c r="B29" s="2"/>
      <x:c r="C29" s="2" t="str">
        <x:v>CAOT-2024-2</x:v>
      </x:c>
      <x:c r="D29" s="31" t="n">
        <x:v>45504</x:v>
      </x:c>
      <x:c r="E29" s="2" t="str">
        <x:v>pool_end</x:v>
      </x:c>
      <x:c r="F29" s="35" t="n">
        <x:v>1413667891.32</x:v>
      </x:c>
      <x:c r="G29" s="35" t="n">
        <x:v>1413672225.02</x:v>
      </x:c>
      <x:c r="H29" s="2" t="str">
        <x:v>USD</x:v>
      </x:c>
      <x:c r="I29" s="50" t="str">
        <x:v>Sum max(balance,0); small negative credit balances are not outstanding receivables.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15" hidden="0" customHeight="1">
      <x:c r="A30" s="2"/>
      <x:c r="B30" s="2"/>
      <x:c r="C30" s="2" t="str">
        <x:v>CAOT-2024-2</x:v>
      </x:c>
      <x:c r="D30" s="31" t="n">
        <x:v>45504</x:v>
      </x:c>
      <x:c r="E30" s="2" t="str">
        <x:v>principal_collected</x:v>
      </x:c>
      <x:c r="F30" s="35" t="n">
        <x:v>47041552.25</x:v>
      </x:c>
      <x:c r="G30" s="35" t="n">
        <x:v>46975156.29</x:v>
      </x:c>
      <x:c r="H30" s="2" t="str">
        <x:v>USD</x:v>
      </x:c>
      <x:c r="I30" s="50" t="str">
        <x:v>Raw loan principal includes non-cash reductions per issuer explanatory exhibit; certificate cash taxonomy differs.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15" hidden="0" customHeight="1">
      <x:c r="A31" s="2"/>
      <x:c r="B31" s="2"/>
      <x:c r="C31" s="2" t="str">
        <x:v>CAOT-2024-2</x:v>
      </x:c>
      <x:c r="D31" s="31" t="n">
        <x:v>45504</x:v>
      </x:c>
      <x:c r="E31" s="2" t="str">
        <x:v>interest_collected</x:v>
      </x:c>
      <x:c r="F31" s="35" t="n">
        <x:v>12186877.4</x:v>
      </x:c>
      <x:c r="G31" s="35" t="n">
        <x:v>13258409.02</x:v>
      </x:c>
      <x:c r="H31" s="2" t="str">
        <x:v>USD</x:v>
      </x:c>
      <x:c r="I31" s="50" t="str">
        <x:v>Raw tape net interest compared with certificate finance-charge collections; unexplained differences remain visible.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15" hidden="0" customHeight="1">
      <x:c r="A32" s="2"/>
      <x:c r="B32" s="2"/>
      <x:c r="C32" s="2" t="str">
        <x:v>CAOT-2024-2</x:v>
      </x:c>
      <x:c r="D32" s="31" t="n">
        <x:v>45504</x:v>
      </x:c>
      <x:c r="E32" s="2" t="str">
        <x:v>gross_chargeoffs_raw</x:v>
      </x:c>
      <x:c r="F32" s="35" t="n">
        <x:v>2144948.33</x:v>
      </x:c>
      <x:c r="G32" s="35" t="n">
        <x:v>2144948.33</x:v>
      </x:c>
      <x:c r="H32" s="2" t="str">
        <x:v>USD</x:v>
      </x:c>
      <x:c r="I32" s="50" t="str">
        <x:v>Raw chargedoffPrincipalAmount can recur following reinstatement; do not relabel every row a new default.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4" hidden="0" customHeight="1">
      <x:c r="A33" s="2"/>
      <x:c r="B33" s="2"/>
      <x:c r="C33" s="2" t="str">
        <x:v>CAOT-2024-2</x:v>
      </x:c>
      <x:c r="D33" s="31" t="n">
        <x:v>45504</x:v>
      </x:c>
      <x:c r="E33" s="2" t="str">
        <x:v>recoveries</x:v>
      </x:c>
      <x:c r="F33" s="35" t="n">
        <x:v>490815.69</x:v>
      </x:c>
      <x:c r="G33" s="35" t="n">
        <x:v>490815.69</x:v>
      </x:c>
      <x:c r="H33" s="2" t="str">
        <x:v>USD</x:v>
      </x:c>
      <x:c r="I33" s="50" t="str">
        <x:v>Recovered amounts are monthly flows, not cumulative; omitted fields remain SQL NULL and sum treats no reported flow as zero.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15" hidden="0" customHeight="1">
      <x:c r="A34" s="2"/>
      <x:c r="B34" s="2"/>
      <x:c r="C34" s="2" t="str">
        <x:v>CAOT-2024-2</x:v>
      </x:c>
      <x:c r="D34" s="31" t="n">
        <x:v>45535</x:v>
      </x:c>
      <x:c r="E34" s="2" t="str">
        <x:v>outstanding_loan_count</x:v>
      </x:c>
      <x:c r="F34" s="48" t="n">
        <x:v>75851</x:v>
      </x:c>
      <x:c r="G34" s="48" t="n">
        <x:v>75851</x:v>
      </x:c>
      <x:c r="H34" s="2" t="str">
        <x:v>loans</x:v>
      </x:c>
      <x:c r="I34" s="50" t="str">
        <x:v>Count strictly positive balances; tapes also retain paid/charged-off rows.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15" hidden="0" customHeight="1">
      <x:c r="A35" s="2"/>
      <x:c r="B35" s="2"/>
      <x:c r="C35" s="2" t="str">
        <x:v>CAOT-2024-2</x:v>
      </x:c>
      <x:c r="D35" s="31" t="n">
        <x:v>45535</x:v>
      </x:c>
      <x:c r="E35" s="2" t="str">
        <x:v>pool_begin</x:v>
      </x:c>
      <x:c r="F35" s="35" t="n">
        <x:v>1413667891.32</x:v>
      </x:c>
      <x:c r="G35" s="35" t="n">
        <x:v>1413672225.02</x:v>
      </x:c>
      <x:c r="H35" s="2" t="str">
        <x:v>USD</x:v>
      </x:c>
      <x:c r="I35" s="50" t="str">
        <x:v>Sum max(balance,0); small negative credit balances are not outstanding receivables.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15" hidden="0" customHeight="1">
      <x:c r="A36" s="2"/>
      <x:c r="B36" s="2"/>
      <x:c r="C36" s="2" t="str">
        <x:v>CAOT-2024-2</x:v>
      </x:c>
      <x:c r="D36" s="31" t="n">
        <x:v>45535</x:v>
      </x:c>
      <x:c r="E36" s="2" t="str">
        <x:v>pool_end</x:v>
      </x:c>
      <x:c r="F36" s="35" t="n">
        <x:v>1363370518.36</x:v>
      </x:c>
      <x:c r="G36" s="35" t="n">
        <x:v>1363375340.38</x:v>
      </x:c>
      <x:c r="H36" s="2" t="str">
        <x:v>USD</x:v>
      </x:c>
      <x:c r="I36" s="50" t="str">
        <x:v>Sum max(balance,0); small negative credit balances are not outstanding receivables.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15" hidden="0" customHeight="1">
      <x:c r="A37" s="2"/>
      <x:c r="B37" s="2"/>
      <x:c r="C37" s="2" t="str">
        <x:v>CAOT-2024-2</x:v>
      </x:c>
      <x:c r="D37" s="31" t="n">
        <x:v>45535</x:v>
      </x:c>
      <x:c r="E37" s="2" t="str">
        <x:v>principal_collected</x:v>
      </x:c>
      <x:c r="F37" s="35" t="n">
        <x:v>47026462.98</x:v>
      </x:c>
      <x:c r="G37" s="35" t="n">
        <x:v>46978883.18</x:v>
      </x:c>
      <x:c r="H37" s="2" t="str">
        <x:v>USD</x:v>
      </x:c>
      <x:c r="I37" s="50" t="str">
        <x:v>Raw loan principal includes non-cash reductions per issuer explanatory exhibit; certificate cash taxonomy differs.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15" hidden="0" customHeight="1">
      <x:c r="A38" s="2"/>
      <x:c r="B38" s="2"/>
      <x:c r="C38" s="2" t="str">
        <x:v>CAOT-2024-2</x:v>
      </x:c>
      <x:c r="D38" s="31" t="n">
        <x:v>45535</x:v>
      </x:c>
      <x:c r="E38" s="2" t="str">
        <x:v>interest_collected</x:v>
      </x:c>
      <x:c r="F38" s="35" t="n">
        <x:v>12251107.92</x:v>
      </x:c>
      <x:c r="G38" s="35" t="n">
        <x:v>13377615.39</x:v>
      </x:c>
      <x:c r="H38" s="2" t="str">
        <x:v>USD</x:v>
      </x:c>
      <x:c r="I38" s="50" t="str">
        <x:v>Raw tape net interest compared with certificate finance-charge collections; unexplained differences remain visible.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15" hidden="0" customHeight="1">
      <x:c r="A39" s="2"/>
      <x:c r="B39" s="2"/>
      <x:c r="C39" s="2" t="str">
        <x:v>CAOT-2024-2</x:v>
      </x:c>
      <x:c r="D39" s="31" t="n">
        <x:v>45535</x:v>
      </x:c>
      <x:c r="E39" s="2" t="str">
        <x:v>gross_chargeoffs_raw</x:v>
      </x:c>
      <x:c r="F39" s="35" t="n">
        <x:v>3538442.23</x:v>
      </x:c>
      <x:c r="G39" s="35" t="n">
        <x:v>3318001.46</x:v>
      </x:c>
      <x:c r="H39" s="2" t="str">
        <x:v>USD</x:v>
      </x:c>
      <x:c r="I39" s="50" t="str">
        <x:v>Raw chargedoffPrincipalAmount can recur following reinstatement; do not relabel every row a new default.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4" hidden="0" customHeight="1">
      <x:c r="A40" s="2"/>
      <x:c r="B40" s="2"/>
      <x:c r="C40" s="2" t="str">
        <x:v>CAOT-2024-2</x:v>
      </x:c>
      <x:c r="D40" s="31" t="n">
        <x:v>45535</x:v>
      </x:c>
      <x:c r="E40" s="2" t="str">
        <x:v>recoveries</x:v>
      </x:c>
      <x:c r="F40" s="35" t="n">
        <x:v>623364.85</x:v>
      </x:c>
      <x:c r="G40" s="35" t="n">
        <x:v>621439.8</x:v>
      </x:c>
      <x:c r="H40" s="2" t="str">
        <x:v>USD</x:v>
      </x:c>
      <x:c r="I40" s="50" t="str">
        <x:v>Recovered amounts are monthly flows, not cumulative; omitted fields remain SQL NULL and sum treats no reported flow as zero.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15" hidden="0" customHeight="1">
      <x:c r="A41" s="2"/>
      <x:c r="B41" s="2"/>
      <x:c r="C41" s="2" t="str">
        <x:v>CAOT-2024-2</x:v>
      </x:c>
      <x:c r="D41" s="31" t="n">
        <x:v>45565</x:v>
      </x:c>
      <x:c r="E41" s="2" t="str">
        <x:v>outstanding_loan_count</x:v>
      </x:c>
      <x:c r="F41" s="48" t="n">
        <x:v>73506</x:v>
      </x:c>
      <x:c r="G41" s="48" t="n">
        <x:v>73506</x:v>
      </x:c>
      <x:c r="H41" s="2" t="str">
        <x:v>loans</x:v>
      </x:c>
      <x:c r="I41" s="50" t="str">
        <x:v>Count strictly positive balances; tapes also retain paid/charged-off rows.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15" hidden="0" customHeight="1">
      <x:c r="A42" s="2"/>
      <x:c r="B42" s="2"/>
      <x:c r="C42" s="2" t="str">
        <x:v>CAOT-2024-2</x:v>
      </x:c>
      <x:c r="D42" s="31" t="n">
        <x:v>45565</x:v>
      </x:c>
      <x:c r="E42" s="2" t="str">
        <x:v>pool_begin</x:v>
      </x:c>
      <x:c r="F42" s="35" t="n">
        <x:v>1363370518.36</x:v>
      </x:c>
      <x:c r="G42" s="35" t="n">
        <x:v>1363375340.38</x:v>
      </x:c>
      <x:c r="H42" s="2" t="str">
        <x:v>USD</x:v>
      </x:c>
      <x:c r="I42" s="50" t="str">
        <x:v>Sum max(balance,0); small negative credit balances are not outstanding receivables.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15" hidden="0" customHeight="1">
      <x:c r="A43" s="2"/>
      <x:c r="B43" s="2"/>
      <x:c r="C43" s="2" t="str">
        <x:v>CAOT-2024-2</x:v>
      </x:c>
      <x:c r="D43" s="31" t="n">
        <x:v>45565</x:v>
      </x:c>
      <x:c r="E43" s="2" t="str">
        <x:v>pool_end</x:v>
      </x:c>
      <x:c r="F43" s="35" t="n">
        <x:v>1320181283.01</x:v>
      </x:c>
      <x:c r="G43" s="35" t="n">
        <x:v>1320184265.64</x:v>
      </x:c>
      <x:c r="H43" s="2" t="str">
        <x:v>USD</x:v>
      </x:c>
      <x:c r="I43" s="50" t="str">
        <x:v>Sum max(balance,0); small negative credit balances are not outstanding receivables.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15" hidden="0" customHeight="1">
      <x:c r="A44" s="2"/>
      <x:c r="B44" s="2"/>
      <x:c r="C44" s="2" t="str">
        <x:v>CAOT-2024-2</x:v>
      </x:c>
      <x:c r="D44" s="31" t="n">
        <x:v>45565</x:v>
      </x:c>
      <x:c r="E44" s="2" t="str">
        <x:v>principal_collected</x:v>
      </x:c>
      <x:c r="F44" s="35" t="n">
        <x:v>40684973.07</x:v>
      </x:c>
      <x:c r="G44" s="35" t="n">
        <x:v>40680145.98</x:v>
      </x:c>
      <x:c r="H44" s="2" t="str">
        <x:v>USD</x:v>
      </x:c>
      <x:c r="I44" s="50" t="str">
        <x:v>Raw loan principal includes non-cash reductions per issuer explanatory exhibit; certificate cash taxonomy differs.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15" hidden="0" customHeight="1">
      <x:c r="A45" s="2"/>
      <x:c r="B45" s="2"/>
      <x:c r="C45" s="2" t="str">
        <x:v>CAOT-2024-2</x:v>
      </x:c>
      <x:c r="D45" s="31" t="n">
        <x:v>45565</x:v>
      </x:c>
      <x:c r="E45" s="2" t="str">
        <x:v>interest_collected</x:v>
      </x:c>
      <x:c r="F45" s="35" t="n">
        <x:v>11543407.43</x:v>
      </x:c>
      <x:c r="G45" s="35" t="n">
        <x:v>12557075.21</x:v>
      </x:c>
      <x:c r="H45" s="2" t="str">
        <x:v>USD</x:v>
      </x:c>
      <x:c r="I45" s="50" t="str">
        <x:v>Raw tape net interest compared with certificate finance-charge collections; unexplained differences remain visible.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15" hidden="0" customHeight="1">
      <x:c r="A46" s="2"/>
      <x:c r="B46" s="2"/>
      <x:c r="C46" s="2" t="str">
        <x:v>CAOT-2024-2</x:v>
      </x:c>
      <x:c r="D46" s="31" t="n">
        <x:v>45565</x:v>
      </x:c>
      <x:c r="E46" s="2" t="str">
        <x:v>gross_chargeoffs_raw</x:v>
      </x:c>
      <x:c r="F46" s="35" t="n">
        <x:v>3112202.98</x:v>
      </x:c>
      <x:c r="G46" s="35" t="n">
        <x:v>2510928.76</x:v>
      </x:c>
      <x:c r="H46" s="2" t="str">
        <x:v>USD</x:v>
      </x:c>
      <x:c r="I46" s="50" t="str">
        <x:v>Raw chargedoffPrincipalAmount can recur following reinstatement; do not relabel every row a new default.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4" hidden="0" customHeight="1">
      <x:c r="A47" s="2"/>
      <x:c r="B47" s="2"/>
      <x:c r="C47" s="2" t="str">
        <x:v>CAOT-2024-2</x:v>
      </x:c>
      <x:c r="D47" s="31" t="n">
        <x:v>45565</x:v>
      </x:c>
      <x:c r="E47" s="2" t="str">
        <x:v>recoveries</x:v>
      </x:c>
      <x:c r="F47" s="35" t="n">
        <x:v>765939.53</x:v>
      </x:c>
      <x:c r="G47" s="35" t="n">
        <x:v>765217.95</x:v>
      </x:c>
      <x:c r="H47" s="2" t="str">
        <x:v>USD</x:v>
      </x:c>
      <x:c r="I47" s="50" t="str">
        <x:v>Recovered amounts are monthly flows, not cumulative; omitted fields remain SQL NULL and sum treats no reported flow as zero.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15" hidden="0" customHeight="1">
      <x:c r="A48" s="2"/>
      <x:c r="B48" s="2"/>
      <x:c r="C48" s="2" t="str">
        <x:v>CAOT-2024-2</x:v>
      </x:c>
      <x:c r="D48" s="31" t="n">
        <x:v>45596</x:v>
      </x:c>
      <x:c r="E48" s="2" t="str">
        <x:v>outstanding_loan_count</x:v>
      </x:c>
      <x:c r="F48" s="48" t="n">
        <x:v>70943</x:v>
      </x:c>
      <x:c r="G48" s="48" t="n">
        <x:v>70942</x:v>
      </x:c>
      <x:c r="H48" s="2" t="str">
        <x:v>loans</x:v>
      </x:c>
      <x:c r="I48" s="50" t="str">
        <x:v>Count strictly positive balances; tapes also retain paid/charged-off rows.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15" hidden="0" customHeight="1">
      <x:c r="A49" s="2"/>
      <x:c r="B49" s="2"/>
      <x:c r="C49" s="2" t="str">
        <x:v>CAOT-2024-2</x:v>
      </x:c>
      <x:c r="D49" s="31" t="n">
        <x:v>45596</x:v>
      </x:c>
      <x:c r="E49" s="2" t="str">
        <x:v>pool_begin</x:v>
      </x:c>
      <x:c r="F49" s="35" t="n">
        <x:v>1320181283.01</x:v>
      </x:c>
      <x:c r="G49" s="35" t="n">
        <x:v>1320184265.64</x:v>
      </x:c>
      <x:c r="H49" s="2" t="str">
        <x:v>USD</x:v>
      </x:c>
      <x:c r="I49" s="50" t="str">
        <x:v>Sum max(balance,0); small negative credit balances are not outstanding receivables.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15" hidden="0" customHeight="1">
      <x:c r="A50" s="2"/>
      <x:c r="B50" s="2"/>
      <x:c r="C50" s="2" t="str">
        <x:v>CAOT-2024-2</x:v>
      </x:c>
      <x:c r="D50" s="31" t="n">
        <x:v>45596</x:v>
      </x:c>
      <x:c r="E50" s="2" t="str">
        <x:v>pool_end</x:v>
      </x:c>
      <x:c r="F50" s="35" t="n">
        <x:v>1273002145.97</x:v>
      </x:c>
      <x:c r="G50" s="35" t="n">
        <x:v>1273005477.74</x:v>
      </x:c>
      <x:c r="H50" s="2" t="str">
        <x:v>USD</x:v>
      </x:c>
      <x:c r="I50" s="50" t="str">
        <x:v>Sum max(balance,0); small negative credit balances are not outstanding receivables.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15" hidden="0" customHeight="1">
      <x:c r="A51" s="2"/>
      <x:c r="B51" s="2"/>
      <x:c r="C51" s="2" t="str">
        <x:v>CAOT-2024-2</x:v>
      </x:c>
      <x:c r="D51" s="31" t="n">
        <x:v>45596</x:v>
      </x:c>
      <x:c r="E51" s="2" t="str">
        <x:v>principal_collected</x:v>
      </x:c>
      <x:c r="F51" s="35" t="n">
        <x:v>44173790.8</x:v>
      </x:c>
      <x:c r="G51" s="35" t="n">
        <x:v>44123227.69</x:v>
      </x:c>
      <x:c r="H51" s="2" t="str">
        <x:v>USD</x:v>
      </x:c>
      <x:c r="I51" s="50" t="str">
        <x:v>Raw loan principal includes non-cash reductions per issuer explanatory exhibit; certificate cash taxonomy differs.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15" hidden="0" customHeight="1">
      <x:c r="A52" s="2"/>
      <x:c r="B52" s="2"/>
      <x:c r="C52" s="2" t="str">
        <x:v>CAOT-2024-2</x:v>
      </x:c>
      <x:c r="D52" s="31" t="n">
        <x:v>45596</x:v>
      </x:c>
      <x:c r="E52" s="2" t="str">
        <x:v>interest_collected</x:v>
      </x:c>
      <x:c r="F52" s="35" t="n">
        <x:v>11045425.25</x:v>
      </x:c>
      <x:c r="G52" s="35" t="n">
        <x:v>12056903.79</x:v>
      </x:c>
      <x:c r="H52" s="2" t="str">
        <x:v>USD</x:v>
      </x:c>
      <x:c r="I52" s="50" t="str">
        <x:v>Raw tape net interest compared with certificate finance-charge collections; unexplained differences remain visible.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15" hidden="0" customHeight="1">
      <x:c r="A53" s="2"/>
      <x:c r="B53" s="2"/>
      <x:c r="C53" s="2" t="str">
        <x:v>CAOT-2024-2</x:v>
      </x:c>
      <x:c r="D53" s="31" t="n">
        <x:v>45596</x:v>
      </x:c>
      <x:c r="E53" s="2" t="str">
        <x:v>gross_chargeoffs_raw</x:v>
      </x:c>
      <x:c r="F53" s="35" t="n">
        <x:v>3625331.62</x:v>
      </x:c>
      <x:c r="G53" s="35" t="n">
        <x:v>3055560.21</x:v>
      </x:c>
      <x:c r="H53" s="2" t="str">
        <x:v>USD</x:v>
      </x:c>
      <x:c r="I53" s="50" t="str">
        <x:v>Raw chargedoffPrincipalAmount can recur following reinstatement; do not relabel every row a new default.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4" hidden="0" customHeight="1">
      <x:c r="A54" s="2"/>
      <x:c r="B54" s="2"/>
      <x:c r="C54" s="2" t="str">
        <x:v>CAOT-2024-2</x:v>
      </x:c>
      <x:c r="D54" s="31" t="n">
        <x:v>45596</x:v>
      </x:c>
      <x:c r="E54" s="2" t="str">
        <x:v>recoveries</x:v>
      </x:c>
      <x:c r="F54" s="35" t="n">
        <x:v>972517.74</x:v>
      </x:c>
      <x:c r="G54" s="35" t="n">
        <x:v>972387.08</x:v>
      </x:c>
      <x:c r="H54" s="2" t="str">
        <x:v>USD</x:v>
      </x:c>
      <x:c r="I54" s="50" t="str">
        <x:v>Recovered amounts are monthly flows, not cumulative; omitted fields remain SQL NULL and sum treats no reported flow as zero.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15" hidden="0" customHeight="1">
      <x:c r="A55" s="2"/>
      <x:c r="B55" s="2"/>
      <x:c r="C55" s="2" t="str">
        <x:v>CAOT-2024-2</x:v>
      </x:c>
      <x:c r="D55" s="31" t="n">
        <x:v>45626</x:v>
      </x:c>
      <x:c r="E55" s="2" t="str">
        <x:v>outstanding_loan_count</x:v>
      </x:c>
      <x:c r="F55" s="48" t="n">
        <x:v>68718</x:v>
      </x:c>
      <x:c r="G55" s="48" t="n">
        <x:v>68718</x:v>
      </x:c>
      <x:c r="H55" s="2" t="str">
        <x:v>loans</x:v>
      </x:c>
      <x:c r="I55" s="50" t="str">
        <x:v>Count strictly positive balances; tapes also retain paid/charged-off rows.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15" hidden="0" customHeight="1">
      <x:c r="A56" s="2"/>
      <x:c r="B56" s="2"/>
      <x:c r="C56" s="2" t="str">
        <x:v>CAOT-2024-2</x:v>
      </x:c>
      <x:c r="D56" s="31" t="n">
        <x:v>45626</x:v>
      </x:c>
      <x:c r="E56" s="2" t="str">
        <x:v>pool_begin</x:v>
      </x:c>
      <x:c r="F56" s="35" t="n">
        <x:v>1273002145.97</x:v>
      </x:c>
      <x:c r="G56" s="35" t="n">
        <x:v>1273005477.74</x:v>
      </x:c>
      <x:c r="H56" s="2" t="str">
        <x:v>USD</x:v>
      </x:c>
      <x:c r="I56" s="50" t="str">
        <x:v>Sum max(balance,0); small negative credit balances are not outstanding receivables.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15" hidden="0" customHeight="1">
      <x:c r="A57" s="2"/>
      <x:c r="B57" s="2"/>
      <x:c r="C57" s="2" t="str">
        <x:v>CAOT-2024-2</x:v>
      </x:c>
      <x:c r="D57" s="31" t="n">
        <x:v>45626</x:v>
      </x:c>
      <x:c r="E57" s="2" t="str">
        <x:v>pool_end</x:v>
      </x:c>
      <x:c r="F57" s="35" t="n">
        <x:v>1230183966.7</x:v>
      </x:c>
      <x:c r="G57" s="35" t="n">
        <x:v>1230185396.22</x:v>
      </x:c>
      <x:c r="H57" s="2" t="str">
        <x:v>USD</x:v>
      </x:c>
      <x:c r="I57" s="50" t="str">
        <x:v>Sum max(balance,0); small negative credit balances are not outstanding receivables.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15" hidden="0" customHeight="1">
      <x:c r="A58" s="2"/>
      <x:c r="B58" s="2"/>
      <x:c r="C58" s="2" t="str">
        <x:v>CAOT-2024-2</x:v>
      </x:c>
      <x:c r="D58" s="31" t="n">
        <x:v>45626</x:v>
      </x:c>
      <x:c r="E58" s="2" t="str">
        <x:v>principal_collected</x:v>
      </x:c>
      <x:c r="F58" s="35" t="n">
        <x:v>39993327.28</x:v>
      </x:c>
      <x:c r="G58" s="35" t="n">
        <x:v>39949484.07</x:v>
      </x:c>
      <x:c r="H58" s="2" t="str">
        <x:v>USD</x:v>
      </x:c>
      <x:c r="I58" s="50" t="str">
        <x:v>Raw loan principal includes non-cash reductions per issuer explanatory exhibit; certificate cash taxonomy differs.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15" hidden="0" customHeight="1">
      <x:c r="A59" s="2"/>
      <x:c r="B59" s="2"/>
      <x:c r="C59" s="2" t="str">
        <x:v>CAOT-2024-2</x:v>
      </x:c>
      <x:c r="D59" s="31" t="n">
        <x:v>45626</x:v>
      </x:c>
      <x:c r="E59" s="2" t="str">
        <x:v>interest_collected</x:v>
      </x:c>
      <x:c r="F59" s="35" t="n">
        <x:v>10702616.78</x:v>
      </x:c>
      <x:c r="G59" s="35" t="n">
        <x:v>11707201.44</x:v>
      </x:c>
      <x:c r="H59" s="2" t="str">
        <x:v>USD</x:v>
      </x:c>
      <x:c r="I59" s="50" t="str">
        <x:v>Raw tape net interest compared with certificate finance-charge collections; unexplained differences remain visible.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15" hidden="0" customHeight="1">
      <x:c r="A60" s="2"/>
      <x:c r="B60" s="2"/>
      <x:c r="C60" s="2" t="str">
        <x:v>CAOT-2024-2</x:v>
      </x:c>
      <x:c r="D60" s="31" t="n">
        <x:v>45626</x:v>
      </x:c>
      <x:c r="E60" s="2" t="str">
        <x:v>gross_chargeoffs_raw</x:v>
      </x:c>
      <x:c r="F60" s="35" t="n">
        <x:v>3541647.49</x:v>
      </x:c>
      <x:c r="G60" s="35" t="n">
        <x:v>2870597.45</x:v>
      </x:c>
      <x:c r="H60" s="2" t="str">
        <x:v>USD</x:v>
      </x:c>
      <x:c r="I60" s="50" t="str">
        <x:v>Raw chargedoffPrincipalAmount can recur following reinstatement; do not relabel every row a new default.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4" hidden="0" customHeight="1">
      <x:c r="A61" s="2"/>
      <x:c r="B61" s="2"/>
      <x:c r="C61" s="2" t="str">
        <x:v>CAOT-2024-2</x:v>
      </x:c>
      <x:c r="D61" s="31" t="n">
        <x:v>45626</x:v>
      </x:c>
      <x:c r="E61" s="2" t="str">
        <x:v>recoveries</x:v>
      </x:c>
      <x:c r="F61" s="35" t="n">
        <x:v>970184.05</x:v>
      </x:c>
      <x:c r="G61" s="35" t="n">
        <x:v>965301.4</x:v>
      </x:c>
      <x:c r="H61" s="2" t="str">
        <x:v>USD</x:v>
      </x:c>
      <x:c r="I61" s="50" t="str">
        <x:v>Recovered amounts are monthly flows, not cumulative; omitted fields remain SQL NULL and sum treats no reported flow as zero.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15" hidden="0" customHeight="1">
      <x:c r="A62" s="2"/>
      <x:c r="B62" s="2"/>
      <x:c r="C62" s="2" t="str">
        <x:v>CAOT-2024-2</x:v>
      </x:c>
      <x:c r="D62" s="31" t="n">
        <x:v>45657</x:v>
      </x:c>
      <x:c r="E62" s="2" t="str">
        <x:v>outstanding_loan_count</x:v>
      </x:c>
      <x:c r="F62" s="48" t="n">
        <x:v>67033</x:v>
      </x:c>
      <x:c r="G62" s="48" t="n">
        <x:v>67032</x:v>
      </x:c>
      <x:c r="H62" s="2" t="str">
        <x:v>loans</x:v>
      </x:c>
      <x:c r="I62" s="50" t="str">
        <x:v>Count strictly positive balances; tapes also retain paid/charged-off rows.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15" hidden="0" customHeight="1">
      <x:c r="A63" s="2"/>
      <x:c r="B63" s="2"/>
      <x:c r="C63" s="2" t="str">
        <x:v>CAOT-2024-2</x:v>
      </x:c>
      <x:c r="D63" s="31" t="n">
        <x:v>45657</x:v>
      </x:c>
      <x:c r="E63" s="2" t="str">
        <x:v>pool_begin</x:v>
      </x:c>
      <x:c r="F63" s="35" t="n">
        <x:v>1230183966.7</x:v>
      </x:c>
      <x:c r="G63" s="35" t="n">
        <x:v>1230185396.22</x:v>
      </x:c>
      <x:c r="H63" s="2" t="str">
        <x:v>USD</x:v>
      </x:c>
      <x:c r="I63" s="50" t="str">
        <x:v>Sum max(balance,0); small negative credit balances are not outstanding receivables.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15" hidden="0" customHeight="1">
      <x:c r="A64" s="2"/>
      <x:c r="B64" s="2"/>
      <x:c r="C64" s="2" t="str">
        <x:v>CAOT-2024-2</x:v>
      </x:c>
      <x:c r="D64" s="31" t="n">
        <x:v>45657</x:v>
      </x:c>
      <x:c r="E64" s="2" t="str">
        <x:v>pool_end</x:v>
      </x:c>
      <x:c r="F64" s="35" t="n">
        <x:v>1188804878.83</x:v>
      </x:c>
      <x:c r="G64" s="35" t="n">
        <x:v>1188805856.49</x:v>
      </x:c>
      <x:c r="H64" s="2" t="str">
        <x:v>USD</x:v>
      </x:c>
      <x:c r="I64" s="50" t="str">
        <x:v>Sum max(balance,0); small negative credit balances are not outstanding receivables.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15" hidden="0" customHeight="1">
      <x:c r="A65" s="2"/>
      <x:c r="B65" s="2"/>
      <x:c r="C65" s="2" t="str">
        <x:v>CAOT-2024-2</x:v>
      </x:c>
      <x:c r="D65" s="31" t="n">
        <x:v>45657</x:v>
      </x:c>
      <x:c r="E65" s="2" t="str">
        <x:v>principal_collected</x:v>
      </x:c>
      <x:c r="F65" s="35" t="n">
        <x:v>38875413.02</x:v>
      </x:c>
      <x:c r="G65" s="35" t="n">
        <x:v>38871141.55</x:v>
      </x:c>
      <x:c r="H65" s="2" t="str">
        <x:v>USD</x:v>
      </x:c>
      <x:c r="I65" s="50" t="str">
        <x:v>Raw loan principal includes non-cash reductions per issuer explanatory exhibit; certificate cash taxonomy differs.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15" hidden="0" customHeight="1">
      <x:c r="A66" s="2"/>
      <x:c r="B66" s="2"/>
      <x:c r="C66" s="2" t="str">
        <x:v>CAOT-2024-2</x:v>
      </x:c>
      <x:c r="D66" s="31" t="n">
        <x:v>45657</x:v>
      </x:c>
      <x:c r="E66" s="2" t="str">
        <x:v>interest_collected</x:v>
      </x:c>
      <x:c r="F66" s="35" t="n">
        <x:v>10331118.84</x:v>
      </x:c>
      <x:c r="G66" s="35" t="n">
        <x:v>11305451.74</x:v>
      </x:c>
      <x:c r="H66" s="2" t="str">
        <x:v>USD</x:v>
      </x:c>
      <x:c r="I66" s="50" t="str">
        <x:v>Raw tape net interest compared with certificate finance-charge collections; unexplained differences remain visible.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15" hidden="0" customHeight="1">
      <x:c r="A67" s="2"/>
      <x:c r="B67" s="2"/>
      <x:c r="C67" s="2" t="str">
        <x:v>CAOT-2024-2</x:v>
      </x:c>
      <x:c r="D67" s="31" t="n">
        <x:v>45657</x:v>
      </x:c>
      <x:c r="E67" s="2" t="str">
        <x:v>gross_chargeoffs_raw</x:v>
      </x:c>
      <x:c r="F67" s="35" t="n">
        <x:v>3420538.51</x:v>
      </x:c>
      <x:c r="G67" s="35" t="n">
        <x:v>2508398.18</x:v>
      </x:c>
      <x:c r="H67" s="2" t="str">
        <x:v>USD</x:v>
      </x:c>
      <x:c r="I67" s="50" t="str">
        <x:v>Raw chargedoffPrincipalAmount can recur following reinstatement; do not relabel every row a new default.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4" hidden="0" customHeight="1">
      <x:c r="A68" s="2"/>
      <x:c r="B68" s="2"/>
      <x:c r="C68" s="2" t="str">
        <x:v>CAOT-2024-2</x:v>
      </x:c>
      <x:c r="D68" s="31" t="n">
        <x:v>45657</x:v>
      </x:c>
      <x:c r="E68" s="2" t="str">
        <x:v>recoveries</x:v>
      </x:c>
      <x:c r="F68" s="35" t="n">
        <x:v>856683.08</x:v>
      </x:c>
      <x:c r="G68" s="35" t="n">
        <x:v>852399.9</x:v>
      </x:c>
      <x:c r="H68" s="2" t="str">
        <x:v>USD</x:v>
      </x:c>
      <x:c r="I68" s="50" t="str">
        <x:v>Recovered amounts are monthly flows, not cumulative; omitted fields remain SQL NULL and sum treats no reported flow as zero.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15" hidden="0" customHeight="1">
      <x:c r="A69" s="2"/>
      <x:c r="B69" s="2"/>
      <x:c r="C69" s="2" t="str">
        <x:v>CAOT-2024-2</x:v>
      </x:c>
      <x:c r="D69" s="31" t="n">
        <x:v>45688</x:v>
      </x:c>
      <x:c r="E69" s="2" t="str">
        <x:v>outstanding_loan_count</x:v>
      </x:c>
      <x:c r="F69" s="48" t="n">
        <x:v>65219</x:v>
      </x:c>
      <x:c r="G69" s="48" t="n">
        <x:v>65217</x:v>
      </x:c>
      <x:c r="H69" s="2" t="str">
        <x:v>loans</x:v>
      </x:c>
      <x:c r="I69" s="50" t="str">
        <x:v>Count strictly positive balances; tapes also retain paid/charged-off rows.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15" hidden="0" customHeight="1">
      <x:c r="A70" s="2"/>
      <x:c r="B70" s="2"/>
      <x:c r="C70" s="2" t="str">
        <x:v>CAOT-2024-2</x:v>
      </x:c>
      <x:c r="D70" s="31" t="n">
        <x:v>45688</x:v>
      </x:c>
      <x:c r="E70" s="2" t="str">
        <x:v>pool_begin</x:v>
      </x:c>
      <x:c r="F70" s="35" t="n">
        <x:v>1188804878.83</x:v>
      </x:c>
      <x:c r="G70" s="35" t="n">
        <x:v>1188805856.49</x:v>
      </x:c>
      <x:c r="H70" s="2" t="str">
        <x:v>USD</x:v>
      </x:c>
      <x:c r="I70" s="50" t="str">
        <x:v>Sum max(balance,0); small negative credit balances are not outstanding receivables.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15" hidden="0" customHeight="1">
      <x:c r="A71" s="2"/>
      <x:c r="B71" s="2"/>
      <x:c r="C71" s="2" t="str">
        <x:v>CAOT-2024-2</x:v>
      </x:c>
      <x:c r="D71" s="31" t="n">
        <x:v>45688</x:v>
      </x:c>
      <x:c r="E71" s="2" t="str">
        <x:v>pool_end</x:v>
      </x:c>
      <x:c r="F71" s="35" t="n">
        <x:v>1144918088.75</x:v>
      </x:c>
      <x:c r="G71" s="35" t="n">
        <x:v>1144917128.02</x:v>
      </x:c>
      <x:c r="H71" s="2" t="str">
        <x:v>USD</x:v>
      </x:c>
      <x:c r="I71" s="50" t="str">
        <x:v>Sum max(balance,0); small negative credit balances are not outstanding receivables.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15" hidden="0" customHeight="1">
      <x:c r="A72" s="2"/>
      <x:c r="B72" s="2"/>
      <x:c r="C72" s="2" t="str">
        <x:v>CAOT-2024-2</x:v>
      </x:c>
      <x:c r="D72" s="31" t="n">
        <x:v>45688</x:v>
      </x:c>
      <x:c r="E72" s="2" t="str">
        <x:v>principal_collected</x:v>
      </x:c>
      <x:c r="F72" s="35" t="n">
        <x:v>41410498.66</x:v>
      </x:c>
      <x:c r="G72" s="35" t="n">
        <x:v>41410326.79</x:v>
      </x:c>
      <x:c r="H72" s="2" t="str">
        <x:v>USD</x:v>
      </x:c>
      <x:c r="I72" s="50" t="str">
        <x:v>Raw loan principal includes non-cash reductions per issuer explanatory exhibit; certificate cash taxonomy differs.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15" hidden="0" customHeight="1">
      <x:c r="A73" s="2"/>
      <x:c r="B73" s="2"/>
      <x:c r="C73" s="2" t="str">
        <x:v>CAOT-2024-2</x:v>
      </x:c>
      <x:c r="D73" s="31" t="n">
        <x:v>45688</x:v>
      </x:c>
      <x:c r="E73" s="2" t="str">
        <x:v>interest_collected</x:v>
      </x:c>
      <x:c r="F73" s="35" t="n">
        <x:v>10464932.77</x:v>
      </x:c>
      <x:c r="G73" s="35" t="n">
        <x:v>11509062.81</x:v>
      </x:c>
      <x:c r="H73" s="2" t="str">
        <x:v>USD</x:v>
      </x:c>
      <x:c r="I73" s="50" t="str">
        <x:v>Raw tape net interest compared with certificate finance-charge collections; unexplained differences remain visible.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15" hidden="0" customHeight="1">
      <x:c r="A74" s="2"/>
      <x:c r="B74" s="2"/>
      <x:c r="C74" s="2" t="str">
        <x:v>CAOT-2024-2</x:v>
      </x:c>
      <x:c r="D74" s="31" t="n">
        <x:v>45688</x:v>
      </x:c>
      <x:c r="E74" s="2" t="str">
        <x:v>gross_chargeoffs_raw</x:v>
      </x:c>
      <x:c r="F74" s="35" t="n">
        <x:v>3630754.85</x:v>
      </x:c>
      <x:c r="G74" s="35" t="n">
        <x:v>2478401.68</x:v>
      </x:c>
      <x:c r="H74" s="2" t="str">
        <x:v>USD</x:v>
      </x:c>
      <x:c r="I74" s="50" t="str">
        <x:v>Raw chargedoffPrincipalAmount can recur following reinstatement; do not relabel every row a new default.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4" hidden="0" customHeight="1">
      <x:c r="A75" s="2"/>
      <x:c r="B75" s="2"/>
      <x:c r="C75" s="2" t="str">
        <x:v>CAOT-2024-2</x:v>
      </x:c>
      <x:c r="D75" s="31" t="n">
        <x:v>45688</x:v>
      </x:c>
      <x:c r="E75" s="2" t="str">
        <x:v>recoveries</x:v>
      </x:c>
      <x:c r="F75" s="35" t="n">
        <x:v>907076.56</x:v>
      </x:c>
      <x:c r="G75" s="35" t="n">
        <x:v>893440.69</x:v>
      </x:c>
      <x:c r="H75" s="2" t="str">
        <x:v>USD</x:v>
      </x:c>
      <x:c r="I75" s="50" t="str">
        <x:v>Recovered amounts are monthly flows, not cumulative; omitted fields remain SQL NULL and sum treats no reported flow as zero.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15" hidden="0" customHeight="1">
      <x:c r="A76" s="2"/>
      <x:c r="B76" s="2"/>
      <x:c r="C76" s="2" t="str">
        <x:v>CAOT-2024-2</x:v>
      </x:c>
      <x:c r="D76" s="31" t="n">
        <x:v>45716</x:v>
      </x:c>
      <x:c r="E76" s="2" t="str">
        <x:v>outstanding_loan_count</x:v>
      </x:c>
      <x:c r="F76" s="48" t="n">
        <x:v>63525</x:v>
      </x:c>
      <x:c r="G76" s="48" t="n">
        <x:v>63524</x:v>
      </x:c>
      <x:c r="H76" s="2" t="str">
        <x:v>loans</x:v>
      </x:c>
      <x:c r="I76" s="50" t="str">
        <x:v>Count strictly positive balances; tapes also retain paid/charged-off rows.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15" hidden="0" customHeight="1">
      <x:c r="A77" s="2"/>
      <x:c r="B77" s="2"/>
      <x:c r="C77" s="2" t="str">
        <x:v>CAOT-2024-2</x:v>
      </x:c>
      <x:c r="D77" s="31" t="n">
        <x:v>45716</x:v>
      </x:c>
      <x:c r="E77" s="2" t="str">
        <x:v>pool_begin</x:v>
      </x:c>
      <x:c r="F77" s="35" t="n">
        <x:v>1144918088.75</x:v>
      </x:c>
      <x:c r="G77" s="35" t="n">
        <x:v>1144917128.02</x:v>
      </x:c>
      <x:c r="H77" s="2" t="str">
        <x:v>USD</x:v>
      </x:c>
      <x:c r="I77" s="50" t="str">
        <x:v>Sum max(balance,0); small negative credit balances are not outstanding receivables.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15" hidden="0" customHeight="1">
      <x:c r="A78" s="2"/>
      <x:c r="B78" s="2"/>
      <x:c r="C78" s="2" t="str">
        <x:v>CAOT-2024-2</x:v>
      </x:c>
      <x:c r="D78" s="31" t="n">
        <x:v>45716</x:v>
      </x:c>
      <x:c r="E78" s="2" t="str">
        <x:v>pool_end</x:v>
      </x:c>
      <x:c r="F78" s="35" t="n">
        <x:v>1104988793.91</x:v>
      </x:c>
      <x:c r="G78" s="35" t="n">
        <x:v>1104987677.14</x:v>
      </x:c>
      <x:c r="H78" s="2" t="str">
        <x:v>USD</x:v>
      </x:c>
      <x:c r="I78" s="50" t="str">
        <x:v>Sum max(balance,0); small negative credit balances are not outstanding receivables.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15" hidden="0" customHeight="1">
      <x:c r="A79" s="2"/>
      <x:c r="B79" s="2"/>
      <x:c r="C79" s="2" t="str">
        <x:v>CAOT-2024-2</x:v>
      </x:c>
      <x:c r="D79" s="31" t="n">
        <x:v>45716</x:v>
      </x:c>
      <x:c r="E79" s="2" t="str">
        <x:v>principal_collected</x:v>
      </x:c>
      <x:c r="F79" s="35" t="n">
        <x:v>37522932.74</x:v>
      </x:c>
      <x:c r="G79" s="35" t="n">
        <x:v>37479883.3</x:v>
      </x:c>
      <x:c r="H79" s="2" t="str">
        <x:v>USD</x:v>
      </x:c>
      <x:c r="I79" s="50" t="str">
        <x:v>Raw loan principal includes non-cash reductions per issuer explanatory exhibit; certificate cash taxonomy differs.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15" hidden="0" customHeight="1">
      <x:c r="A80" s="2"/>
      <x:c r="B80" s="2"/>
      <x:c r="C80" s="2" t="str">
        <x:v>CAOT-2024-2</x:v>
      </x:c>
      <x:c r="D80" s="31" t="n">
        <x:v>45716</x:v>
      </x:c>
      <x:c r="E80" s="2" t="str">
        <x:v>interest_collected</x:v>
      </x:c>
      <x:c r="F80" s="35" t="n">
        <x:v>9626510.76</x:v>
      </x:c>
      <x:c r="G80" s="35" t="n">
        <x:v>10559601.08</x:v>
      </x:c>
      <x:c r="H80" s="2" t="str">
        <x:v>USD</x:v>
      </x:c>
      <x:c r="I80" s="50" t="str">
        <x:v>Raw tape net interest compared with certificate finance-charge collections; unexplained differences remain visible.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15" hidden="0" customHeight="1">
      <x:c r="A81" s="2"/>
      <x:c r="B81" s="2"/>
      <x:c r="C81" s="2" t="str">
        <x:v>CAOT-2024-2</x:v>
      </x:c>
      <x:c r="D81" s="31" t="n">
        <x:v>45716</x:v>
      </x:c>
      <x:c r="E81" s="2" t="str">
        <x:v>gross_chargeoffs_raw</x:v>
      </x:c>
      <x:c r="F81" s="35" t="n">
        <x:v>3405301.35</x:v>
      </x:c>
      <x:c r="G81" s="35" t="n">
        <x:v>2449567.58</x:v>
      </x:c>
      <x:c r="H81" s="2" t="str">
        <x:v>USD</x:v>
      </x:c>
      <x:c r="I81" s="50" t="str">
        <x:v>Raw chargedoffPrincipalAmount can recur following reinstatement; do not relabel every row a new default.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4" hidden="0" customHeight="1">
      <x:c r="A82" s="2"/>
      <x:c r="B82" s="2"/>
      <x:c r="C82" s="2" t="str">
        <x:v>CAOT-2024-2</x:v>
      </x:c>
      <x:c r="D82" s="31" t="n">
        <x:v>45716</x:v>
      </x:c>
      <x:c r="E82" s="2" t="str">
        <x:v>recoveries</x:v>
      </x:c>
      <x:c r="F82" s="35" t="n">
        <x:v>1122423.25</x:v>
      </x:c>
      <x:c r="G82" s="35" t="n">
        <x:v>1120598.25</x:v>
      </x:c>
      <x:c r="H82" s="2" t="str">
        <x:v>USD</x:v>
      </x:c>
      <x:c r="I82" s="50" t="str">
        <x:v>Recovered amounts are monthly flows, not cumulative; omitted fields remain SQL NULL and sum treats no reported flow as zero.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15" hidden="0" customHeight="1">
      <x:c r="A83" s="2"/>
      <x:c r="B83" s="2"/>
      <x:c r="C83" s="2" t="str">
        <x:v>CAOT-2024-2</x:v>
      </x:c>
      <x:c r="D83" s="31" t="n">
        <x:v>45747</x:v>
      </x:c>
      <x:c r="E83" s="2" t="str">
        <x:v>outstanding_loan_count</x:v>
      </x:c>
      <x:c r="F83" s="48" t="n">
        <x:v>61533</x:v>
      </x:c>
      <x:c r="G83" s="48" t="n">
        <x:v>61532</x:v>
      </x:c>
      <x:c r="H83" s="2" t="str">
        <x:v>loans</x:v>
      </x:c>
      <x:c r="I83" s="50" t="str">
        <x:v>Count strictly positive balances; tapes also retain paid/charged-off rows.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15" hidden="0" customHeight="1">
      <x:c r="A84" s="2"/>
      <x:c r="B84" s="2"/>
      <x:c r="C84" s="2" t="str">
        <x:v>CAOT-2024-2</x:v>
      </x:c>
      <x:c r="D84" s="31" t="n">
        <x:v>45747</x:v>
      </x:c>
      <x:c r="E84" s="2" t="str">
        <x:v>pool_begin</x:v>
      </x:c>
      <x:c r="F84" s="35" t="n">
        <x:v>1104988793.91</x:v>
      </x:c>
      <x:c r="G84" s="35" t="n">
        <x:v>1104987677.14</x:v>
      </x:c>
      <x:c r="H84" s="2" t="str">
        <x:v>USD</x:v>
      </x:c>
      <x:c r="I84" s="50" t="str">
        <x:v>Sum max(balance,0); small negative credit balances are not outstanding receivables.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15" hidden="0" customHeight="1">
      <x:c r="A85" s="2"/>
      <x:c r="B85" s="2"/>
      <x:c r="C85" s="2" t="str">
        <x:v>CAOT-2024-2</x:v>
      </x:c>
      <x:c r="D85" s="31" t="n">
        <x:v>45747</x:v>
      </x:c>
      <x:c r="E85" s="2" t="str">
        <x:v>pool_end</x:v>
      </x:c>
      <x:c r="F85" s="35" t="n">
        <x:v>1061971717.47</x:v>
      </x:c>
      <x:c r="G85" s="35" t="n">
        <x:v>1061969860.27</x:v>
      </x:c>
      <x:c r="H85" s="2" t="str">
        <x:v>USD</x:v>
      </x:c>
      <x:c r="I85" s="50" t="str">
        <x:v>Sum max(balance,0); small negative credit balances are not outstanding receivables.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15" hidden="0" customHeight="1">
      <x:c r="A86" s="2"/>
      <x:c r="B86" s="2"/>
      <x:c r="C86" s="2" t="str">
        <x:v>CAOT-2024-2</x:v>
      </x:c>
      <x:c r="D86" s="31" t="n">
        <x:v>45747</x:v>
      </x:c>
      <x:c r="E86" s="2" t="str">
        <x:v>principal_collected</x:v>
      </x:c>
      <x:c r="F86" s="35" t="n">
        <x:v>40079556.84</x:v>
      </x:c>
      <x:c r="G86" s="35" t="n">
        <x:v>40081084.15</x:v>
      </x:c>
      <x:c r="H86" s="2" t="str">
        <x:v>USD</x:v>
      </x:c>
      <x:c r="I86" s="50" t="str">
        <x:v>Raw loan principal includes non-cash reductions per issuer explanatory exhibit; certificate cash taxonomy differs.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15" hidden="0" customHeight="1">
      <x:c r="A87" s="2"/>
      <x:c r="B87" s="2"/>
      <x:c r="C87" s="2" t="str">
        <x:v>CAOT-2024-2</x:v>
      </x:c>
      <x:c r="D87" s="31" t="n">
        <x:v>45747</x:v>
      </x:c>
      <x:c r="E87" s="2" t="str">
        <x:v>interest_collected</x:v>
      </x:c>
      <x:c r="F87" s="35" t="n">
        <x:v>8907327.81</x:v>
      </x:c>
      <x:c r="G87" s="35" t="n">
        <x:v>9856469.13</x:v>
      </x:c>
      <x:c r="H87" s="2" t="str">
        <x:v>USD</x:v>
      </x:c>
      <x:c r="I87" s="50" t="str">
        <x:v>Raw tape net interest compared with certificate finance-charge collections; unexplained differences remain visible.</x:v>
      </x:c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15" hidden="0" customHeight="1">
      <x:c r="A88" s="2"/>
      <x:c r="B88" s="2"/>
      <x:c r="C88" s="2" t="str">
        <x:v>CAOT-2024-2</x:v>
      </x:c>
      <x:c r="D88" s="31" t="n">
        <x:v>45747</x:v>
      </x:c>
      <x:c r="E88" s="2" t="str">
        <x:v>gross_chargeoffs_raw</x:v>
      </x:c>
      <x:c r="F88" s="35" t="n">
        <x:v>3896912.93</x:v>
      </x:c>
      <x:c r="G88" s="35" t="n">
        <x:v>2936732.72</x:v>
      </x:c>
      <x:c r="H88" s="2" t="str">
        <x:v>USD</x:v>
      </x:c>
      <x:c r="I88" s="50" t="str">
        <x:v>Raw chargedoffPrincipalAmount can recur following reinstatement; do not relabel every row a new default.</x:v>
      </x:c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4" hidden="0" customHeight="1">
      <x:c r="A89" s="2"/>
      <x:c r="B89" s="2"/>
      <x:c r="C89" s="2" t="str">
        <x:v>CAOT-2024-2</x:v>
      </x:c>
      <x:c r="D89" s="31" t="n">
        <x:v>45747</x:v>
      </x:c>
      <x:c r="E89" s="2" t="str">
        <x:v>recoveries</x:v>
      </x:c>
      <x:c r="F89" s="35" t="n">
        <x:v>914389.28</x:v>
      </x:c>
      <x:c r="G89" s="35" t="n">
        <x:v>914814.28</x:v>
      </x:c>
      <x:c r="H89" s="2" t="str">
        <x:v>USD</x:v>
      </x:c>
      <x:c r="I89" s="50" t="str">
        <x:v>Recovered amounts are monthly flows, not cumulative; omitted fields remain SQL NULL and sum treats no reported flow as zero.</x:v>
      </x:c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15" hidden="0" customHeight="1">
      <x:c r="A90" s="2"/>
      <x:c r="B90" s="2"/>
      <x:c r="C90" s="2" t="str">
        <x:v>CAOT-2024-2</x:v>
      </x:c>
      <x:c r="D90" s="31" t="n">
        <x:v>45777</x:v>
      </x:c>
      <x:c r="E90" s="2" t="str">
        <x:v>outstanding_loan_count</x:v>
      </x:c>
      <x:c r="F90" s="48" t="n">
        <x:v>59605</x:v>
      </x:c>
      <x:c r="G90" s="48" t="n">
        <x:v>59604</x:v>
      </x:c>
      <x:c r="H90" s="2" t="str">
        <x:v>loans</x:v>
      </x:c>
      <x:c r="I90" s="50" t="str">
        <x:v>Count strictly positive balances; tapes also retain paid/charged-off rows.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15" hidden="0" customHeight="1">
      <x:c r="A91" s="2"/>
      <x:c r="B91" s="2"/>
      <x:c r="C91" s="2" t="str">
        <x:v>CAOT-2024-2</x:v>
      </x:c>
      <x:c r="D91" s="31" t="n">
        <x:v>45777</x:v>
      </x:c>
      <x:c r="E91" s="2" t="str">
        <x:v>pool_begin</x:v>
      </x:c>
      <x:c r="F91" s="35" t="n">
        <x:v>1061971717.47</x:v>
      </x:c>
      <x:c r="G91" s="35" t="n">
        <x:v>1061969860.27</x:v>
      </x:c>
      <x:c r="H91" s="2" t="str">
        <x:v>USD</x:v>
      </x:c>
      <x:c r="I91" s="50" t="str">
        <x:v>Sum max(balance,0); small negative credit balances are not outstanding receivables.</x:v>
      </x:c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15" hidden="0" customHeight="1">
      <x:c r="A92" s="2"/>
      <x:c r="B92" s="2"/>
      <x:c r="C92" s="2" t="str">
        <x:v>CAOT-2024-2</x:v>
      </x:c>
      <x:c r="D92" s="31" t="n">
        <x:v>45777</x:v>
      </x:c>
      <x:c r="E92" s="2" t="str">
        <x:v>pool_end</x:v>
      </x:c>
      <x:c r="F92" s="35" t="n">
        <x:v>1022067374.58</x:v>
      </x:c>
      <x:c r="G92" s="35" t="n">
        <x:v>1022064165.45</x:v>
      </x:c>
      <x:c r="H92" s="2" t="str">
        <x:v>USD</x:v>
      </x:c>
      <x:c r="I92" s="50" t="str">
        <x:v>Sum max(balance,0); small negative credit balances are not outstanding receivables.</x:v>
      </x:c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15" hidden="0" customHeight="1">
      <x:c r="A93" s="2"/>
      <x:c r="B93" s="2"/>
      <x:c r="C93" s="2" t="str">
        <x:v>CAOT-2024-2</x:v>
      </x:c>
      <x:c r="D93" s="31" t="n">
        <x:v>45777</x:v>
      </x:c>
      <x:c r="E93" s="2" t="str">
        <x:v>principal_collected</x:v>
      </x:c>
      <x:c r="F93" s="35" t="n">
        <x:v>37007298.16</x:v>
      </x:c>
      <x:c r="G93" s="35" t="n">
        <x:v>37031474.38</x:v>
      </x:c>
      <x:c r="H93" s="2" t="str">
        <x:v>USD</x:v>
      </x:c>
      <x:c r="I93" s="50" t="str">
        <x:v>Raw loan principal includes non-cash reductions per issuer explanatory exhibit; certificate cash taxonomy differs.</x:v>
      </x:c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15" hidden="0" customHeight="1">
      <x:c r="A94" s="2"/>
      <x:c r="B94" s="2"/>
      <x:c r="C94" s="2" t="str">
        <x:v>CAOT-2024-2</x:v>
      </x:c>
      <x:c r="D94" s="31" t="n">
        <x:v>45777</x:v>
      </x:c>
      <x:c r="E94" s="2" t="str">
        <x:v>interest_collected</x:v>
      </x:c>
      <x:c r="F94" s="35" t="n">
        <x:v>8787756.78</x:v>
      </x:c>
      <x:c r="G94" s="35" t="n">
        <x:v>9693701.23</x:v>
      </x:c>
      <x:c r="H94" s="2" t="str">
        <x:v>USD</x:v>
      </x:c>
      <x:c r="I94" s="50" t="str">
        <x:v>Raw tape net interest compared with certificate finance-charge collections; unexplained differences remain visible.</x:v>
      </x:c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15" hidden="0" customHeight="1">
      <x:c r="A95" s="2"/>
      <x:c r="B95" s="2"/>
      <x:c r="C95" s="2" t="str">
        <x:v>CAOT-2024-2</x:v>
      </x:c>
      <x:c r="D95" s="31" t="n">
        <x:v>45777</x:v>
      </x:c>
      <x:c r="E95" s="2" t="str">
        <x:v>gross_chargeoffs_raw</x:v>
      </x:c>
      <x:c r="F95" s="35" t="n">
        <x:v>3815902.68</x:v>
      </x:c>
      <x:c r="G95" s="35" t="n">
        <x:v>2874220.44</x:v>
      </x:c>
      <x:c r="H95" s="2" t="str">
        <x:v>USD</x:v>
      </x:c>
      <x:c r="I95" s="50" t="str">
        <x:v>Raw chargedoffPrincipalAmount can recur following reinstatement; do not relabel every row a new default.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4" hidden="0" customHeight="1">
      <x:c r="A96" s="2"/>
      <x:c r="B96" s="2"/>
      <x:c r="C96" s="2" t="str">
        <x:v>CAOT-2024-2</x:v>
      </x:c>
      <x:c r="D96" s="31" t="n">
        <x:v>45777</x:v>
      </x:c>
      <x:c r="E96" s="2" t="str">
        <x:v>recoveries</x:v>
      </x:c>
      <x:c r="F96" s="35" t="n">
        <x:v>1219592.84</x:v>
      </x:c>
      <x:c r="G96" s="35" t="n">
        <x:v>1218605.34</x:v>
      </x:c>
      <x:c r="H96" s="2" t="str">
        <x:v>USD</x:v>
      </x:c>
      <x:c r="I96" s="50" t="str">
        <x:v>Recovered amounts are monthly flows, not cumulative; omitted fields remain SQL NULL and sum treats no reported flow as zero.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15" hidden="0" customHeight="1">
      <x:c r="A97" s="2"/>
      <x:c r="B97" s="2"/>
      <x:c r="C97" s="2" t="str">
        <x:v>CAOT-2024-2</x:v>
      </x:c>
      <x:c r="D97" s="31" t="n">
        <x:v>45808</x:v>
      </x:c>
      <x:c r="E97" s="2" t="str">
        <x:v>outstanding_loan_count</x:v>
      </x:c>
      <x:c r="F97" s="48" t="n">
        <x:v>57823</x:v>
      </x:c>
      <x:c r="G97" s="48" t="n">
        <x:v>57823</x:v>
      </x:c>
      <x:c r="H97" s="2" t="str">
        <x:v>loans</x:v>
      </x:c>
      <x:c r="I97" s="50" t="str">
        <x:v>Count strictly positive balances; tapes also retain paid/charged-off rows.</x:v>
      </x:c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15" hidden="0" customHeight="1">
      <x:c r="A98" s="2"/>
      <x:c r="B98" s="2"/>
      <x:c r="C98" s="2" t="str">
        <x:v>CAOT-2024-2</x:v>
      </x:c>
      <x:c r="D98" s="31" t="n">
        <x:v>45808</x:v>
      </x:c>
      <x:c r="E98" s="2" t="str">
        <x:v>pool_begin</x:v>
      </x:c>
      <x:c r="F98" s="35" t="n">
        <x:v>1022067374.58</x:v>
      </x:c>
      <x:c r="G98" s="35" t="n">
        <x:v>1022064165.45</x:v>
      </x:c>
      <x:c r="H98" s="2" t="str">
        <x:v>USD</x:v>
      </x:c>
      <x:c r="I98" s="50" t="str">
        <x:v>Sum max(balance,0); small negative credit balances are not outstanding receivables.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15" hidden="0" customHeight="1">
      <x:c r="A99" s="2"/>
      <x:c r="B99" s="2"/>
      <x:c r="C99" s="2" t="str">
        <x:v>CAOT-2024-2</x:v>
      </x:c>
      <x:c r="D99" s="31" t="n">
        <x:v>45808</x:v>
      </x:c>
      <x:c r="E99" s="2" t="str">
        <x:v>pool_end</x:v>
      </x:c>
      <x:c r="F99" s="35" t="n">
        <x:v>983630218.08</x:v>
      </x:c>
      <x:c r="G99" s="35" t="n">
        <x:v>983625997.02</x:v>
      </x:c>
      <x:c r="H99" s="2" t="str">
        <x:v>USD</x:v>
      </x:c>
      <x:c r="I99" s="50" t="str">
        <x:v>Sum max(balance,0); small negative credit balances are not outstanding receivables.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15" hidden="0" customHeight="1">
      <x:c r="A100" s="2"/>
      <x:c r="B100" s="2"/>
      <x:c r="C100" s="2" t="str">
        <x:v>CAOT-2024-2</x:v>
      </x:c>
      <x:c r="D100" s="31" t="n">
        <x:v>45808</x:v>
      </x:c>
      <x:c r="E100" s="2" t="str">
        <x:v>principal_collected</x:v>
      </x:c>
      <x:c r="F100" s="35" t="n">
        <x:v>35623710.21</x:v>
      </x:c>
      <x:c r="G100" s="35" t="n">
        <x:v>35600189.49</x:v>
      </x:c>
      <x:c r="H100" s="2" t="str">
        <x:v>USD</x:v>
      </x:c>
      <x:c r="I100" s="50" t="str">
        <x:v>Raw loan principal includes non-cash reductions per issuer explanatory exhibit; certificate cash taxonomy differs.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 ht="15" hidden="0" customHeight="1">
      <x:c r="C101" s="1" t="str">
        <x:v>CAOT-2024-2</x:v>
      </x:c>
      <x:c r="D101" s="32" t="n">
        <x:v>45808</x:v>
      </x:c>
      <x:c r="E101" s="1" t="str">
        <x:v>interest_collected</x:v>
      </x:c>
      <x:c r="F101" s="36" t="n">
        <x:v>8690976.19</x:v>
      </x:c>
      <x:c r="G101" s="36" t="n">
        <x:v>9614254.21</x:v>
      </x:c>
      <x:c r="H101" s="1" t="str">
        <x:v>USD</x:v>
      </x:c>
      <x:c r="I101" s="51" t="str">
        <x:v>Raw tape net interest compared with certificate finance-charge collections; unexplained differences remain visible.</x:v>
      </x:c>
    </x:row>
    <x:row r="102" ht="15" hidden="0" customHeight="1">
      <x:c r="C102" s="1" t="str">
        <x:v>CAOT-2024-2</x:v>
      </x:c>
      <x:c r="D102" s="32" t="n">
        <x:v>45808</x:v>
      </x:c>
      <x:c r="E102" s="1" t="str">
        <x:v>gross_chargeoffs_raw</x:v>
      </x:c>
      <x:c r="F102" s="36" t="n">
        <x:v>3659541.74</x:v>
      </x:c>
      <x:c r="G102" s="36" t="n">
        <x:v>2837978.94</x:v>
      </x:c>
      <x:c r="H102" s="1" t="str">
        <x:v>USD</x:v>
      </x:c>
      <x:c r="I102" s="51" t="str">
        <x:v>Raw chargedoffPrincipalAmount can recur following reinstatement; do not relabel every row a new default.</x:v>
      </x:c>
    </x:row>
    <x:row r="103" ht="24" hidden="0" customHeight="1">
      <x:c r="C103" s="1" t="str">
        <x:v>CAOT-2024-2</x:v>
      </x:c>
      <x:c r="D103" s="32" t="n">
        <x:v>45808</x:v>
      </x:c>
      <x:c r="E103" s="1" t="str">
        <x:v>recoveries</x:v>
      </x:c>
      <x:c r="F103" s="36" t="n">
        <x:v>880508.19</x:v>
      </x:c>
      <x:c r="G103" s="36" t="n">
        <x:v>883959.49</x:v>
      </x:c>
      <x:c r="H103" s="1" t="str">
        <x:v>USD</x:v>
      </x:c>
      <x:c r="I103" s="51" t="str">
        <x:v>Recovered amounts are monthly flows, not cumulative; omitted fields remain SQL NULL and sum treats no reported flow as zero.</x:v>
      </x:c>
    </x:row>
    <x:row r="104" ht="15" hidden="0" customHeight="1">
      <x:c r="C104" s="1" t="str">
        <x:v>CAOT-2024-2</x:v>
      </x:c>
      <x:c r="D104" s="32" t="n">
        <x:v>45838</x:v>
      </x:c>
      <x:c r="E104" s="1" t="str">
        <x:v>outstanding_loan_count</x:v>
      </x:c>
      <x:c r="F104" s="49" t="n">
        <x:v>56042</x:v>
      </x:c>
      <x:c r="G104" s="49" t="n">
        <x:v>56042</x:v>
      </x:c>
      <x:c r="H104" s="1" t="str">
        <x:v>loans</x:v>
      </x:c>
      <x:c r="I104" s="51" t="str">
        <x:v>Count strictly positive balances; tapes also retain paid/charged-off rows.</x:v>
      </x:c>
    </x:row>
    <x:row r="105" ht="15" hidden="0" customHeight="1">
      <x:c r="C105" s="1" t="str">
        <x:v>CAOT-2024-2</x:v>
      </x:c>
      <x:c r="D105" s="32" t="n">
        <x:v>45838</x:v>
      </x:c>
      <x:c r="E105" s="1" t="str">
        <x:v>pool_begin</x:v>
      </x:c>
      <x:c r="F105" s="36" t="n">
        <x:v>983630218.08</x:v>
      </x:c>
      <x:c r="G105" s="36" t="n">
        <x:v>983625997.02</x:v>
      </x:c>
      <x:c r="H105" s="1" t="str">
        <x:v>USD</x:v>
      </x:c>
      <x:c r="I105" s="51" t="str">
        <x:v>Sum max(balance,0); small negative credit balances are not outstanding receivables.</x:v>
      </x:c>
    </x:row>
    <x:row r="106" ht="15" hidden="0" customHeight="1">
      <x:c r="C106" s="1" t="str">
        <x:v>CAOT-2024-2</x:v>
      </x:c>
      <x:c r="D106" s="32" t="n">
        <x:v>45838</x:v>
      </x:c>
      <x:c r="E106" s="1" t="str">
        <x:v>pool_end</x:v>
      </x:c>
      <x:c r="F106" s="36" t="n">
        <x:v>946701375.47</x:v>
      </x:c>
      <x:c r="G106" s="36" t="n">
        <x:v>946692553.77</x:v>
      </x:c>
      <x:c r="H106" s="1" t="str">
        <x:v>USD</x:v>
      </x:c>
      <x:c r="I106" s="51" t="str">
        <x:v>Sum max(balance,0); small negative credit balances are not outstanding receivables.</x:v>
      </x:c>
    </x:row>
    <x:row r="107" ht="15" hidden="0" customHeight="1">
      <x:c r="C107" s="1" t="str">
        <x:v>CAOT-2024-2</x:v>
      </x:c>
      <x:c r="D107" s="32" t="n">
        <x:v>45838</x:v>
      </x:c>
      <x:c r="E107" s="1" t="str">
        <x:v>principal_collected</x:v>
      </x:c>
      <x:c r="F107" s="36" t="n">
        <x:v>33663339.8</x:v>
      </x:c>
      <x:c r="G107" s="36" t="n">
        <x:v>33660856.26</x:v>
      </x:c>
      <x:c r="H107" s="1" t="str">
        <x:v>USD</x:v>
      </x:c>
      <x:c r="I107" s="51" t="str">
        <x:v>Raw loan principal includes non-cash reductions per issuer explanatory exhibit; certificate cash taxonomy differs.</x:v>
      </x:c>
    </x:row>
    <x:row r="108" ht="15" hidden="0" customHeight="1">
      <x:c r="C108" s="1" t="str">
        <x:v>CAOT-2024-2</x:v>
      </x:c>
      <x:c r="D108" s="32" t="n">
        <x:v>45838</x:v>
      </x:c>
      <x:c r="E108" s="1" t="str">
        <x:v>interest_collected</x:v>
      </x:c>
      <x:c r="F108" s="36" t="n">
        <x:v>8312256.1</x:v>
      </x:c>
      <x:c r="G108" s="36" t="n">
        <x:v>9177389.23</x:v>
      </x:c>
      <x:c r="H108" s="1" t="str">
        <x:v>USD</x:v>
      </x:c>
      <x:c r="I108" s="51" t="str">
        <x:v>Raw tape net interest compared with certificate finance-charge collections; unexplained differences remain visible.</x:v>
      </x:c>
    </x:row>
    <x:row r="109" ht="15" hidden="0" customHeight="1">
      <x:c r="C109" s="1" t="str">
        <x:v>CAOT-2024-2</x:v>
      </x:c>
      <x:c r="D109" s="32" t="n">
        <x:v>45838</x:v>
      </x:c>
      <x:c r="E109" s="1" t="str">
        <x:v>gross_chargeoffs_raw</x:v>
      </x:c>
      <x:c r="F109" s="36" t="n">
        <x:v>4750953.17</x:v>
      </x:c>
      <x:c r="G109" s="36" t="n">
        <x:v>3272586.99</x:v>
      </x:c>
      <x:c r="H109" s="1" t="str">
        <x:v>USD</x:v>
      </x:c>
      <x:c r="I109" s="51" t="str">
        <x:v>Raw chargedoffPrincipalAmount can recur following reinstatement; do not relabel every row a new default.</x:v>
      </x:c>
    </x:row>
    <x:row r="110" ht="24" hidden="0" customHeight="1">
      <x:c r="C110" s="1" t="str">
        <x:v>CAOT-2024-2</x:v>
      </x:c>
      <x:c r="D110" s="32" t="n">
        <x:v>45838</x:v>
      </x:c>
      <x:c r="E110" s="1" t="str">
        <x:v>recoveries</x:v>
      </x:c>
      <x:c r="F110" s="36" t="n">
        <x:v>1324038.79</x:v>
      </x:c>
      <x:c r="G110" s="36" t="n">
        <x:v>1324210.67</x:v>
      </x:c>
      <x:c r="H110" s="1" t="str">
        <x:v>USD</x:v>
      </x:c>
      <x:c r="I110" s="51" t="str">
        <x:v>Recovered amounts are monthly flows, not cumulative; omitted fields remain SQL NULL and sum treats no reported flow as zero.</x:v>
      </x:c>
    </x:row>
    <x:row r="111" ht="15" hidden="0" customHeight="1">
      <x:c r="C111" s="1" t="str">
        <x:v>CAOT-2024-2</x:v>
      </x:c>
      <x:c r="D111" s="32" t="n">
        <x:v>45869</x:v>
      </x:c>
      <x:c r="E111" s="1" t="str">
        <x:v>outstanding_loan_count</x:v>
      </x:c>
      <x:c r="F111" s="49" t="n">
        <x:v>54248</x:v>
      </x:c>
      <x:c r="G111" s="49" t="n">
        <x:v>54246</x:v>
      </x:c>
      <x:c r="H111" s="1" t="str">
        <x:v>loans</x:v>
      </x:c>
      <x:c r="I111" s="51" t="str">
        <x:v>Count strictly positive balances; tapes also retain paid/charged-off rows.</x:v>
      </x:c>
    </x:row>
    <x:row r="112" ht="15" hidden="0" customHeight="1">
      <x:c r="C112" s="1" t="str">
        <x:v>CAOT-2024-2</x:v>
      </x:c>
      <x:c r="D112" s="32" t="n">
        <x:v>45869</x:v>
      </x:c>
      <x:c r="E112" s="1" t="str">
        <x:v>pool_begin</x:v>
      </x:c>
      <x:c r="F112" s="36" t="n">
        <x:v>946701375.47</x:v>
      </x:c>
      <x:c r="G112" s="36" t="n">
        <x:v>946692553.77</x:v>
      </x:c>
      <x:c r="H112" s="1" t="str">
        <x:v>USD</x:v>
      </x:c>
      <x:c r="I112" s="51" t="str">
        <x:v>Sum max(balance,0); small negative credit balances are not outstanding receivables.</x:v>
      </x:c>
    </x:row>
    <x:row r="113" ht="15" hidden="0" customHeight="1">
      <x:c r="C113" s="1" t="str">
        <x:v>CAOT-2024-2</x:v>
      </x:c>
      <x:c r="D113" s="32" t="n">
        <x:v>45869</x:v>
      </x:c>
      <x:c r="E113" s="1" t="str">
        <x:v>pool_end</x:v>
      </x:c>
      <x:c r="F113" s="36" t="n">
        <x:v>907467862.89</x:v>
      </x:c>
      <x:c r="G113" s="36" t="n">
        <x:v>907461735.19</x:v>
      </x:c>
      <x:c r="H113" s="1" t="str">
        <x:v>USD</x:v>
      </x:c>
      <x:c r="I113" s="51" t="str">
        <x:v>Sum max(balance,0); small negative credit balances are not outstanding receivables.</x:v>
      </x:c>
    </x:row>
    <x:row r="114" ht="15" hidden="0" customHeight="1">
      <x:c r="C114" s="1" t="str">
        <x:v>CAOT-2024-2</x:v>
      </x:c>
      <x:c r="D114" s="32" t="n">
        <x:v>45869</x:v>
      </x:c>
      <x:c r="E114" s="1" t="str">
        <x:v>principal_collected</x:v>
      </x:c>
      <x:c r="F114" s="36" t="n">
        <x:v>36395798.74</x:v>
      </x:c>
      <x:c r="G114" s="36" t="n">
        <x:v>36379147.69</x:v>
      </x:c>
      <x:c r="H114" s="1" t="str">
        <x:v>USD</x:v>
      </x:c>
      <x:c r="I114" s="51" t="str">
        <x:v>Raw loan principal includes non-cash reductions per issuer explanatory exhibit; certificate cash taxonomy differs.</x:v>
      </x:c>
    </x:row>
    <x:row r="115" ht="15" hidden="0" customHeight="1">
      <x:c r="C115" s="1" t="str">
        <x:v>CAOT-2024-2</x:v>
      </x:c>
      <x:c r="D115" s="32" t="n">
        <x:v>45869</x:v>
      </x:c>
      <x:c r="E115" s="1" t="str">
        <x:v>interest_collected</x:v>
      </x:c>
      <x:c r="F115" s="36" t="n">
        <x:v>8020048.55</x:v>
      </x:c>
      <x:c r="G115" s="36" t="n">
        <x:v>8865312.64</x:v>
      </x:c>
      <x:c r="H115" s="1" t="str">
        <x:v>USD</x:v>
      </x:c>
      <x:c r="I115" s="51" t="str">
        <x:v>Raw tape net interest compared with certificate finance-charge collections; unexplained differences remain visible.</x:v>
      </x:c>
    </x:row>
    <x:row r="116" ht="15" hidden="0" customHeight="1">
      <x:c r="C116" s="1" t="str">
        <x:v>CAOT-2024-2</x:v>
      </x:c>
      <x:c r="D116" s="32" t="n">
        <x:v>45869</x:v>
      </x:c>
      <x:c r="E116" s="1" t="str">
        <x:v>gross_chargeoffs_raw</x:v>
      </x:c>
      <x:c r="F116" s="36" t="n">
        <x:v>4145106.45</x:v>
      </x:c>
      <x:c r="G116" s="36" t="n">
        <x:v>2851670.89</x:v>
      </x:c>
      <x:c r="H116" s="1" t="str">
        <x:v>USD</x:v>
      </x:c>
      <x:c r="I116" s="51" t="str">
        <x:v>Raw chargedoffPrincipalAmount can recur following reinstatement; do not relabel every row a new default.</x:v>
      </x:c>
    </x:row>
    <x:row r="117" ht="24" hidden="0" customHeight="1">
      <x:c r="C117" s="1" t="str">
        <x:v>CAOT-2024-2</x:v>
      </x:c>
      <x:c r="D117" s="32" t="n">
        <x:v>45869</x:v>
      </x:c>
      <x:c r="E117" s="1" t="str">
        <x:v>recoveries</x:v>
      </x:c>
      <x:c r="F117" s="36" t="n">
        <x:v>1340252.97</x:v>
      </x:c>
      <x:c r="G117" s="36" t="n">
        <x:v>1335746.54</x:v>
      </x:c>
      <x:c r="H117" s="1" t="str">
        <x:v>USD</x:v>
      </x:c>
      <x:c r="I117" s="51" t="str">
        <x:v>Recovered amounts are monthly flows, not cumulative; omitted fields remain SQL NULL and sum treats no reported flow as zero.</x:v>
      </x:c>
    </x:row>
    <x:row r="118" ht="15" hidden="0" customHeight="1">
      <x:c r="C118" s="1" t="str">
        <x:v>CAOT-2024-2</x:v>
      </x:c>
      <x:c r="D118" s="32" t="n">
        <x:v>45900</x:v>
      </x:c>
      <x:c r="E118" s="1" t="str">
        <x:v>outstanding_loan_count</x:v>
      </x:c>
      <x:c r="F118" s="49" t="n">
        <x:v>52434</x:v>
      </x:c>
      <x:c r="G118" s="49" t="n">
        <x:v>52434</x:v>
      </x:c>
      <x:c r="H118" s="1" t="str">
        <x:v>loans</x:v>
      </x:c>
      <x:c r="I118" s="51" t="str">
        <x:v>Count strictly positive balances; tapes also retain paid/charged-off rows.</x:v>
      </x:c>
    </x:row>
    <x:row r="119" ht="15" hidden="0" customHeight="1">
      <x:c r="C119" s="1" t="str">
        <x:v>CAOT-2024-2</x:v>
      </x:c>
      <x:c r="D119" s="32" t="n">
        <x:v>45900</x:v>
      </x:c>
      <x:c r="E119" s="1" t="str">
        <x:v>pool_begin</x:v>
      </x:c>
      <x:c r="F119" s="36" t="n">
        <x:v>907467862.89</x:v>
      </x:c>
      <x:c r="G119" s="36" t="n">
        <x:v>907461735.19</x:v>
      </x:c>
      <x:c r="H119" s="1" t="str">
        <x:v>USD</x:v>
      </x:c>
      <x:c r="I119" s="51" t="str">
        <x:v>Sum max(balance,0); small negative credit balances are not outstanding receivables.</x:v>
      </x:c>
    </x:row>
    <x:row r="120" ht="15" hidden="0" customHeight="1">
      <x:c r="C120" s="1" t="str">
        <x:v>CAOT-2024-2</x:v>
      </x:c>
      <x:c r="D120" s="32" t="n">
        <x:v>45900</x:v>
      </x:c>
      <x:c r="E120" s="1" t="str">
        <x:v>pool_end</x:v>
      </x:c>
      <x:c r="F120" s="36" t="n">
        <x:v>870800856.74</x:v>
      </x:c>
      <x:c r="G120" s="36" t="n">
        <x:v>870792107.85</x:v>
      </x:c>
      <x:c r="H120" s="1" t="str">
        <x:v>USD</x:v>
      </x:c>
      <x:c r="I120" s="51" t="str">
        <x:v>Sum max(balance,0); small negative credit balances are not outstanding receivables.</x:v>
      </x:c>
    </x:row>
    <x:row r="121" ht="15" hidden="0" customHeight="1">
      <x:c r="C121" s="1" t="str">
        <x:v>CAOT-2024-2</x:v>
      </x:c>
      <x:c r="D121" s="32" t="n">
        <x:v>45900</x:v>
      </x:c>
      <x:c r="E121" s="1" t="str">
        <x:v>principal_collected</x:v>
      </x:c>
      <x:c r="F121" s="36" t="n">
        <x:v>33596751.6</x:v>
      </x:c>
      <x:c r="G121" s="36" t="n">
        <x:v>33620743.89</x:v>
      </x:c>
      <x:c r="H121" s="1" t="str">
        <x:v>USD</x:v>
      </x:c>
      <x:c r="I121" s="51" t="str">
        <x:v>Raw loan principal includes non-cash reductions per issuer explanatory exhibit; certificate cash taxonomy differs.</x:v>
      </x:c>
    </x:row>
    <x:row r="122" ht="15" hidden="0" customHeight="1">
      <x:c r="C122" s="1" t="str">
        <x:v>CAOT-2024-2</x:v>
      </x:c>
      <x:c r="D122" s="32" t="n">
        <x:v>45900</x:v>
      </x:c>
      <x:c r="E122" s="1" t="str">
        <x:v>interest_collected</x:v>
      </x:c>
      <x:c r="F122" s="36" t="n">
        <x:v>7870922.89</x:v>
      </x:c>
      <x:c r="G122" s="36" t="n">
        <x:v>8706474.64</x:v>
      </x:c>
      <x:c r="H122" s="1" t="str">
        <x:v>USD</x:v>
      </x:c>
      <x:c r="I122" s="51" t="str">
        <x:v>Raw tape net interest compared with certificate finance-charge collections; unexplained differences remain visible.</x:v>
      </x:c>
    </x:row>
    <x:row r="123" ht="15" hidden="0" customHeight="1">
      <x:c r="C123" s="1" t="str">
        <x:v>CAOT-2024-2</x:v>
      </x:c>
      <x:c r="D123" s="32" t="n">
        <x:v>45900</x:v>
      </x:c>
      <x:c r="E123" s="1" t="str">
        <x:v>gross_chargeoffs_raw</x:v>
      </x:c>
      <x:c r="F123" s="36" t="n">
        <x:v>4214412.55</x:v>
      </x:c>
      <x:c r="G123" s="36" t="n">
        <x:v>3048883.45</x:v>
      </x:c>
      <x:c r="H123" s="1" t="str">
        <x:v>USD</x:v>
      </x:c>
      <x:c r="I123" s="51" t="str">
        <x:v>Raw chargedoffPrincipalAmount can recur following reinstatement; do not relabel every row a new default.</x:v>
      </x:c>
    </x:row>
    <x:row r="124" ht="24" hidden="0" customHeight="1">
      <x:c r="C124" s="1" t="str">
        <x:v>CAOT-2024-2</x:v>
      </x:c>
      <x:c r="D124" s="32" t="n">
        <x:v>45900</x:v>
      </x:c>
      <x:c r="E124" s="1" t="str">
        <x:v>recoveries</x:v>
      </x:c>
      <x:c r="F124" s="36" t="n">
        <x:v>1138012.24</x:v>
      </x:c>
      <x:c r="G124" s="36" t="n">
        <x:v>1135763.41</x:v>
      </x:c>
      <x:c r="H124" s="1" t="str">
        <x:v>USD</x:v>
      </x:c>
      <x:c r="I124" s="51" t="str">
        <x:v>Recovered amounts are monthly flows, not cumulative; omitted fields remain SQL NULL and sum treats no reported flow as zero.</x:v>
      </x:c>
    </x:row>
    <x:row r="125" ht="15" hidden="0" customHeight="1">
      <x:c r="C125" s="1" t="str">
        <x:v>CAOT-2024-2</x:v>
      </x:c>
      <x:c r="D125" s="32" t="n">
        <x:v>45930</x:v>
      </x:c>
      <x:c r="E125" s="1" t="str">
        <x:v>outstanding_loan_count</x:v>
      </x:c>
      <x:c r="F125" s="49" t="n">
        <x:v>50535</x:v>
      </x:c>
      <x:c r="G125" s="49" t="n">
        <x:v>50535</x:v>
      </x:c>
      <x:c r="H125" s="1" t="str">
        <x:v>loans</x:v>
      </x:c>
      <x:c r="I125" s="51" t="str">
        <x:v>Count strictly positive balances; tapes also retain paid/charged-off rows.</x:v>
      </x:c>
    </x:row>
    <x:row r="126" ht="15" hidden="0" customHeight="1">
      <x:c r="C126" s="1" t="str">
        <x:v>CAOT-2024-2</x:v>
      </x:c>
      <x:c r="D126" s="32" t="n">
        <x:v>45930</x:v>
      </x:c>
      <x:c r="E126" s="1" t="str">
        <x:v>pool_begin</x:v>
      </x:c>
      <x:c r="F126" s="36" t="n">
        <x:v>870800856.74</x:v>
      </x:c>
      <x:c r="G126" s="36" t="n">
        <x:v>870792107.85</x:v>
      </x:c>
      <x:c r="H126" s="1" t="str">
        <x:v>USD</x:v>
      </x:c>
      <x:c r="I126" s="51" t="str">
        <x:v>Sum max(balance,0); small negative credit balances are not outstanding receivables.</x:v>
      </x:c>
    </x:row>
    <x:row r="127" ht="15" hidden="0" customHeight="1">
      <x:c r="C127" s="1" t="str">
        <x:v>CAOT-2024-2</x:v>
      </x:c>
      <x:c r="D127" s="32" t="n">
        <x:v>45930</x:v>
      </x:c>
      <x:c r="E127" s="1" t="str">
        <x:v>pool_end</x:v>
      </x:c>
      <x:c r="F127" s="36" t="n">
        <x:v>837480429.07</x:v>
      </x:c>
      <x:c r="G127" s="36" t="n">
        <x:v>837474137.51</x:v>
      </x:c>
      <x:c r="H127" s="1" t="str">
        <x:v>USD</x:v>
      </x:c>
      <x:c r="I127" s="51" t="str">
        <x:v>Sum max(balance,0); small negative credit balances are not outstanding receivables.</x:v>
      </x:c>
    </x:row>
    <x:row r="128" ht="15" hidden="0" customHeight="1">
      <x:c r="C128" s="1" t="str">
        <x:v>CAOT-2024-2</x:v>
      </x:c>
      <x:c r="D128" s="32" t="n">
        <x:v>45930</x:v>
      </x:c>
      <x:c r="E128" s="1" t="str">
        <x:v>principal_collected</x:v>
      </x:c>
      <x:c r="F128" s="36" t="n">
        <x:v>30156047.3</x:v>
      </x:c>
      <x:c r="G128" s="36" t="n">
        <x:v>30172603.67</x:v>
      </x:c>
      <x:c r="H128" s="1" t="str">
        <x:v>USD</x:v>
      </x:c>
      <x:c r="I128" s="51" t="str">
        <x:v>Raw loan principal includes non-cash reductions per issuer explanatory exhibit; certificate cash taxonomy differs.</x:v>
      </x:c>
    </x:row>
    <x:row r="129" ht="15" hidden="0" customHeight="1">
      <x:c r="C129" s="1" t="str">
        <x:v>CAOT-2024-2</x:v>
      </x:c>
      <x:c r="D129" s="32" t="n">
        <x:v>45930</x:v>
      </x:c>
      <x:c r="E129" s="1" t="str">
        <x:v>interest_collected</x:v>
      </x:c>
      <x:c r="F129" s="36" t="n">
        <x:v>7337736.17</x:v>
      </x:c>
      <x:c r="G129" s="36" t="n">
        <x:v>8155261.59</x:v>
      </x:c>
      <x:c r="H129" s="1" t="str">
        <x:v>USD</x:v>
      </x:c>
      <x:c r="I129" s="51" t="str">
        <x:v>Raw tape net interest compared with certificate finance-charge collections; unexplained differences remain visible.</x:v>
      </x:c>
    </x:row>
    <x:row r="130" ht="15" hidden="0" customHeight="1">
      <x:c r="C130" s="1" t="str">
        <x:v>CAOT-2024-2</x:v>
      </x:c>
      <x:c r="D130" s="32" t="n">
        <x:v>45930</x:v>
      </x:c>
      <x:c r="E130" s="1" t="str">
        <x:v>gross_chargeoffs_raw</x:v>
      </x:c>
      <x:c r="F130" s="36" t="n">
        <x:v>4829670.62</x:v>
      </x:c>
      <x:c r="G130" s="36" t="n">
        <x:v>3145366.67</x:v>
      </x:c>
      <x:c r="H130" s="1" t="str">
        <x:v>USD</x:v>
      </x:c>
      <x:c r="I130" s="51" t="str">
        <x:v>Raw chargedoffPrincipalAmount can recur following reinstatement; do not relabel every row a new default.</x:v>
      </x:c>
    </x:row>
    <x:row r="131" ht="24" hidden="0" customHeight="1">
      <x:c r="C131" s="1" t="str">
        <x:v>CAOT-2024-2</x:v>
      </x:c>
      <x:c r="D131" s="32" t="n">
        <x:v>45930</x:v>
      </x:c>
      <x:c r="E131" s="1" t="str">
        <x:v>recoveries</x:v>
      </x:c>
      <x:c r="F131" s="36" t="n">
        <x:v>1362019.89</x:v>
      </x:c>
      <x:c r="G131" s="36" t="n">
        <x:v>1183308.05</x:v>
      </x:c>
      <x:c r="H131" s="1" t="str">
        <x:v>USD</x:v>
      </x:c>
      <x:c r="I131" s="51" t="str">
        <x:v>Recovered amounts are monthly flows, not cumulative; omitted fields remain SQL NULL and sum treats no reported flow as zero.</x:v>
      </x:c>
    </x:row>
    <x:row r="132" ht="15" hidden="0" customHeight="1">
      <x:c r="C132" s="1" t="str">
        <x:v>CAOT-2024-2</x:v>
      </x:c>
      <x:c r="D132" s="32" t="n">
        <x:v>45961</x:v>
      </x:c>
      <x:c r="E132" s="1" t="str">
        <x:v>outstanding_loan_count</x:v>
      </x:c>
      <x:c r="F132" s="49" t="n">
        <x:v>48742</x:v>
      </x:c>
      <x:c r="G132" s="49" t="n">
        <x:v>48740</x:v>
      </x:c>
      <x:c r="H132" s="1" t="str">
        <x:v>loans</x:v>
      </x:c>
      <x:c r="I132" s="51" t="str">
        <x:v>Count strictly positive balances; tapes also retain paid/charged-off rows.</x:v>
      </x:c>
    </x:row>
    <x:row r="133" ht="15" hidden="0" customHeight="1">
      <x:c r="C133" s="1" t="str">
        <x:v>CAOT-2024-2</x:v>
      </x:c>
      <x:c r="D133" s="32" t="n">
        <x:v>45961</x:v>
      </x:c>
      <x:c r="E133" s="1" t="str">
        <x:v>pool_begin</x:v>
      </x:c>
      <x:c r="F133" s="36" t="n">
        <x:v>837480429.07</x:v>
      </x:c>
      <x:c r="G133" s="36" t="n">
        <x:v>837474137.51</x:v>
      </x:c>
      <x:c r="H133" s="1" t="str">
        <x:v>USD</x:v>
      </x:c>
      <x:c r="I133" s="51" t="str">
        <x:v>Sum max(balance,0); small negative credit balances are not outstanding receivables.</x:v>
      </x:c>
    </x:row>
    <x:row r="134" ht="15" hidden="0" customHeight="1">
      <x:c r="C134" s="1" t="str">
        <x:v>CAOT-2024-2</x:v>
      </x:c>
      <x:c r="D134" s="32" t="n">
        <x:v>45961</x:v>
      </x:c>
      <x:c r="E134" s="1" t="str">
        <x:v>pool_end</x:v>
      </x:c>
      <x:c r="F134" s="36" t="n">
        <x:v>804001745.48</x:v>
      </x:c>
      <x:c r="G134" s="36" t="n">
        <x:v>803995956.68</x:v>
      </x:c>
      <x:c r="H134" s="1" t="str">
        <x:v>USD</x:v>
      </x:c>
      <x:c r="I134" s="51" t="str">
        <x:v>Sum max(balance,0); small negative credit balances are not outstanding receivables.</x:v>
      </x:c>
    </x:row>
    <x:row r="135" ht="15" hidden="0" customHeight="1">
      <x:c r="C135" s="1" t="str">
        <x:v>CAOT-2024-2</x:v>
      </x:c>
      <x:c r="D135" s="32" t="n">
        <x:v>45961</x:v>
      </x:c>
      <x:c r="E135" s="1" t="str">
        <x:v>principal_collected</x:v>
      </x:c>
      <x:c r="F135" s="36" t="n">
        <x:v>30175542.18</x:v>
      </x:c>
      <x:c r="G135" s="36" t="n">
        <x:v>30188554.28</x:v>
      </x:c>
      <x:c r="H135" s="1" t="str">
        <x:v>USD</x:v>
      </x:c>
      <x:c r="I135" s="51" t="str">
        <x:v>Raw loan principal includes non-cash reductions per issuer explanatory exhibit; certificate cash taxonomy differs.</x:v>
      </x:c>
    </x:row>
    <x:row r="136" ht="15" hidden="0" customHeight="1">
      <x:c r="C136" s="1" t="str">
        <x:v>CAOT-2024-2</x:v>
      </x:c>
      <x:c r="D136" s="32" t="n">
        <x:v>45961</x:v>
      </x:c>
      <x:c r="E136" s="1" t="str">
        <x:v>interest_collected</x:v>
      </x:c>
      <x:c r="F136" s="36" t="n">
        <x:v>7718378.76</x:v>
      </x:c>
      <x:c r="G136" s="36" t="n">
        <x:v>7792417.72</x:v>
      </x:c>
      <x:c r="H136" s="1" t="str">
        <x:v>USD</x:v>
      </x:c>
      <x:c r="I136" s="51" t="str">
        <x:v>Raw tape net interest compared with certificate finance-charge collections; unexplained differences remain visible.</x:v>
      </x:c>
    </x:row>
    <x:row r="137" ht="15" hidden="0" customHeight="1">
      <x:c r="C137" s="1" t="str">
        <x:v>CAOT-2024-2</x:v>
      </x:c>
      <x:c r="D137" s="32" t="n">
        <x:v>45961</x:v>
      </x:c>
      <x:c r="E137" s="1" t="str">
        <x:v>gross_chargeoffs_raw</x:v>
      </x:c>
      <x:c r="F137" s="36" t="n">
        <x:v>4609759.79</x:v>
      </x:c>
      <x:c r="G137" s="36" t="n">
        <x:v>3289626.55</x:v>
      </x:c>
      <x:c r="H137" s="1" t="str">
        <x:v>USD</x:v>
      </x:c>
      <x:c r="I137" s="51" t="str">
        <x:v>Raw chargedoffPrincipalAmount can recur following reinstatement; do not relabel every row a new default.</x:v>
      </x:c>
    </x:row>
    <x:row r="138" ht="24" hidden="0" customHeight="1">
      <x:c r="C138" s="1" t="str">
        <x:v>CAOT-2024-2</x:v>
      </x:c>
      <x:c r="D138" s="32" t="n">
        <x:v>45961</x:v>
      </x:c>
      <x:c r="E138" s="1" t="str">
        <x:v>recoveries</x:v>
      </x:c>
      <x:c r="F138" s="36" t="n">
        <x:v>888181.3</x:v>
      </x:c>
      <x:c r="G138" s="36" t="n">
        <x:v>1039824.12</x:v>
      </x:c>
      <x:c r="H138" s="1" t="str">
        <x:v>USD</x:v>
      </x:c>
      <x:c r="I138" s="51" t="str">
        <x:v>Recovered amounts are monthly flows, not cumulative; omitted fields remain SQL NULL and sum treats no reported flow as zero.</x:v>
      </x:c>
    </x:row>
    <x:row r="139" ht="15" hidden="0" customHeight="1">
      <x:c r="C139" s="1" t="str">
        <x:v>CAOT-2024-2</x:v>
      </x:c>
      <x:c r="D139" s="32" t="n">
        <x:v>45991</x:v>
      </x:c>
      <x:c r="E139" s="1" t="str">
        <x:v>outstanding_loan_count</x:v>
      </x:c>
      <x:c r="F139" s="49" t="n">
        <x:v>47251</x:v>
      </x:c>
      <x:c r="G139" s="49" t="n">
        <x:v>47251</x:v>
      </x:c>
      <x:c r="H139" s="1" t="str">
        <x:v>loans</x:v>
      </x:c>
      <x:c r="I139" s="51" t="str">
        <x:v>Count strictly positive balances; tapes also retain paid/charged-off rows.</x:v>
      </x:c>
    </x:row>
    <x:row r="140" ht="15" hidden="0" customHeight="1">
      <x:c r="C140" s="1" t="str">
        <x:v>CAOT-2024-2</x:v>
      </x:c>
      <x:c r="D140" s="32" t="n">
        <x:v>45991</x:v>
      </x:c>
      <x:c r="E140" s="1" t="str">
        <x:v>pool_begin</x:v>
      </x:c>
      <x:c r="F140" s="36" t="n">
        <x:v>804001745.48</x:v>
      </x:c>
      <x:c r="G140" s="36" t="n">
        <x:v>803995956.68</x:v>
      </x:c>
      <x:c r="H140" s="1" t="str">
        <x:v>USD</x:v>
      </x:c>
      <x:c r="I140" s="51" t="str">
        <x:v>Sum max(balance,0); small negative credit balances are not outstanding receivables.</x:v>
      </x:c>
    </x:row>
    <x:row r="141" ht="15" hidden="0" customHeight="1">
      <x:c r="C141" s="1" t="str">
        <x:v>CAOT-2024-2</x:v>
      </x:c>
      <x:c r="D141" s="32" t="n">
        <x:v>45991</x:v>
      </x:c>
      <x:c r="E141" s="1" t="str">
        <x:v>pool_end</x:v>
      </x:c>
      <x:c r="F141" s="36" t="n">
        <x:v>774101784.34</x:v>
      </x:c>
      <x:c r="G141" s="36" t="n">
        <x:v>774096690.99</x:v>
      </x:c>
      <x:c r="H141" s="1" t="str">
        <x:v>USD</x:v>
      </x:c>
      <x:c r="I141" s="51" t="str">
        <x:v>Sum max(balance,0); small negative credit balances are not outstanding receivables.</x:v>
      </x:c>
    </x:row>
    <x:row r="142" ht="15" hidden="0" customHeight="1">
      <x:c r="C142" s="1" t="str">
        <x:v>CAOT-2024-2</x:v>
      </x:c>
      <x:c r="D142" s="32" t="n">
        <x:v>45991</x:v>
      </x:c>
      <x:c r="E142" s="1" t="str">
        <x:v>principal_collected</x:v>
      </x:c>
      <x:c r="F142" s="36" t="n">
        <x:v>27301165.54</x:v>
      </x:c>
      <x:c r="G142" s="36" t="n">
        <x:v>27309578.35</x:v>
      </x:c>
      <x:c r="H142" s="1" t="str">
        <x:v>USD</x:v>
      </x:c>
      <x:c r="I142" s="51" t="str">
        <x:v>Raw loan principal includes non-cash reductions per issuer explanatory exhibit; certificate cash taxonomy differs.</x:v>
      </x:c>
    </x:row>
    <x:row r="143" ht="15" hidden="0" customHeight="1">
      <x:c r="C143" s="1" t="str">
        <x:v>CAOT-2024-2</x:v>
      </x:c>
      <x:c r="D143" s="32" t="n">
        <x:v>45991</x:v>
      </x:c>
      <x:c r="E143" s="1" t="str">
        <x:v>interest_collected</x:v>
      </x:c>
      <x:c r="F143" s="36" t="n">
        <x:v>7608917.32</x:v>
      </x:c>
      <x:c r="G143" s="36" t="n">
        <x:v>7678819.26</x:v>
      </x:c>
      <x:c r="H143" s="1" t="str">
        <x:v>USD</x:v>
      </x:c>
      <x:c r="I143" s="51" t="str">
        <x:v>Raw tape net interest compared with certificate finance-charge collections; unexplained differences remain visible.</x:v>
      </x:c>
    </x:row>
    <x:row r="144" ht="15" hidden="0" customHeight="1">
      <x:c r="C144" s="1" t="str">
        <x:v>CAOT-2024-2</x:v>
      </x:c>
      <x:c r="D144" s="32" t="n">
        <x:v>45991</x:v>
      </x:c>
      <x:c r="E144" s="1" t="str">
        <x:v>gross_chargeoffs_raw</x:v>
      </x:c>
      <x:c r="F144" s="36" t="n">
        <x:v>4443249.7</x:v>
      </x:c>
      <x:c r="G144" s="36" t="n">
        <x:v>2589687.34</x:v>
      </x:c>
      <x:c r="H144" s="1" t="str">
        <x:v>USD</x:v>
      </x:c>
      <x:c r="I144" s="51" t="str">
        <x:v>Raw chargedoffPrincipalAmount can recur following reinstatement; do not relabel every row a new default.</x:v>
      </x:c>
    </x:row>
    <x:row r="145" ht="24" hidden="0" customHeight="1">
      <x:c r="C145" s="1" t="str">
        <x:v>CAOT-2024-2</x:v>
      </x:c>
      <x:c r="D145" s="32" t="n">
        <x:v>45991</x:v>
      </x:c>
      <x:c r="E145" s="1" t="str">
        <x:v>recoveries</x:v>
      </x:c>
      <x:c r="F145" s="36" t="n">
        <x:v>1420954.02</x:v>
      </x:c>
      <x:c r="G145" s="36" t="n">
        <x:v>1417138.05</x:v>
      </x:c>
      <x:c r="H145" s="1" t="str">
        <x:v>USD</x:v>
      </x:c>
      <x:c r="I145" s="51" t="str">
        <x:v>Recovered amounts are monthly flows, not cumulative; omitted fields remain SQL NULL and sum treats no reported flow as zero.</x:v>
      </x:c>
    </x:row>
    <x:row r="146" ht="15" hidden="0" customHeight="1">
      <x:c r="C146" s="1" t="str">
        <x:v>CAOT-2024-2</x:v>
      </x:c>
      <x:c r="D146" s="32" t="n">
        <x:v>46022</x:v>
      </x:c>
      <x:c r="E146" s="1" t="str">
        <x:v>outstanding_loan_count</x:v>
      </x:c>
      <x:c r="F146" s="49" t="n">
        <x:v>46057</x:v>
      </x:c>
      <x:c r="G146" s="49" t="n">
        <x:v>46057</x:v>
      </x:c>
      <x:c r="H146" s="1" t="str">
        <x:v>loans</x:v>
      </x:c>
      <x:c r="I146" s="51" t="str">
        <x:v>Count strictly positive balances; tapes also retain paid/charged-off rows.</x:v>
      </x:c>
    </x:row>
    <x:row r="147" ht="15" hidden="0" customHeight="1">
      <x:c r="C147" s="1" t="str">
        <x:v>CAOT-2024-2</x:v>
      </x:c>
      <x:c r="D147" s="32" t="n">
        <x:v>46022</x:v>
      </x:c>
      <x:c r="E147" s="1" t="str">
        <x:v>pool_begin</x:v>
      </x:c>
      <x:c r="F147" s="36" t="n">
        <x:v>774101784.34</x:v>
      </x:c>
      <x:c r="G147" s="36" t="n">
        <x:v>774096690.99</x:v>
      </x:c>
      <x:c r="H147" s="1" t="str">
        <x:v>USD</x:v>
      </x:c>
      <x:c r="I147" s="51" t="str">
        <x:v>Sum max(balance,0); small negative credit balances are not outstanding receivables.</x:v>
      </x:c>
    </x:row>
    <x:row r="148" ht="15" hidden="0" customHeight="1">
      <x:c r="C148" s="1" t="str">
        <x:v>CAOT-2024-2</x:v>
      </x:c>
      <x:c r="D148" s="32" t="n">
        <x:v>46022</x:v>
      </x:c>
      <x:c r="E148" s="1" t="str">
        <x:v>pool_end</x:v>
      </x:c>
      <x:c r="F148" s="36" t="n">
        <x:v>743395128.42</x:v>
      </x:c>
      <x:c r="G148" s="36" t="n">
        <x:v>743392701.08</x:v>
      </x:c>
      <x:c r="H148" s="1" t="str">
        <x:v>USD</x:v>
      </x:c>
      <x:c r="I148" s="51" t="str">
        <x:v>Sum max(balance,0); small negative credit balances are not outstanding receivables.</x:v>
      </x:c>
    </x:row>
    <x:row r="149" ht="15" hidden="0" customHeight="1">
      <x:c r="C149" s="1" t="str">
        <x:v>CAOT-2024-2</x:v>
      </x:c>
      <x:c r="D149" s="32" t="n">
        <x:v>46022</x:v>
      </x:c>
      <x:c r="E149" s="1" t="str">
        <x:v>principal_collected</x:v>
      </x:c>
      <x:c r="F149" s="36" t="n">
        <x:v>27967678.88</x:v>
      </x:c>
      <x:c r="G149" s="36" t="n">
        <x:v>27975056.27</x:v>
      </x:c>
      <x:c r="H149" s="1" t="str">
        <x:v>USD</x:v>
      </x:c>
      <x:c r="I149" s="51" t="str">
        <x:v>Raw loan principal includes non-cash reductions per issuer explanatory exhibit; certificate cash taxonomy differs.</x:v>
      </x:c>
    </x:row>
    <x:row r="150" ht="15" hidden="0" customHeight="1">
      <x:c r="C150" s="1" t="str">
        <x:v>CAOT-2024-2</x:v>
      </x:c>
      <x:c r="D150" s="32" t="n">
        <x:v>46022</x:v>
      </x:c>
      <x:c r="E150" s="1" t="str">
        <x:v>interest_collected</x:v>
      </x:c>
      <x:c r="F150" s="36" t="n">
        <x:v>7164766.91</x:v>
      </x:c>
      <x:c r="G150" s="36" t="n">
        <x:v>7223465.93</x:v>
      </x:c>
      <x:c r="H150" s="1" t="str">
        <x:v>USD</x:v>
      </x:c>
      <x:c r="I150" s="51" t="str">
        <x:v>Raw tape net interest compared with certificate finance-charge collections; unexplained differences remain visible.</x:v>
      </x:c>
    </x:row>
    <x:row r="151" ht="15" hidden="0" customHeight="1">
      <x:c r="C151" s="1" t="str">
        <x:v>CAOT-2024-2</x:v>
      </x:c>
      <x:c r="D151" s="32" t="n">
        <x:v>46022</x:v>
      </x:c>
      <x:c r="E151" s="1" t="str">
        <x:v>gross_chargeoffs_raw</x:v>
      </x:c>
      <x:c r="F151" s="36" t="n">
        <x:v>3807411.19</x:v>
      </x:c>
      <x:c r="G151" s="36" t="n">
        <x:v>2728933.64</x:v>
      </x:c>
      <x:c r="H151" s="1" t="str">
        <x:v>USD</x:v>
      </x:c>
      <x:c r="I151" s="51" t="str">
        <x:v>Raw chargedoffPrincipalAmount can recur following reinstatement; do not relabel every row a new default.</x:v>
      </x:c>
    </x:row>
    <x:row r="152" ht="24" hidden="0" customHeight="1">
      <x:c r="C152" s="1" t="str">
        <x:v>CAOT-2024-2</x:v>
      </x:c>
      <x:c r="D152" s="32" t="n">
        <x:v>46022</x:v>
      </x:c>
      <x:c r="E152" s="1" t="str">
        <x:v>recoveries</x:v>
      </x:c>
      <x:c r="F152" s="36" t="n">
        <x:v>1118445.46</x:v>
      </x:c>
      <x:c r="G152" s="36" t="n">
        <x:v>1095636.94</x:v>
      </x:c>
      <x:c r="H152" s="1" t="str">
        <x:v>USD</x:v>
      </x:c>
      <x:c r="I152" s="51" t="str">
        <x:v>Recovered amounts are monthly flows, not cumulative; omitted fields remain SQL NULL and sum treats no reported flow as zero.</x:v>
      </x:c>
    </x:row>
    <x:row r="153" ht="15" hidden="0" customHeight="1">
      <x:c r="C153" s="1" t="str">
        <x:v>CAOT-2024-2</x:v>
      </x:c>
      <x:c r="D153" s="32" t="n">
        <x:v>46053</x:v>
      </x:c>
      <x:c r="E153" s="1" t="str">
        <x:v>outstanding_loan_count</x:v>
      </x:c>
      <x:c r="F153" s="49" t="n">
        <x:v>44993</x:v>
      </x:c>
      <x:c r="G153" s="49" t="n">
        <x:v>44992</x:v>
      </x:c>
      <x:c r="H153" s="1" t="str">
        <x:v>loans</x:v>
      </x:c>
      <x:c r="I153" s="51" t="str">
        <x:v>Count strictly positive balances; tapes also retain paid/charged-off rows.</x:v>
      </x:c>
    </x:row>
    <x:row r="154" ht="15" hidden="0" customHeight="1">
      <x:c r="C154" s="1" t="str">
        <x:v>CAOT-2024-2</x:v>
      </x:c>
      <x:c r="D154" s="32" t="n">
        <x:v>46053</x:v>
      </x:c>
      <x:c r="E154" s="1" t="str">
        <x:v>pool_begin</x:v>
      </x:c>
      <x:c r="F154" s="36" t="n">
        <x:v>743395128.42</x:v>
      </x:c>
      <x:c r="G154" s="36" t="n">
        <x:v>743392701.08</x:v>
      </x:c>
      <x:c r="H154" s="1" t="str">
        <x:v>USD</x:v>
      </x:c>
      <x:c r="I154" s="51" t="str">
        <x:v>Sum max(balance,0); small negative credit balances are not outstanding receivables.</x:v>
      </x:c>
    </x:row>
    <x:row r="155" ht="15" hidden="0" customHeight="1">
      <x:c r="C155" s="1" t="str">
        <x:v>CAOT-2024-2</x:v>
      </x:c>
      <x:c r="D155" s="32" t="n">
        <x:v>46053</x:v>
      </x:c>
      <x:c r="E155" s="1" t="str">
        <x:v>pool_end</x:v>
      </x:c>
      <x:c r="F155" s="36" t="n">
        <x:v>713514901.66</x:v>
      </x:c>
      <x:c r="G155" s="36" t="n">
        <x:v>713512987.47</x:v>
      </x:c>
      <x:c r="H155" s="1" t="str">
        <x:v>USD</x:v>
      </x:c>
      <x:c r="I155" s="51" t="str">
        <x:v>Sum max(balance,0); small negative credit balances are not outstanding receivables.</x:v>
      </x:c>
    </x:row>
    <x:row r="156" ht="15" hidden="0" customHeight="1">
      <x:c r="C156" s="1" t="str">
        <x:v>CAOT-2024-2</x:v>
      </x:c>
      <x:c r="D156" s="32" t="n">
        <x:v>46053</x:v>
      </x:c>
      <x:c r="E156" s="1" t="str">
        <x:v>principal_collected</x:v>
      </x:c>
      <x:c r="F156" s="36" t="n">
        <x:v>27216961.33</x:v>
      </x:c>
      <x:c r="G156" s="36" t="n">
        <x:v>27257139.19</x:v>
      </x:c>
      <x:c r="H156" s="1" t="str">
        <x:v>USD</x:v>
      </x:c>
      <x:c r="I156" s="51" t="str">
        <x:v>Raw loan principal includes non-cash reductions per issuer explanatory exhibit; certificate cash taxonomy differs.</x:v>
      </x:c>
    </x:row>
    <x:row r="157" ht="15" hidden="0" customHeight="1">
      <x:c r="C157" s="1" t="str">
        <x:v>CAOT-2024-2</x:v>
      </x:c>
      <x:c r="D157" s="32" t="n">
        <x:v>46053</x:v>
      </x:c>
      <x:c r="E157" s="1" t="str">
        <x:v>interest_collected</x:v>
      </x:c>
      <x:c r="F157" s="36" t="n">
        <x:v>7261064.09</x:v>
      </x:c>
      <x:c r="G157" s="36" t="n">
        <x:v>7330171.7</x:v>
      </x:c>
      <x:c r="H157" s="1" t="str">
        <x:v>USD</x:v>
      </x:c>
      <x:c r="I157" s="51" t="str">
        <x:v>Raw tape net interest compared with certificate finance-charge collections; unexplained differences remain visible.</x:v>
      </x:c>
    </x:row>
    <x:row r="158" ht="15" hidden="0" customHeight="1">
      <x:c r="C158" s="1" t="str">
        <x:v>CAOT-2024-2</x:v>
      </x:c>
      <x:c r="D158" s="32" t="n">
        <x:v>46053</x:v>
      </x:c>
      <x:c r="E158" s="1" t="str">
        <x:v>gross_chargeoffs_raw</x:v>
      </x:c>
      <x:c r="F158" s="36" t="n">
        <x:v>3709373.79</x:v>
      </x:c>
      <x:c r="G158" s="36" t="n">
        <x:v>2622574.42</x:v>
      </x:c>
      <x:c r="H158" s="1" t="str">
        <x:v>USD</x:v>
      </x:c>
      <x:c r="I158" s="51" t="str">
        <x:v>Raw chargedoffPrincipalAmount can recur following reinstatement; do not relabel every row a new default.</x:v>
      </x:c>
    </x:row>
    <x:row r="159" ht="24" hidden="0" customHeight="1">
      <x:c r="C159" s="1" t="str">
        <x:v>CAOT-2024-2</x:v>
      </x:c>
      <x:c r="D159" s="32" t="n">
        <x:v>46053</x:v>
      </x:c>
      <x:c r="E159" s="1" t="str">
        <x:v>recoveries</x:v>
      </x:c>
      <x:c r="F159" s="36" t="n">
        <x:v>925174.85</x:v>
      </x:c>
      <x:c r="G159" s="36" t="n">
        <x:v>939037.21</x:v>
      </x:c>
      <x:c r="H159" s="1" t="str">
        <x:v>USD</x:v>
      </x:c>
      <x:c r="I159" s="51" t="str">
        <x:v>Recovered amounts are monthly flows, not cumulative; omitted fields remain SQL NULL and sum treats no reported flow as zero.</x:v>
      </x:c>
    </x:row>
    <x:row r="160" ht="15" hidden="0" customHeight="1">
      <x:c r="C160" s="1" t="str">
        <x:v>CAOT-2024-2</x:v>
      </x:c>
      <x:c r="D160" s="32" t="n">
        <x:v>46081</x:v>
      </x:c>
      <x:c r="E160" s="1" t="str">
        <x:v>outstanding_loan_count</x:v>
      </x:c>
      <x:c r="F160" s="49" t="n">
        <x:v>44012</x:v>
      </x:c>
      <x:c r="G160" s="49" t="n">
        <x:v>44012</x:v>
      </x:c>
      <x:c r="H160" s="1" t="str">
        <x:v>loans</x:v>
      </x:c>
      <x:c r="I160" s="51" t="str">
        <x:v>Count strictly positive balances; tapes also retain paid/charged-off rows.</x:v>
      </x:c>
    </x:row>
    <x:row r="161" ht="15" hidden="0" customHeight="1">
      <x:c r="C161" s="1" t="str">
        <x:v>CAOT-2024-2</x:v>
      </x:c>
      <x:c r="D161" s="32" t="n">
        <x:v>46081</x:v>
      </x:c>
      <x:c r="E161" s="1" t="str">
        <x:v>pool_begin</x:v>
      </x:c>
      <x:c r="F161" s="36" t="n">
        <x:v>713514901.66</x:v>
      </x:c>
      <x:c r="G161" s="36" t="n">
        <x:v>713512987.47</x:v>
      </x:c>
      <x:c r="H161" s="1" t="str">
        <x:v>USD</x:v>
      </x:c>
      <x:c r="I161" s="51" t="str">
        <x:v>Sum max(balance,0); small negative credit balances are not outstanding receivables.</x:v>
      </x:c>
    </x:row>
    <x:row r="162" ht="15" hidden="0" customHeight="1">
      <x:c r="C162" s="1" t="str">
        <x:v>CAOT-2024-2</x:v>
      </x:c>
      <x:c r="D162" s="32" t="n">
        <x:v>46081</x:v>
      </x:c>
      <x:c r="E162" s="1" t="str">
        <x:v>pool_end</x:v>
      </x:c>
      <x:c r="F162" s="36" t="n">
        <x:v>685312182.75</x:v>
      </x:c>
      <x:c r="G162" s="36" t="n">
        <x:v>685309777.35</x:v>
      </x:c>
      <x:c r="H162" s="1" t="str">
        <x:v>USD</x:v>
      </x:c>
      <x:c r="I162" s="51" t="str">
        <x:v>Sum max(balance,0); small negative credit balances are not outstanding receivables.</x:v>
      </x:c>
    </x:row>
    <x:row r="163" ht="15" hidden="0" customHeight="1">
      <x:c r="C163" s="1" t="str">
        <x:v>CAOT-2024-2</x:v>
      </x:c>
      <x:c r="D163" s="32" t="n">
        <x:v>46081</x:v>
      </x:c>
      <x:c r="E163" s="1" t="str">
        <x:v>principal_collected</x:v>
      </x:c>
      <x:c r="F163" s="36" t="n">
        <x:v>26291569.41</x:v>
      </x:c>
      <x:c r="G163" s="36" t="n">
        <x:v>26292991.43</x:v>
      </x:c>
      <x:c r="H163" s="1" t="str">
        <x:v>USD</x:v>
      </x:c>
      <x:c r="I163" s="51" t="str">
        <x:v>Raw loan principal includes non-cash reductions per issuer explanatory exhibit; certificate cash taxonomy differs.</x:v>
      </x:c>
    </x:row>
    <x:row r="164" ht="15" hidden="0" customHeight="1">
      <x:c r="C164" s="1" t="str">
        <x:v>CAOT-2024-2</x:v>
      </x:c>
      <x:c r="D164" s="32" t="n">
        <x:v>46081</x:v>
      </x:c>
      <x:c r="E164" s="1" t="str">
        <x:v>interest_collected</x:v>
      </x:c>
      <x:c r="F164" s="36" t="n">
        <x:v>6497549.32</x:v>
      </x:c>
      <x:c r="G164" s="36" t="n">
        <x:v>6550773.58</x:v>
      </x:c>
      <x:c r="H164" s="1" t="str">
        <x:v>USD</x:v>
      </x:c>
      <x:c r="I164" s="51" t="str">
        <x:v>Raw tape net interest compared with certificate finance-charge collections; unexplained differences remain visible.</x:v>
      </x:c>
    </x:row>
    <x:row r="165" ht="15" hidden="0" customHeight="1">
      <x:c r="C165" s="1" t="str">
        <x:v>CAOT-2024-2</x:v>
      </x:c>
      <x:c r="D165" s="32" t="n">
        <x:v>46081</x:v>
      </x:c>
      <x:c r="E165" s="1" t="str">
        <x:v>gross_chargeoffs_raw</x:v>
      </x:c>
      <x:c r="F165" s="36" t="n">
        <x:v>3218524.66</x:v>
      </x:c>
      <x:c r="G165" s="36" t="n">
        <x:v>1910218.69</x:v>
      </x:c>
      <x:c r="H165" s="1" t="str">
        <x:v>USD</x:v>
      </x:c>
      <x:c r="I165" s="51" t="str">
        <x:v>Raw chargedoffPrincipalAmount can recur following reinstatement; do not relabel every row a new default.</x:v>
      </x:c>
    </x:row>
    <x:row r="166" ht="24" hidden="0" customHeight="1">
      <x:c r="C166" s="1" t="str">
        <x:v>CAOT-2024-2</x:v>
      </x:c>
      <x:c r="D166" s="32" t="n">
        <x:v>46081</x:v>
      </x:c>
      <x:c r="E166" s="1" t="str">
        <x:v>recoveries</x:v>
      </x:c>
      <x:c r="F166" s="36" t="n">
        <x:v>924702.41</x:v>
      </x:c>
      <x:c r="G166" s="36" t="n">
        <x:v>921626.66</x:v>
      </x:c>
      <x:c r="H166" s="1" t="str">
        <x:v>USD</x:v>
      </x:c>
      <x:c r="I166" s="51" t="str">
        <x:v>Recovered amounts are monthly flows, not cumulative; omitted fields remain SQL NULL and sum treats no reported flow as zero.</x:v>
      </x:c>
    </x:row>
    <x:row r="167" ht="15" hidden="0" customHeight="1">
      <x:c r="C167" s="1" t="str">
        <x:v>CAOT-2024-2</x:v>
      </x:c>
      <x:c r="D167" s="32" t="n">
        <x:v>46112</x:v>
      </x:c>
      <x:c r="E167" s="1" t="str">
        <x:v>outstanding_loan_count</x:v>
      </x:c>
      <x:c r="F167" s="49" t="n">
        <x:v>42883</x:v>
      </x:c>
      <x:c r="G167" s="49" t="n">
        <x:v>42880</x:v>
      </x:c>
      <x:c r="H167" s="1" t="str">
        <x:v>loans</x:v>
      </x:c>
      <x:c r="I167" s="51" t="str">
        <x:v>Count strictly positive balances; tapes also retain paid/charged-off rows.</x:v>
      </x:c>
    </x:row>
    <x:row r="168" ht="15" hidden="0" customHeight="1">
      <x:c r="C168" s="1" t="str">
        <x:v>CAOT-2024-2</x:v>
      </x:c>
      <x:c r="D168" s="32" t="n">
        <x:v>46112</x:v>
      </x:c>
      <x:c r="E168" s="1" t="str">
        <x:v>pool_begin</x:v>
      </x:c>
      <x:c r="F168" s="36" t="n">
        <x:v>685312182.75</x:v>
      </x:c>
      <x:c r="G168" s="36" t="n">
        <x:v>685309777.35</x:v>
      </x:c>
      <x:c r="H168" s="1" t="str">
        <x:v>USD</x:v>
      </x:c>
      <x:c r="I168" s="51" t="str">
        <x:v>Sum max(balance,0); small negative credit balances are not outstanding receivables.</x:v>
      </x:c>
    </x:row>
    <x:row r="169" ht="15" hidden="0" customHeight="1">
      <x:c r="C169" s="1" t="str">
        <x:v>CAOT-2024-2</x:v>
      </x:c>
      <x:c r="D169" s="32" t="n">
        <x:v>46112</x:v>
      </x:c>
      <x:c r="E169" s="1" t="str">
        <x:v>pool_end</x:v>
      </x:c>
      <x:c r="F169" s="36" t="n">
        <x:v>653024499.46</x:v>
      </x:c>
      <x:c r="G169" s="36" t="n">
        <x:v>653021624.37</x:v>
      </x:c>
      <x:c r="H169" s="1" t="str">
        <x:v>USD</x:v>
      </x:c>
      <x:c r="I169" s="51" t="str">
        <x:v>Sum max(balance,0); small negative credit balances are not outstanding receivables.</x:v>
      </x:c>
    </x:row>
    <x:row r="170" ht="15" hidden="0" customHeight="1">
      <x:c r="C170" s="1" t="str">
        <x:v>CAOT-2024-2</x:v>
      </x:c>
      <x:c r="D170" s="32" t="n">
        <x:v>46112</x:v>
      </x:c>
      <x:c r="E170" s="1" t="str">
        <x:v>principal_collected</x:v>
      </x:c>
      <x:c r="F170" s="36" t="n">
        <x:v>29347475.29</x:v>
      </x:c>
      <x:c r="G170" s="36" t="n">
        <x:v>29363553.7</x:v>
      </x:c>
      <x:c r="H170" s="1" t="str">
        <x:v>USD</x:v>
      </x:c>
      <x:c r="I170" s="51" t="str">
        <x:v>Raw loan principal includes non-cash reductions per issuer explanatory exhibit; certificate cash taxonomy differs.</x:v>
      </x:c>
    </x:row>
    <x:row r="171" ht="15" hidden="0" customHeight="1">
      <x:c r="C171" s="1" t="str">
        <x:v>CAOT-2024-2</x:v>
      </x:c>
      <x:c r="D171" s="32" t="n">
        <x:v>46112</x:v>
      </x:c>
      <x:c r="E171" s="1" t="str">
        <x:v>interest_collected</x:v>
      </x:c>
      <x:c r="F171" s="36" t="n">
        <x:v>6416658.17</x:v>
      </x:c>
      <x:c r="G171" s="36" t="n">
        <x:v>6488059.16</x:v>
      </x:c>
      <x:c r="H171" s="1" t="str">
        <x:v>USD</x:v>
      </x:c>
      <x:c r="I171" s="51" t="str">
        <x:v>Raw tape net interest compared with certificate finance-charge collections; unexplained differences remain visible.</x:v>
      </x:c>
    </x:row>
    <x:row r="172" ht="15" hidden="0" customHeight="1">
      <x:c r="C172" s="1" t="str">
        <x:v>CAOT-2024-2</x:v>
      </x:c>
      <x:c r="D172" s="32" t="n">
        <x:v>46112</x:v>
      </x:c>
      <x:c r="E172" s="1" t="str">
        <x:v>gross_chargeoffs_raw</x:v>
      </x:c>
      <x:c r="F172" s="36" t="n">
        <x:v>3776680.96</x:v>
      </x:c>
      <x:c r="G172" s="36" t="n">
        <x:v>2924599.28</x:v>
      </x:c>
      <x:c r="H172" s="1" t="str">
        <x:v>USD</x:v>
      </x:c>
      <x:c r="I172" s="51" t="str">
        <x:v>Raw chargedoffPrincipalAmount can recur following reinstatement; do not relabel every row a new default.</x:v>
      </x:c>
    </x:row>
    <x:row r="173" ht="24" hidden="0" customHeight="1">
      <x:c r="C173" s="1" t="str">
        <x:v>CAOT-2024-2</x:v>
      </x:c>
      <x:c r="D173" s="32" t="n">
        <x:v>46112</x:v>
      </x:c>
      <x:c r="E173" s="1" t="str">
        <x:v>recoveries</x:v>
      </x:c>
      <x:c r="F173" s="36" t="n">
        <x:v>1177330.96</x:v>
      </x:c>
      <x:c r="G173" s="36" t="n">
        <x:v>1110258.46</x:v>
      </x:c>
      <x:c r="H173" s="1" t="str">
        <x:v>USD</x:v>
      </x:c>
      <x:c r="I173" s="51" t="str">
        <x:v>Recovered amounts are monthly flows, not cumulative; omitted fields remain SQL NULL and sum treats no reported flow as zero.</x:v>
      </x:c>
    </x:row>
    <x:row r="174" ht="15" hidden="0" customHeight="1">
      <x:c r="C174" s="1" t="str">
        <x:v>CAOT-2024-2</x:v>
      </x:c>
      <x:c r="D174" s="32" t="n">
        <x:v>46142</x:v>
      </x:c>
      <x:c r="E174" s="1" t="str">
        <x:v>outstanding_loan_count</x:v>
      </x:c>
      <x:c r="F174" s="49" t="n">
        <x:v>41905</x:v>
      </x:c>
      <x:c r="G174" s="49" t="n">
        <x:v>41905</x:v>
      </x:c>
      <x:c r="H174" s="1" t="str">
        <x:v>loans</x:v>
      </x:c>
      <x:c r="I174" s="51" t="str">
        <x:v>Count strictly positive balances; tapes also retain paid/charged-off rows.</x:v>
      </x:c>
    </x:row>
    <x:row r="175" ht="15" hidden="0" customHeight="1">
      <x:c r="C175" s="1" t="str">
        <x:v>CAOT-2024-2</x:v>
      </x:c>
      <x:c r="D175" s="32" t="n">
        <x:v>46142</x:v>
      </x:c>
      <x:c r="E175" s="1" t="str">
        <x:v>pool_begin</x:v>
      </x:c>
      <x:c r="F175" s="36" t="n">
        <x:v>653024499.46</x:v>
      </x:c>
      <x:c r="G175" s="36" t="n">
        <x:v>653021624.37</x:v>
      </x:c>
      <x:c r="H175" s="1" t="str">
        <x:v>USD</x:v>
      </x:c>
      <x:c r="I175" s="51" t="str">
        <x:v>Sum max(balance,0); small negative credit balances are not outstanding receivables.</x:v>
      </x:c>
    </x:row>
    <x:row r="176" ht="15" hidden="0" customHeight="1">
      <x:c r="C176" s="1" t="str">
        <x:v>CAOT-2024-2</x:v>
      </x:c>
      <x:c r="D176" s="32" t="n">
        <x:v>46142</x:v>
      </x:c>
      <x:c r="E176" s="1" t="str">
        <x:v>pool_end</x:v>
      </x:c>
      <x:c r="F176" s="36" t="n">
        <x:v>624350290.76</x:v>
      </x:c>
      <x:c r="G176" s="36" t="n">
        <x:v>624347159.68</x:v>
      </x:c>
      <x:c r="H176" s="1" t="str">
        <x:v>USD</x:v>
      </x:c>
      <x:c r="I176" s="51" t="str">
        <x:v>Sum max(balance,0); small negative credit balances are not outstanding receivables.</x:v>
      </x:c>
    </x:row>
    <x:row r="177" ht="15" hidden="0" customHeight="1">
      <x:c r="C177" s="1" t="str">
        <x:v>CAOT-2024-2</x:v>
      </x:c>
      <x:c r="D177" s="32" t="n">
        <x:v>46142</x:v>
      </x:c>
      <x:c r="E177" s="1" t="str">
        <x:v>principal_collected</x:v>
      </x:c>
      <x:c r="F177" s="36" t="n">
        <x:v>27012743.62</x:v>
      </x:c>
      <x:c r="G177" s="36" t="n">
        <x:v>27043447.94</x:v>
      </x:c>
      <x:c r="H177" s="1" t="str">
        <x:v>USD</x:v>
      </x:c>
      <x:c r="I177" s="51" t="str">
        <x:v>Raw loan principal includes non-cash reductions per issuer explanatory exhibit; certificate cash taxonomy differs.</x:v>
      </x:c>
    </x:row>
    <x:row r="178" ht="15" hidden="0" customHeight="1">
      <x:c r="C178" s="1" t="str">
        <x:v>CAOT-2024-2</x:v>
      </x:c>
      <x:c r="D178" s="32" t="n">
        <x:v>46142</x:v>
      </x:c>
      <x:c r="E178" s="1" t="str">
        <x:v>interest_collected</x:v>
      </x:c>
      <x:c r="F178" s="36" t="n">
        <x:v>6116534.79</x:v>
      </x:c>
      <x:c r="G178" s="36" t="n">
        <x:v>6182843.11</x:v>
      </x:c>
      <x:c r="H178" s="1" t="str">
        <x:v>USD</x:v>
      </x:c>
      <x:c r="I178" s="51" t="str">
        <x:v>Raw tape net interest compared with certificate finance-charge collections; unexplained differences remain visible.</x:v>
      </x:c>
    </x:row>
    <x:row r="179" ht="15" hidden="0" customHeight="1">
      <x:c r="C179" s="1" t="str">
        <x:v>CAOT-2024-2</x:v>
      </x:c>
      <x:c r="D179" s="32" t="n">
        <x:v>46142</x:v>
      </x:c>
      <x:c r="E179" s="1" t="str">
        <x:v>gross_chargeoffs_raw</x:v>
      </x:c>
      <x:c r="F179" s="36" t="n">
        <x:v>2629813.29</x:v>
      </x:c>
      <x:c r="G179" s="36" t="n">
        <x:v>1631016.75</x:v>
      </x:c>
      <x:c r="H179" s="1" t="str">
        <x:v>USD</x:v>
      </x:c>
      <x:c r="I179" s="51" t="str">
        <x:v>Raw chargedoffPrincipalAmount can recur following reinstatement; do not relabel every row a new default.</x:v>
      </x:c>
    </x:row>
    <x:row r="180" ht="24" hidden="0" customHeight="1">
      <x:c r="C180" s="1" t="str">
        <x:v>CAOT-2024-2</x:v>
      </x:c>
      <x:c r="D180" s="32" t="n">
        <x:v>46142</x:v>
      </x:c>
      <x:c r="E180" s="1" t="str">
        <x:v>recoveries</x:v>
      </x:c>
      <x:c r="F180" s="36" t="n">
        <x:v>883964.18</x:v>
      </x:c>
      <x:c r="G180" s="36" t="n">
        <x:v>952215.75</x:v>
      </x:c>
      <x:c r="H180" s="1" t="str">
        <x:v>USD</x:v>
      </x:c>
      <x:c r="I180" s="51" t="str">
        <x:v>Recovered amounts are monthly flows, not cumulative; omitted fields remain SQL NULL and sum treats no reported flow as zero.</x:v>
      </x:c>
    </x:row>
    <x:row r="181" ht="15" hidden="0" customHeight="1">
      <x:c r="C181" s="1" t="str">
        <x:v>CAOT-2024-2</x:v>
      </x:c>
      <x:c r="D181" s="32" t="n">
        <x:v>46173</x:v>
      </x:c>
      <x:c r="E181" s="1" t="str">
        <x:v>outstanding_loan_count</x:v>
      </x:c>
      <x:c r="F181" s="49" t="n">
        <x:v>40969</x:v>
      </x:c>
      <x:c r="G181" s="49" t="n">
        <x:v>40969</x:v>
      </x:c>
      <x:c r="H181" s="1" t="str">
        <x:v>loans</x:v>
      </x:c>
      <x:c r="I181" s="51" t="str">
        <x:v>Count strictly positive balances; tapes also retain paid/charged-off rows.</x:v>
      </x:c>
    </x:row>
    <x:row r="182" ht="15" hidden="0" customHeight="1">
      <x:c r="C182" s="1" t="str">
        <x:v>CAOT-2024-2</x:v>
      </x:c>
      <x:c r="D182" s="32" t="n">
        <x:v>46173</x:v>
      </x:c>
      <x:c r="E182" s="1" t="str">
        <x:v>pool_begin</x:v>
      </x:c>
      <x:c r="F182" s="36" t="n">
        <x:v>624350290.76</x:v>
      </x:c>
      <x:c r="G182" s="36" t="n">
        <x:v>624347159.68</x:v>
      </x:c>
      <x:c r="H182" s="1" t="str">
        <x:v>USD</x:v>
      </x:c>
      <x:c r="I182" s="51" t="str">
        <x:v>Sum max(balance,0); small negative credit balances are not outstanding receivables.</x:v>
      </x:c>
    </x:row>
    <x:row r="183" ht="15" hidden="0" customHeight="1">
      <x:c r="C183" s="1" t="str">
        <x:v>CAOT-2024-2</x:v>
      </x:c>
      <x:c r="D183" s="32" t="n">
        <x:v>46173</x:v>
      </x:c>
      <x:c r="E183" s="1" t="str">
        <x:v>pool_end</x:v>
      </x:c>
      <x:c r="F183" s="36" t="n">
        <x:v>597221274.02</x:v>
      </x:c>
      <x:c r="G183" s="36" t="n">
        <x:v>597219585.64</x:v>
      </x:c>
      <x:c r="H183" s="1" t="str">
        <x:v>USD</x:v>
      </x:c>
      <x:c r="I183" s="51" t="str">
        <x:v>Sum max(balance,0); small negative credit balances are not outstanding receivables.</x:v>
      </x:c>
    </x:row>
    <x:row r="184" ht="15" hidden="0" customHeight="1">
      <x:c r="C184" s="1" t="str">
        <x:v>CAOT-2024-2</x:v>
      </x:c>
      <x:c r="D184" s="32" t="n">
        <x:v>46173</x:v>
      </x:c>
      <x:c r="E184" s="1" t="str">
        <x:v>principal_collected</x:v>
      </x:c>
      <x:c r="F184" s="36" t="n">
        <x:v>25259959.56</x:v>
      </x:c>
      <x:c r="G184" s="36" t="n">
        <x:v>25310330.76</x:v>
      </x:c>
      <x:c r="H184" s="1" t="str">
        <x:v>USD</x:v>
      </x:c>
      <x:c r="I184" s="51" t="str">
        <x:v>Raw loan principal includes non-cash reductions per issuer explanatory exhibit; certificate cash taxonomy differs.</x:v>
      </x:c>
    </x:row>
    <x:row r="185" ht="15" hidden="0" customHeight="1">
      <x:c r="C185" s="1" t="str">
        <x:v>CAOT-2024-2</x:v>
      </x:c>
      <x:c r="D185" s="32" t="n">
        <x:v>46173</x:v>
      </x:c>
      <x:c r="E185" s="1" t="str">
        <x:v>interest_collected</x:v>
      </x:c>
      <x:c r="F185" s="36" t="n">
        <x:v>5892105.72</x:v>
      </x:c>
      <x:c r="G185" s="36" t="n">
        <x:v>5953449.68</x:v>
      </x:c>
      <x:c r="H185" s="1" t="str">
        <x:v>USD</x:v>
      </x:c>
      <x:c r="I185" s="51" t="str">
        <x:v>Raw tape net interest compared with certificate finance-charge collections; unexplained differences remain visible.</x:v>
      </x:c>
    </x:row>
    <x:row r="186" ht="15" hidden="0" customHeight="1">
      <x:c r="C186" s="1" t="str">
        <x:v>CAOT-2024-2</x:v>
      </x:c>
      <x:c r="D186" s="32" t="n">
        <x:v>46173</x:v>
      </x:c>
      <x:c r="E186" s="1" t="str">
        <x:v>gross_chargeoffs_raw</x:v>
      </x:c>
      <x:c r="F186" s="36" t="n">
        <x:v>2742277.33</x:v>
      </x:c>
      <x:c r="G186" s="36" t="n">
        <x:v>1817243.28</x:v>
      </x:c>
      <x:c r="H186" s="1" t="str">
        <x:v>USD</x:v>
      </x:c>
      <x:c r="I186" s="51" t="str">
        <x:v>Raw chargedoffPrincipalAmount can recur following reinstatement; do not relabel every row a new default.</x:v>
      </x:c>
    </x:row>
    <x:row r="187" ht="24" hidden="0" customHeight="1">
      <x:c r="C187" s="1" t="str">
        <x:v>CAOT-2024-2</x:v>
      </x:c>
      <x:c r="D187" s="32" t="n">
        <x:v>46173</x:v>
      </x:c>
      <x:c r="E187" s="1" t="str">
        <x:v>recoveries</x:v>
      </x:c>
      <x:c r="F187" s="36" t="n">
        <x:v>893257.53</x:v>
      </x:c>
      <x:c r="G187" s="36" t="n">
        <x:v>888152.98</x:v>
      </x:c>
      <x:c r="H187" s="1" t="str">
        <x:v>USD</x:v>
      </x:c>
      <x:c r="I187" s="51" t="str">
        <x:v>Recovered amounts are monthly flows, not cumulative; omitted fields remain SQL NULL and sum treats no reported flow as zero.</x:v>
      </x:c>
    </x:row>
    <x:row r="188" ht="15" hidden="0" customHeight="1">
      <x:c r="C188" s="1" t="str">
        <x:v>CAOT-2024-2</x:v>
      </x:c>
      <x:c r="D188" s="32" t="n">
        <x:v>46203</x:v>
      </x:c>
      <x:c r="E188" s="1" t="str">
        <x:v>outstanding_loan_count</x:v>
      </x:c>
      <x:c r="F188" s="49" t="n">
        <x:v>40065</x:v>
      </x:c>
      <x:c r="G188" s="49" t="n">
        <x:v>40065</x:v>
      </x:c>
      <x:c r="H188" s="1" t="str">
        <x:v>loans</x:v>
      </x:c>
      <x:c r="I188" s="51" t="str">
        <x:v>Count strictly positive balances; tapes also retain paid/charged-off rows.</x:v>
      </x:c>
    </x:row>
    <x:row r="189" ht="15" hidden="0" customHeight="1">
      <x:c r="C189" s="1" t="str">
        <x:v>CAOT-2024-2</x:v>
      </x:c>
      <x:c r="D189" s="32" t="n">
        <x:v>46203</x:v>
      </x:c>
      <x:c r="E189" s="1" t="str">
        <x:v>pool_begin</x:v>
      </x:c>
      <x:c r="F189" s="36" t="n">
        <x:v>597221274.02</x:v>
      </x:c>
      <x:c r="G189" s="36" t="n">
        <x:v>597219585.64</x:v>
      </x:c>
      <x:c r="H189" s="1" t="str">
        <x:v>USD</x:v>
      </x:c>
      <x:c r="I189" s="51" t="str">
        <x:v>Sum max(balance,0); small negative credit balances are not outstanding receivables.</x:v>
      </x:c>
    </x:row>
    <x:row r="190" ht="15" hidden="0" customHeight="1">
      <x:c r="C190" s="1" t="str">
        <x:v>CAOT-2024-2</x:v>
      </x:c>
      <x:c r="D190" s="32" t="n">
        <x:v>46203</x:v>
      </x:c>
      <x:c r="E190" s="1" t="str">
        <x:v>pool_end</x:v>
      </x:c>
      <x:c r="F190" s="36" t="n">
        <x:v>570515924.01</x:v>
      </x:c>
      <x:c r="G190" s="36" t="n">
        <x:v>570514123.18</x:v>
      </x:c>
      <x:c r="H190" s="1" t="str">
        <x:v>USD</x:v>
      </x:c>
      <x:c r="I190" s="51" t="str">
        <x:v>Sum max(balance,0); small negative credit balances are not outstanding receivables.</x:v>
      </x:c>
    </x:row>
    <x:row r="191" ht="15" hidden="0" customHeight="1">
      <x:c r="C191" s="1" t="str">
        <x:v>CAOT-2024-2</x:v>
      </x:c>
      <x:c r="D191" s="32" t="n">
        <x:v>46203</x:v>
      </x:c>
      <x:c r="E191" s="1" t="str">
        <x:v>principal_collected</x:v>
      </x:c>
      <x:c r="F191" s="36" t="n">
        <x:v>23920241.24</x:v>
      </x:c>
      <x:c r="G191" s="36" t="n">
        <x:v>23924432.54</x:v>
      </x:c>
      <x:c r="H191" s="1" t="str">
        <x:v>USD</x:v>
      </x:c>
      <x:c r="I191" s="51" t="str">
        <x:v>Raw loan principal includes non-cash reductions per issuer explanatory exhibit; certificate cash taxonomy differs.</x:v>
      </x:c>
    </x:row>
    <x:row r="192" ht="15" hidden="0" customHeight="1">
      <x:c r="C192" s="1" t="str">
        <x:v>CAOT-2024-2</x:v>
      </x:c>
      <x:c r="D192" s="32" t="n">
        <x:v>46203</x:v>
      </x:c>
      <x:c r="E192" s="1" t="str">
        <x:v>interest_collected</x:v>
      </x:c>
      <x:c r="F192" s="36" t="n">
        <x:v>5562254.89</x:v>
      </x:c>
      <x:c r="G192" s="36" t="n">
        <x:v>5615663.68</x:v>
      </x:c>
      <x:c r="H192" s="1" t="str">
        <x:v>USD</x:v>
      </x:c>
      <x:c r="I192" s="51" t="str">
        <x:v>Raw tape net interest compared with certificate finance-charge collections; unexplained differences remain visible.</x:v>
      </x:c>
    </x:row>
    <x:row r="193" ht="15" hidden="0" customHeight="1">
      <x:c r="C193" s="1" t="str">
        <x:v>CAOT-2024-2</x:v>
      </x:c>
      <x:c r="D193" s="32" t="n">
        <x:v>46203</x:v>
      </x:c>
      <x:c r="E193" s="1" t="str">
        <x:v>gross_chargeoffs_raw</x:v>
      </x:c>
      <x:c r="F193" s="36" t="n">
        <x:v>3638555.73</x:v>
      </x:c>
      <x:c r="G193" s="36" t="n">
        <x:v>2781029.92</x:v>
      </x:c>
      <x:c r="H193" s="1" t="str">
        <x:v>USD</x:v>
      </x:c>
      <x:c r="I193" s="51" t="str">
        <x:v>Raw chargedoffPrincipalAmount can recur following reinstatement; do not relabel every row a new default.</x:v>
      </x:c>
    </x:row>
    <x:row r="194" ht="24" hidden="0" customHeight="1">
      <x:c r="C194" s="1" t="str">
        <x:v>CAOT-2024-2</x:v>
      </x:c>
      <x:c r="D194" s="32" t="n">
        <x:v>46203</x:v>
      </x:c>
      <x:c r="E194" s="1" t="str">
        <x:v>recoveries</x:v>
      </x:c>
      <x:c r="F194" s="36" t="n">
        <x:v>875766.35</x:v>
      </x:c>
      <x:c r="G194" s="36" t="n">
        <x:v>762066.07</x:v>
      </x:c>
      <x:c r="H194" s="1" t="str">
        <x:v>USD</x:v>
      </x:c>
      <x:c r="I194" s="51" t="str">
        <x:v>Recovered amounts are monthly flows, not cumulative; omitted fields remain SQL NULL and sum treats no reported flow as zero.</x:v>
      </x:c>
    </x:row>
    <x:row r="195" ht="15" hidden="0" customHeight="1">
      <x:c r="C195" s="1" t="str">
        <x:v>CAOT-2024-2</x:v>
      </x:c>
      <x:c r="D195" s="32" t="n">
        <x:v>46234</x:v>
      </x:c>
      <x:c r="E195" s="1" t="str">
        <x:v>outstanding_loan_count</x:v>
      </x:c>
      <x:c r="F195" s="49" t="n">
        <x:v>39147</x:v>
      </x:c>
      <x:c r="G195" s="49" t="n">
        <x:v>39145</x:v>
      </x:c>
      <x:c r="H195" s="1" t="str">
        <x:v>loans</x:v>
      </x:c>
      <x:c r="I195" s="51" t="str">
        <x:v>Count strictly positive balances; tapes also retain paid/charged-off rows.</x:v>
      </x:c>
    </x:row>
    <x:row r="196" ht="15" hidden="0" customHeight="1">
      <x:c r="C196" s="1" t="str">
        <x:v>CAOT-2024-2</x:v>
      </x:c>
      <x:c r="D196" s="32" t="n">
        <x:v>46234</x:v>
      </x:c>
      <x:c r="E196" s="1" t="str">
        <x:v>pool_begin</x:v>
      </x:c>
      <x:c r="F196" s="36" t="n">
        <x:v>570515924.01</x:v>
      </x:c>
      <x:c r="G196" s="36" t="n">
        <x:v>570514123.18</x:v>
      </x:c>
      <x:c r="H196" s="1" t="str">
        <x:v>USD</x:v>
      </x:c>
      <x:c r="I196" s="51" t="str">
        <x:v>Sum max(balance,0); small negative credit balances are not outstanding receivables.</x:v>
      </x:c>
    </x:row>
    <x:row r="197" ht="15" hidden="0" customHeight="1">
      <x:c r="C197" s="1" t="str">
        <x:v>CAOT-2024-2</x:v>
      </x:c>
      <x:c r="D197" s="32" t="n">
        <x:v>46234</x:v>
      </x:c>
      <x:c r="E197" s="1" t="str">
        <x:v>pool_end</x:v>
      </x:c>
      <x:c r="F197" s="36" t="n">
        <x:v>543596668.82</x:v>
      </x:c>
      <x:c r="G197" s="36" t="n">
        <x:v>543595358.83</x:v>
      </x:c>
      <x:c r="H197" s="1" t="str">
        <x:v>USD</x:v>
      </x:c>
      <x:c r="I197" s="51" t="str">
        <x:v>Sum max(balance,0); small negative credit balances are not outstanding receivables.</x:v>
      </x:c>
    </x:row>
    <x:row r="198" ht="15" hidden="0" customHeight="1">
      <x:c r="C198" s="1" t="str">
        <x:v>CAOT-2024-2</x:v>
      </x:c>
      <x:c r="D198" s="32" t="n">
        <x:v>46234</x:v>
      </x:c>
      <x:c r="E198" s="1" t="str">
        <x:v>principal_collected</x:v>
      </x:c>
      <x:c r="F198" s="36" t="n">
        <x:v>24624136.97</x:v>
      </x:c>
      <x:c r="G198" s="36" t="n">
        <x:v>24642845.71</x:v>
      </x:c>
      <x:c r="H198" s="1" t="str">
        <x:v>USD</x:v>
      </x:c>
      <x:c r="I198" s="51" t="str">
        <x:v>Raw loan principal includes non-cash reductions per issuer explanatory exhibit; certificate cash taxonomy differs.</x:v>
      </x:c>
    </x:row>
    <x:row r="199" ht="15" hidden="0" customHeight="1">
      <x:c r="C199" s="1" t="str">
        <x:v>CAOT-2024-2</x:v>
      </x:c>
      <x:c r="D199" s="32" t="n">
        <x:v>46234</x:v>
      </x:c>
      <x:c r="E199" s="1" t="str">
        <x:v>interest_collected</x:v>
      </x:c>
      <x:c r="F199" s="36" t="n">
        <x:v>5545796.45</x:v>
      </x:c>
      <x:c r="G199" s="36" t="n">
        <x:v>5607844.35</x:v>
      </x:c>
      <x:c r="H199" s="1" t="str">
        <x:v>USD</x:v>
      </x:c>
      <x:c r="I199" s="51" t="str">
        <x:v>Raw tape net interest compared with certificate finance-charge collections; unexplained differences remain visible.</x:v>
      </x:c>
    </x:row>
    <x:row r="200" ht="15" hidden="0" customHeight="1">
      <x:c r="C200" s="1" t="str">
        <x:v>CAOT-2024-2</x:v>
      </x:c>
      <x:c r="D200" s="32" t="n">
        <x:v>46234</x:v>
      </x:c>
      <x:c r="E200" s="1" t="str">
        <x:v>gross_chargeoffs_raw</x:v>
      </x:c>
      <x:c r="F200" s="36" t="n">
        <x:v>3149254.82</x:v>
      </x:c>
      <x:c r="G200" s="36" t="n">
        <x:v>2275918.64</x:v>
      </x:c>
      <x:c r="H200" s="1" t="str">
        <x:v>USD</x:v>
      </x:c>
      <x:c r="I200" s="51" t="str">
        <x:v>Raw chargedoffPrincipalAmount can recur following reinstatement; do not relabel every row a new default.</x:v>
      </x:c>
    </x:row>
    <x:row r="201" ht="24" hidden="0" customHeight="1">
      <x:c r="C201" s="1" t="str">
        <x:v>CAOT-2024-2</x:v>
      </x:c>
      <x:c r="D201" s="32" t="n">
        <x:v>46234</x:v>
      </x:c>
      <x:c r="E201" s="1" t="str">
        <x:v>recoveries</x:v>
      </x:c>
      <x:c r="F201" s="36" t="n">
        <x:v>760168.83</x:v>
      </x:c>
      <x:c r="G201" s="36" t="n">
        <x:v>869668.34</x:v>
      </x:c>
      <x:c r="H201" s="1" t="str">
        <x:v>USD</x:v>
      </x:c>
      <x:c r="I201" s="51" t="str">
        <x:v>Recovered amounts are monthly flows, not cumulative; omitted fields remain SQL NULL and sum treats no reported flow as zero.</x:v>
      </x:c>
    </x:row>
    <x:row r="202" ht="15" hidden="0" customHeight="1">
      <x:c r="C202" s="1" t="str">
        <x:v>CAOT-2024-2</x:v>
      </x:c>
      <x:c r="D202" s="32" t="n">
        <x:v>46265</x:v>
      </x:c>
      <x:c r="E202" s="1" t="str">
        <x:v>outstanding_loan_count</x:v>
      </x:c>
      <x:c r="F202" s="49" t="n">
        <x:v>38216</x:v>
      </x:c>
      <x:c r="G202" s="49" t="n">
        <x:v>38216</x:v>
      </x:c>
      <x:c r="H202" s="1" t="str">
        <x:v>loans</x:v>
      </x:c>
      <x:c r="I202" s="51" t="str">
        <x:v>Count strictly positive balances; tapes also retain paid/charged-off rows.</x:v>
      </x:c>
    </x:row>
    <x:row r="203" ht="15" hidden="0" customHeight="1">
      <x:c r="C203" s="1" t="str">
        <x:v>CAOT-2024-2</x:v>
      </x:c>
      <x:c r="D203" s="32" t="n">
        <x:v>46265</x:v>
      </x:c>
      <x:c r="E203" s="1" t="str">
        <x:v>pool_begin</x:v>
      </x:c>
      <x:c r="F203" s="36" t="n">
        <x:v>543596668.82</x:v>
      </x:c>
      <x:c r="G203" s="36" t="n">
        <x:v>543595358.83</x:v>
      </x:c>
      <x:c r="H203" s="1" t="str">
        <x:v>USD</x:v>
      </x:c>
      <x:c r="I203" s="51" t="str">
        <x:v>Sum max(balance,0); small negative credit balances are not outstanding receivables.</x:v>
      </x:c>
    </x:row>
    <x:row r="204" ht="15" hidden="0" customHeight="1">
      <x:c r="C204" s="1" t="str">
        <x:v>CAOT-2024-2</x:v>
      </x:c>
      <x:c r="D204" s="32" t="n">
        <x:v>46265</x:v>
      </x:c>
      <x:c r="E204" s="1" t="str">
        <x:v>pool_end</x:v>
      </x:c>
      <x:c r="F204" s="36" t="n">
        <x:v>517977271.97</x:v>
      </x:c>
      <x:c r="G204" s="36" t="n">
        <x:v>517974636.32</x:v>
      </x:c>
      <x:c r="H204" s="1" t="str">
        <x:v>USD</x:v>
      </x:c>
      <x:c r="I204" s="51" t="str">
        <x:v>Sum max(balance,0); small negative credit balances are not outstanding receivables.</x:v>
      </x:c>
    </x:row>
    <x:row r="205" ht="15" hidden="0" customHeight="1">
      <x:c r="C205" s="1" t="str">
        <x:v>CAOT-2024-2</x:v>
      </x:c>
      <x:c r="D205" s="32" t="n">
        <x:v>46265</x:v>
      </x:c>
      <x:c r="E205" s="1" t="str">
        <x:v>principal_collected</x:v>
      </x:c>
      <x:c r="F205" s="36" t="n">
        <x:v>23530015.61</x:v>
      </x:c>
      <x:c r="G205" s="36" t="n">
        <x:v>23559695.44</x:v>
      </x:c>
      <x:c r="H205" s="1" t="str">
        <x:v>USD</x:v>
      </x:c>
      <x:c r="I205" s="51" t="str">
        <x:v>Raw loan principal includes non-cash reductions per issuer explanatory exhibit; certificate cash taxonomy differs.</x:v>
      </x:c>
    </x:row>
    <x:row r="206" ht="15" hidden="0" customHeight="1">
      <x:c r="C206" s="1" t="str">
        <x:v>CAOT-2024-2</x:v>
      </x:c>
      <x:c r="D206" s="32" t="n">
        <x:v>46265</x:v>
      </x:c>
      <x:c r="E206" s="1" t="str">
        <x:v>interest_collected</x:v>
      </x:c>
      <x:c r="F206" s="36" t="n">
        <x:v>5162521.59</x:v>
      </x:c>
      <x:c r="G206" s="36" t="n">
        <x:v>5225787.15</x:v>
      </x:c>
      <x:c r="H206" s="1" t="str">
        <x:v>USD</x:v>
      </x:c>
      <x:c r="I206" s="51" t="str">
        <x:v>Raw tape net interest compared with certificate finance-charge collections; unexplained differences remain visible.</x:v>
      </x:c>
    </x:row>
    <x:row r="207" ht="15" hidden="0" customHeight="1">
      <x:c r="C207" s="1" t="str">
        <x:v>CAOT-2024-2</x:v>
      </x:c>
      <x:c r="D207" s="32" t="n">
        <x:v>46265</x:v>
      </x:c>
      <x:c r="E207" s="1" t="str">
        <x:v>gross_chargeoffs_raw</x:v>
      </x:c>
      <x:c r="F207" s="36" t="n">
        <x:v>3178607.53</x:v>
      </x:c>
      <x:c r="G207" s="36" t="n">
        <x:v>2061027.07</x:v>
      </x:c>
      <x:c r="H207" s="1" t="str">
        <x:v>USD</x:v>
      </x:c>
      <x:c r="I207" s="51" t="str">
        <x:v>Raw chargedoffPrincipalAmount can recur following reinstatement; do not relabel every row a new default.</x:v>
      </x:c>
    </x:row>
    <x:row r="208" ht="24" hidden="0" customHeight="1">
      <x:c r="C208" s="1" t="str">
        <x:v>CAOT-2024-2</x:v>
      </x:c>
      <x:c r="D208" s="32" t="n">
        <x:v>46265</x:v>
      </x:c>
      <x:c r="E208" s="1" t="str">
        <x:v>recoveries</x:v>
      </x:c>
      <x:c r="F208" s="36" t="n">
        <x:v>886770.58</x:v>
      </x:c>
      <x:c r="G208" s="36" t="n">
        <x:v>883580.39</x:v>
      </x:c>
      <x:c r="H208" s="1" t="str">
        <x:v>USD</x:v>
      </x:c>
      <x:c r="I208" s="51" t="str">
        <x:v>Recovered amounts are monthly flows, not cumulative; omitted fields remain SQL NULL and sum treats no reported flow as zero.</x:v>
      </x:c>
    </x:row>
    <x:row r="209" ht="15" hidden="0" customHeight="1">
      <x:c r="C209" s="1" t="str">
        <x:v>CAOT-2025-2</x:v>
      </x:c>
      <x:c r="D209" s="32" t="n">
        <x:v>45777</x:v>
      </x:c>
      <x:c r="E209" s="1" t="str">
        <x:v>outstanding_loan_count</x:v>
      </x:c>
      <x:c r="F209" s="49" t="n">
        <x:v>77605</x:v>
      </x:c>
      <x:c r="G209" s="49" t="n">
        <x:v>77605</x:v>
      </x:c>
      <x:c r="H209" s="1" t="str">
        <x:v>loans</x:v>
      </x:c>
      <x:c r="I209" s="51" t="str">
        <x:v>Count strictly positive balances; tapes also retain paid/charged-off rows.</x:v>
      </x:c>
    </x:row>
    <x:row r="210" ht="15" hidden="0" customHeight="1">
      <x:c r="C210" s="1" t="str">
        <x:v>CAOT-2025-2</x:v>
      </x:c>
      <x:c r="D210" s="32" t="n">
        <x:v>45777</x:v>
      </x:c>
      <x:c r="E210" s="1" t="str">
        <x:v>pool_begin</x:v>
      </x:c>
      <x:c r="F210" s="36" t="n">
        <x:v>1410579421.74</x:v>
      </x:c>
      <x:c r="G210" s="36" t="n">
        <x:v>1410579421.74</x:v>
      </x:c>
      <x:c r="H210" s="1" t="str">
        <x:v>USD</x:v>
      </x:c>
      <x:c r="I210" s="51" t="str">
        <x:v>Sum max(balance,0); small negative credit balances are not outstanding receivables.</x:v>
      </x:c>
    </x:row>
    <x:row r="211" ht="15" hidden="0" customHeight="1">
      <x:c r="C211" s="1" t="str">
        <x:v>CAOT-2025-2</x:v>
      </x:c>
      <x:c r="D211" s="32" t="n">
        <x:v>45777</x:v>
      </x:c>
      <x:c r="E211" s="1" t="str">
        <x:v>pool_end</x:v>
      </x:c>
      <x:c r="F211" s="36" t="n">
        <x:v>1360667830.77</x:v>
      </x:c>
      <x:c r="G211" s="36" t="n">
        <x:v>1360662923.91</x:v>
      </x:c>
      <x:c r="H211" s="1" t="str">
        <x:v>USD</x:v>
      </x:c>
      <x:c r="I211" s="51" t="str">
        <x:v>Sum max(balance,0); small negative credit balances are not outstanding receivables.</x:v>
      </x:c>
    </x:row>
    <x:row r="212" ht="15" hidden="0" customHeight="1">
      <x:c r="C212" s="1" t="str">
        <x:v>CAOT-2025-2</x:v>
      </x:c>
      <x:c r="D212" s="32" t="n">
        <x:v>45777</x:v>
      </x:c>
      <x:c r="E212" s="1" t="str">
        <x:v>principal_collected</x:v>
      </x:c>
      <x:c r="F212" s="36" t="n">
        <x:v>49935562.97</x:v>
      </x:c>
      <x:c r="G212" s="36" t="n">
        <x:v>49916497.83</x:v>
      </x:c>
      <x:c r="H212" s="1" t="str">
        <x:v>USD</x:v>
      </x:c>
      <x:c r="I212" s="51" t="str">
        <x:v>Raw loan principal includes non-cash reductions per issuer explanatory exhibit; certificate cash taxonomy differs.</x:v>
      </x:c>
    </x:row>
    <x:row r="213" ht="15" hidden="0" customHeight="1">
      <x:c r="C213" s="1" t="str">
        <x:v>CAOT-2025-2</x:v>
      </x:c>
      <x:c r="D213" s="32" t="n">
        <x:v>45777</x:v>
      </x:c>
      <x:c r="E213" s="1" t="str">
        <x:v>interest_collected</x:v>
      </x:c>
      <x:c r="F213" s="36" t="n">
        <x:v>9986948.1</x:v>
      </x:c>
      <x:c r="G213" s="36" t="n">
        <x:v>10684948.18</x:v>
      </x:c>
      <x:c r="H213" s="1" t="str">
        <x:v>USD</x:v>
      </x:c>
      <x:c r="I213" s="51" t="str">
        <x:v>Raw tape net interest compared with certificate finance-charge collections; unexplained differences remain visible.</x:v>
      </x:c>
    </x:row>
    <x:row r="214" ht="15" hidden="0" customHeight="1">
      <x:c r="C214" s="1" t="str">
        <x:v>CAOT-2025-2</x:v>
      </x:c>
      <x:c r="D214" s="32" t="n">
        <x:v>45777</x:v>
      </x:c>
      <x:c r="E214" s="1" t="str">
        <x:v>gross_chargeoffs_raw</x:v>
      </x:c>
      <x:c r="F214" s="36" t="n">
        <x:v>0</x:v>
      </x:c>
      <x:c r="G214" s="36" t="n">
        <x:v>0</x:v>
      </x:c>
      <x:c r="H214" s="1" t="str">
        <x:v>USD</x:v>
      </x:c>
      <x:c r="I214" s="51" t="str">
        <x:v>Raw chargedoffPrincipalAmount can recur following reinstatement; do not relabel every row a new default.</x:v>
      </x:c>
    </x:row>
    <x:row r="215" ht="24" hidden="0" customHeight="1">
      <x:c r="C215" s="1" t="str">
        <x:v>CAOT-2025-2</x:v>
      </x:c>
      <x:c r="D215" s="32" t="n">
        <x:v>45777</x:v>
      </x:c>
      <x:c r="E215" s="1" t="str">
        <x:v>recoveries</x:v>
      </x:c>
      <x:c r="F215" s="36" t="n">
        <x:v>0</x:v>
      </x:c>
      <x:c r="G215" s="36" t="n">
        <x:v>0</x:v>
      </x:c>
      <x:c r="H215" s="1" t="str">
        <x:v>USD</x:v>
      </x:c>
      <x:c r="I215" s="51" t="str">
        <x:v>Recovered amounts are monthly flows, not cumulative; omitted fields remain SQL NULL and sum treats no reported flow as zero.</x:v>
      </x:c>
    </x:row>
    <x:row r="216" ht="15" hidden="0" customHeight="1">
      <x:c r="C216" s="1" t="str">
        <x:v>CAOT-2025-2</x:v>
      </x:c>
      <x:c r="D216" s="32" t="n">
        <x:v>45808</x:v>
      </x:c>
      <x:c r="E216" s="1" t="str">
        <x:v>outstanding_loan_count</x:v>
      </x:c>
      <x:c r="F216" s="49" t="n">
        <x:v>76108</x:v>
      </x:c>
      <x:c r="G216" s="49" t="n">
        <x:v>76107</x:v>
      </x:c>
      <x:c r="H216" s="1" t="str">
        <x:v>loans</x:v>
      </x:c>
      <x:c r="I216" s="51" t="str">
        <x:v>Count strictly positive balances; tapes also retain paid/charged-off rows.</x:v>
      </x:c>
    </x:row>
    <x:row r="217" ht="15" hidden="0" customHeight="1">
      <x:c r="C217" s="1" t="str">
        <x:v>CAOT-2025-2</x:v>
      </x:c>
      <x:c r="D217" s="32" t="n">
        <x:v>45808</x:v>
      </x:c>
      <x:c r="E217" s="1" t="str">
        <x:v>pool_begin</x:v>
      </x:c>
      <x:c r="F217" s="36" t="n">
        <x:v>1360667830.77</x:v>
      </x:c>
      <x:c r="G217" s="36" t="n">
        <x:v>1360662923.91</x:v>
      </x:c>
      <x:c r="H217" s="1" t="str">
        <x:v>USD</x:v>
      </x:c>
      <x:c r="I217" s="51" t="str">
        <x:v>Sum max(balance,0); small negative credit balances are not outstanding receivables.</x:v>
      </x:c>
    </x:row>
    <x:row r="218" ht="15" hidden="0" customHeight="1">
      <x:c r="C218" s="1" t="str">
        <x:v>CAOT-2025-2</x:v>
      </x:c>
      <x:c r="D218" s="32" t="n">
        <x:v>45808</x:v>
      </x:c>
      <x:c r="E218" s="1" t="str">
        <x:v>pool_end</x:v>
      </x:c>
      <x:c r="F218" s="36" t="n">
        <x:v>1314239922.35</x:v>
      </x:c>
      <x:c r="G218" s="36" t="n">
        <x:v>1314235191.47</x:v>
      </x:c>
      <x:c r="H218" s="1" t="str">
        <x:v>USD</x:v>
      </x:c>
      <x:c r="I218" s="51" t="str">
        <x:v>Sum max(balance,0); small negative credit balances are not outstanding receivables.</x:v>
      </x:c>
    </x:row>
    <x:row r="219" ht="15" hidden="0" customHeight="1">
      <x:c r="C219" s="1" t="str">
        <x:v>CAOT-2025-2</x:v>
      </x:c>
      <x:c r="D219" s="32" t="n">
        <x:v>45808</x:v>
      </x:c>
      <x:c r="E219" s="1" t="str">
        <x:v>principal_collected</x:v>
      </x:c>
      <x:c r="F219" s="36" t="n">
        <x:v>46492987.5</x:v>
      </x:c>
      <x:c r="G219" s="36" t="n">
        <x:v>46404008.83</x:v>
      </x:c>
      <x:c r="H219" s="1" t="str">
        <x:v>USD</x:v>
      </x:c>
      <x:c r="I219" s="51" t="str">
        <x:v>Raw loan principal includes non-cash reductions per issuer explanatory exhibit; certificate cash taxonomy differs.</x:v>
      </x:c>
    </x:row>
    <x:row r="220" ht="15" hidden="0" customHeight="1">
      <x:c r="C220" s="1" t="str">
        <x:v>CAOT-2025-2</x:v>
      </x:c>
      <x:c r="D220" s="32" t="n">
        <x:v>45808</x:v>
      </x:c>
      <x:c r="E220" s="1" t="str">
        <x:v>interest_collected</x:v>
      </x:c>
      <x:c r="F220" s="36" t="n">
        <x:v>9796012.4</x:v>
      </x:c>
      <x:c r="G220" s="36" t="n">
        <x:v>10506541.29</x:v>
      </x:c>
      <x:c r="H220" s="1" t="str">
        <x:v>USD</x:v>
      </x:c>
      <x:c r="I220" s="51" t="str">
        <x:v>Raw tape net interest compared with certificate finance-charge collections; unexplained differences remain visible.</x:v>
      </x:c>
    </x:row>
    <x:row r="221" ht="15" hidden="0" customHeight="1">
      <x:c r="C221" s="1" t="str">
        <x:v>CAOT-2025-2</x:v>
      </x:c>
      <x:c r="D221" s="32" t="n">
        <x:v>45808</x:v>
      </x:c>
      <x:c r="E221" s="1" t="str">
        <x:v>gross_chargeoffs_raw</x:v>
      </x:c>
      <x:c r="F221" s="36" t="n">
        <x:v>23723.61</x:v>
      </x:c>
      <x:c r="G221" s="36" t="n">
        <x:v>23723.61</x:v>
      </x:c>
      <x:c r="H221" s="1" t="str">
        <x:v>USD</x:v>
      </x:c>
      <x:c r="I221" s="51" t="str">
        <x:v>Raw chargedoffPrincipalAmount can recur following reinstatement; do not relabel every row a new default.</x:v>
      </x:c>
    </x:row>
    <x:row r="222" ht="24" hidden="0" customHeight="1">
      <x:c r="C222" s="1" t="str">
        <x:v>CAOT-2025-2</x:v>
      </x:c>
      <x:c r="D222" s="32" t="n">
        <x:v>45808</x:v>
      </x:c>
      <x:c r="E222" s="1" t="str">
        <x:v>recoveries</x:v>
      </x:c>
      <x:c r="F222" s="36" t="n">
        <x:v>0</x:v>
      </x:c>
      <x:c r="G222" s="36" t="n">
        <x:v>0</x:v>
      </x:c>
      <x:c r="H222" s="1" t="str">
        <x:v>USD</x:v>
      </x:c>
      <x:c r="I222" s="51" t="str">
        <x:v>Recovered amounts are monthly flows, not cumulative; omitted fields remain SQL NULL and sum treats no reported flow as zero.</x:v>
      </x:c>
    </x:row>
    <x:row r="223" ht="15" hidden="0" customHeight="1">
      <x:c r="C223" s="1" t="str">
        <x:v>CAOT-2025-2</x:v>
      </x:c>
      <x:c r="D223" s="32" t="n">
        <x:v>45838</x:v>
      </x:c>
      <x:c r="E223" s="1" t="str">
        <x:v>outstanding_loan_count</x:v>
      </x:c>
      <x:c r="F223" s="49" t="n">
        <x:v>74232</x:v>
      </x:c>
      <x:c r="G223" s="49" t="n">
        <x:v>74231</x:v>
      </x:c>
      <x:c r="H223" s="1" t="str">
        <x:v>loans</x:v>
      </x:c>
      <x:c r="I223" s="51" t="str">
        <x:v>Count strictly positive balances; tapes also retain paid/charged-off rows.</x:v>
      </x:c>
    </x:row>
    <x:row r="224" ht="15" hidden="0" customHeight="1">
      <x:c r="C224" s="1" t="str">
        <x:v>CAOT-2025-2</x:v>
      </x:c>
      <x:c r="D224" s="32" t="n">
        <x:v>45838</x:v>
      </x:c>
      <x:c r="E224" s="1" t="str">
        <x:v>pool_begin</x:v>
      </x:c>
      <x:c r="F224" s="36" t="n">
        <x:v>1314239922.35</x:v>
      </x:c>
      <x:c r="G224" s="36" t="n">
        <x:v>1314235191.47</x:v>
      </x:c>
      <x:c r="H224" s="1" t="str">
        <x:v>USD</x:v>
      </x:c>
      <x:c r="I224" s="51" t="str">
        <x:v>Sum max(balance,0); small negative credit balances are not outstanding receivables.</x:v>
      </x:c>
    </x:row>
    <x:row r="225" ht="15" hidden="0" customHeight="1">
      <x:c r="C225" s="1" t="str">
        <x:v>CAOT-2025-2</x:v>
      </x:c>
      <x:c r="D225" s="32" t="n">
        <x:v>45838</x:v>
      </x:c>
      <x:c r="E225" s="1" t="str">
        <x:v>pool_end</x:v>
      </x:c>
      <x:c r="F225" s="36" t="n">
        <x:v>1270524650.03</x:v>
      </x:c>
      <x:c r="G225" s="36" t="n">
        <x:v>1270520288.28</x:v>
      </x:c>
      <x:c r="H225" s="1" t="str">
        <x:v>USD</x:v>
      </x:c>
      <x:c r="I225" s="51" t="str">
        <x:v>Sum max(balance,0); small negative credit balances are not outstanding receivables.</x:v>
      </x:c>
    </x:row>
    <x:row r="226" ht="15" hidden="0" customHeight="1">
      <x:c r="C226" s="1" t="str">
        <x:v>CAOT-2025-2</x:v>
      </x:c>
      <x:c r="D226" s="32" t="n">
        <x:v>45838</x:v>
      </x:c>
      <x:c r="E226" s="1" t="str">
        <x:v>principal_collected</x:v>
      </x:c>
      <x:c r="F226" s="36" t="n">
        <x:v>43583819.86</x:v>
      </x:c>
      <x:c r="G226" s="36" t="n">
        <x:v>43494912.8</x:v>
      </x:c>
      <x:c r="H226" s="1" t="str">
        <x:v>USD</x:v>
      </x:c>
      <x:c r="I226" s="51" t="str">
        <x:v>Raw loan principal includes non-cash reductions per issuer explanatory exhibit; certificate cash taxonomy differs.</x:v>
      </x:c>
    </x:row>
    <x:row r="227" ht="15" hidden="0" customHeight="1">
      <x:c r="C227" s="1" t="str">
        <x:v>CAOT-2025-2</x:v>
      </x:c>
      <x:c r="D227" s="32" t="n">
        <x:v>45838</x:v>
      </x:c>
      <x:c r="E227" s="1" t="str">
        <x:v>interest_collected</x:v>
      </x:c>
      <x:c r="F227" s="36" t="n">
        <x:v>9585116.5</x:v>
      </x:c>
      <x:c r="G227" s="36" t="n">
        <x:v>10233180.33</x:v>
      </x:c>
      <x:c r="H227" s="1" t="str">
        <x:v>USD</x:v>
      </x:c>
      <x:c r="I227" s="51" t="str">
        <x:v>Raw tape net interest compared with certificate finance-charge collections; unexplained differences remain visible.</x:v>
      </x:c>
    </x:row>
    <x:row r="228" ht="15" hidden="0" customHeight="1">
      <x:c r="C228" s="1" t="str">
        <x:v>CAOT-2025-2</x:v>
      </x:c>
      <x:c r="D228" s="32" t="n">
        <x:v>45838</x:v>
      </x:c>
      <x:c r="E228" s="1" t="str">
        <x:v>gross_chargeoffs_raw</x:v>
      </x:c>
      <x:c r="F228" s="36" t="n">
        <x:v>219990.39</x:v>
      </x:c>
      <x:c r="G228" s="36" t="n">
        <x:v>219990.39</x:v>
      </x:c>
      <x:c r="H228" s="1" t="str">
        <x:v>USD</x:v>
      </x:c>
      <x:c r="I228" s="51" t="str">
        <x:v>Raw chargedoffPrincipalAmount can recur following reinstatement; do not relabel every row a new default.</x:v>
      </x:c>
    </x:row>
    <x:row r="229" ht="24" hidden="0" customHeight="1">
      <x:c r="C229" s="1" t="str">
        <x:v>CAOT-2025-2</x:v>
      </x:c>
      <x:c r="D229" s="32" t="n">
        <x:v>45838</x:v>
      </x:c>
      <x:c r="E229" s="1" t="str">
        <x:v>recoveries</x:v>
      </x:c>
      <x:c r="F229" s="36" t="n">
        <x:v>67836.77</x:v>
      </x:c>
      <x:c r="G229" s="36" t="n">
        <x:v>67516.63</x:v>
      </x:c>
      <x:c r="H229" s="1" t="str">
        <x:v>USD</x:v>
      </x:c>
      <x:c r="I229" s="51" t="str">
        <x:v>Recovered amounts are monthly flows, not cumulative; omitted fields remain SQL NULL and sum treats no reported flow as zero.</x:v>
      </x:c>
    </x:row>
    <x:row r="230" ht="15" hidden="0" customHeight="1">
      <x:c r="C230" s="1" t="str">
        <x:v>CAOT-2025-2</x:v>
      </x:c>
      <x:c r="D230" s="32" t="n">
        <x:v>45869</x:v>
      </x:c>
      <x:c r="E230" s="1" t="str">
        <x:v>outstanding_loan_count</x:v>
      </x:c>
      <x:c r="F230" s="49" t="n">
        <x:v>71895</x:v>
      </x:c>
      <x:c r="G230" s="49" t="n">
        <x:v>71894</x:v>
      </x:c>
      <x:c r="H230" s="1" t="str">
        <x:v>loans</x:v>
      </x:c>
      <x:c r="I230" s="51" t="str">
        <x:v>Count strictly positive balances; tapes also retain paid/charged-off rows.</x:v>
      </x:c>
    </x:row>
    <x:row r="231" ht="15" hidden="0" customHeight="1">
      <x:c r="C231" s="1" t="str">
        <x:v>CAOT-2025-2</x:v>
      </x:c>
      <x:c r="D231" s="32" t="n">
        <x:v>45869</x:v>
      </x:c>
      <x:c r="E231" s="1" t="str">
        <x:v>pool_begin</x:v>
      </x:c>
      <x:c r="F231" s="36" t="n">
        <x:v>1270524650.03</x:v>
      </x:c>
      <x:c r="G231" s="36" t="n">
        <x:v>1270520288.28</x:v>
      </x:c>
      <x:c r="H231" s="1" t="str">
        <x:v>USD</x:v>
      </x:c>
      <x:c r="I231" s="51" t="str">
        <x:v>Sum max(balance,0); small negative credit balances are not outstanding receivables.</x:v>
      </x:c>
    </x:row>
    <x:row r="232" ht="15" hidden="0" customHeight="1">
      <x:c r="C232" s="1" t="str">
        <x:v>CAOT-2025-2</x:v>
      </x:c>
      <x:c r="D232" s="32" t="n">
        <x:v>45869</x:v>
      </x:c>
      <x:c r="E232" s="1" t="str">
        <x:v>pool_end</x:v>
      </x:c>
      <x:c r="F232" s="36" t="n">
        <x:v>1221050231.76</x:v>
      </x:c>
      <x:c r="G232" s="36" t="n">
        <x:v>1221045205.24</x:v>
      </x:c>
      <x:c r="H232" s="1" t="str">
        <x:v>USD</x:v>
      </x:c>
      <x:c r="I232" s="51" t="str">
        <x:v>Sum max(balance,0); small negative credit balances are not outstanding receivables.</x:v>
      </x:c>
    </x:row>
    <x:row r="233" ht="15" hidden="0" customHeight="1">
      <x:c r="C233" s="1" t="str">
        <x:v>CAOT-2025-2</x:v>
      </x:c>
      <x:c r="D233" s="32" t="n">
        <x:v>45869</x:v>
      </x:c>
      <x:c r="E233" s="1" t="str">
        <x:v>principal_collected</x:v>
      </x:c>
      <x:c r="F233" s="36" t="n">
        <x:v>48605376.57</x:v>
      </x:c>
      <x:c r="G233" s="36" t="n">
        <x:v>48571255.96</x:v>
      </x:c>
      <x:c r="H233" s="1" t="str">
        <x:v>USD</x:v>
      </x:c>
      <x:c r="I233" s="51" t="str">
        <x:v>Raw loan principal includes non-cash reductions per issuer explanatory exhibit; certificate cash taxonomy differs.</x:v>
      </x:c>
    </x:row>
    <x:row r="234" ht="15" hidden="0" customHeight="1">
      <x:c r="C234" s="1" t="str">
        <x:v>CAOT-2025-2</x:v>
      </x:c>
      <x:c r="D234" s="32" t="n">
        <x:v>45869</x:v>
      </x:c>
      <x:c r="E234" s="1" t="str">
        <x:v>interest_collected</x:v>
      </x:c>
      <x:c r="F234" s="36" t="n">
        <x:v>9220819.06</x:v>
      </x:c>
      <x:c r="G234" s="36" t="n">
        <x:v>9883123.88</x:v>
      </x:c>
      <x:c r="H234" s="1" t="str">
        <x:v>USD</x:v>
      </x:c>
      <x:c r="I234" s="51" t="str">
        <x:v>Raw tape net interest compared with certificate finance-charge collections; unexplained differences remain visible.</x:v>
      </x:c>
    </x:row>
    <x:row r="235" ht="15" hidden="0" customHeight="1">
      <x:c r="C235" s="1" t="str">
        <x:v>CAOT-2025-2</x:v>
      </x:c>
      <x:c r="D235" s="32" t="n">
        <x:v>45869</x:v>
      </x:c>
      <x:c r="E235" s="1" t="str">
        <x:v>gross_chargeoffs_raw</x:v>
      </x:c>
      <x:c r="F235" s="36" t="n">
        <x:v>918644.12</x:v>
      </x:c>
      <x:c r="G235" s="36" t="n">
        <x:v>903827.08</x:v>
      </x:c>
      <x:c r="H235" s="1" t="str">
        <x:v>USD</x:v>
      </x:c>
      <x:c r="I235" s="51" t="str">
        <x:v>Raw chargedoffPrincipalAmount can recur following reinstatement; do not relabel every row a new default.</x:v>
      </x:c>
    </x:row>
    <x:row r="236" ht="24" hidden="0" customHeight="1">
      <x:c r="C236" s="1" t="str">
        <x:v>CAOT-2025-2</x:v>
      </x:c>
      <x:c r="D236" s="32" t="n">
        <x:v>45869</x:v>
      </x:c>
      <x:c r="E236" s="1" t="str">
        <x:v>recoveries</x:v>
      </x:c>
      <x:c r="F236" s="36" t="n">
        <x:v>168203.11</x:v>
      </x:c>
      <x:c r="G236" s="36" t="n">
        <x:v>168203.11</x:v>
      </x:c>
      <x:c r="H236" s="1" t="str">
        <x:v>USD</x:v>
      </x:c>
      <x:c r="I236" s="51" t="str">
        <x:v>Recovered amounts are monthly flows, not cumulative; omitted fields remain SQL NULL and sum treats no reported flow as zero.</x:v>
      </x:c>
    </x:row>
    <x:row r="237" ht="15" hidden="0" customHeight="1">
      <x:c r="C237" s="1" t="str">
        <x:v>CAOT-2025-2</x:v>
      </x:c>
      <x:c r="D237" s="32" t="n">
        <x:v>45900</x:v>
      </x:c>
      <x:c r="E237" s="1" t="str">
        <x:v>outstanding_loan_count</x:v>
      </x:c>
      <x:c r="F237" s="49" t="n">
        <x:v>69559</x:v>
      </x:c>
      <x:c r="G237" s="49" t="n">
        <x:v>69558</x:v>
      </x:c>
      <x:c r="H237" s="1" t="str">
        <x:v>loans</x:v>
      </x:c>
      <x:c r="I237" s="51" t="str">
        <x:v>Count strictly positive balances; tapes also retain paid/charged-off rows.</x:v>
      </x:c>
    </x:row>
    <x:row r="238" ht="15" hidden="0" customHeight="1">
      <x:c r="C238" s="1" t="str">
        <x:v>CAOT-2025-2</x:v>
      </x:c>
      <x:c r="D238" s="32" t="n">
        <x:v>45900</x:v>
      </x:c>
      <x:c r="E238" s="1" t="str">
        <x:v>pool_begin</x:v>
      </x:c>
      <x:c r="F238" s="36" t="n">
        <x:v>1221050231.76</x:v>
      </x:c>
      <x:c r="G238" s="36" t="n">
        <x:v>1221045205.24</x:v>
      </x:c>
      <x:c r="H238" s="1" t="str">
        <x:v>USD</x:v>
      </x:c>
      <x:c r="I238" s="51" t="str">
        <x:v>Sum max(balance,0); small negative credit balances are not outstanding receivables.</x:v>
      </x:c>
    </x:row>
    <x:row r="239" ht="15" hidden="0" customHeight="1">
      <x:c r="C239" s="1" t="str">
        <x:v>CAOT-2025-2</x:v>
      </x:c>
      <x:c r="D239" s="32" t="n">
        <x:v>45900</x:v>
      </x:c>
      <x:c r="E239" s="1" t="str">
        <x:v>pool_end</x:v>
      </x:c>
      <x:c r="F239" s="36" t="n">
        <x:v>1176071989.14</x:v>
      </x:c>
      <x:c r="G239" s="36" t="n">
        <x:v>1176063647.34</x:v>
      </x:c>
      <x:c r="H239" s="1" t="str">
        <x:v>USD</x:v>
      </x:c>
      <x:c r="I239" s="51" t="str">
        <x:v>Sum max(balance,0); small negative credit balances are not outstanding receivables.</x:v>
      </x:c>
    </x:row>
    <x:row r="240" ht="15" hidden="0" customHeight="1">
      <x:c r="C240" s="1" t="str">
        <x:v>CAOT-2025-2</x:v>
      </x:c>
      <x:c r="D240" s="32" t="n">
        <x:v>45900</x:v>
      </x:c>
      <x:c r="E240" s="1" t="str">
        <x:v>principal_collected</x:v>
      </x:c>
      <x:c r="F240" s="36" t="n">
        <x:v>43979796.38</x:v>
      </x:c>
      <x:c r="G240" s="36" t="n">
        <x:v>43923264.86</x:v>
      </x:c>
      <x:c r="H240" s="1" t="str">
        <x:v>USD</x:v>
      </x:c>
      <x:c r="I240" s="51" t="str">
        <x:v>Raw loan principal includes non-cash reductions per issuer explanatory exhibit; certificate cash taxonomy differs.</x:v>
      </x:c>
    </x:row>
    <x:row r="241" ht="15" hidden="0" customHeight="1">
      <x:c r="C241" s="1" t="str">
        <x:v>CAOT-2025-2</x:v>
      </x:c>
      <x:c r="D241" s="32" t="n">
        <x:v>45900</x:v>
      </x:c>
      <x:c r="E241" s="1" t="str">
        <x:v>interest_collected</x:v>
      </x:c>
      <x:c r="F241" s="36" t="n">
        <x:v>9074690.64</x:v>
      </x:c>
      <x:c r="G241" s="36" t="n">
        <x:v>9737951.69</x:v>
      </x:c>
      <x:c r="H241" s="1" t="str">
        <x:v>USD</x:v>
      </x:c>
      <x:c r="I241" s="51" t="str">
        <x:v>Raw tape net interest compared with certificate finance-charge collections; unexplained differences remain visible.</x:v>
      </x:c>
    </x:row>
    <x:row r="242" ht="15" hidden="0" customHeight="1">
      <x:c r="C242" s="1" t="str">
        <x:v>CAOT-2025-2</x:v>
      </x:c>
      <x:c r="D242" s="32" t="n">
        <x:v>45900</x:v>
      </x:c>
      <x:c r="E242" s="1" t="str">
        <x:v>gross_chargeoffs_raw</x:v>
      </x:c>
      <x:c r="F242" s="36" t="n">
        <x:v>1166778</x:v>
      </x:c>
      <x:c r="G242" s="36" t="n">
        <x:v>1058293.04</x:v>
      </x:c>
      <x:c r="H242" s="1" t="str">
        <x:v>USD</x:v>
      </x:c>
      <x:c r="I242" s="51" t="str">
        <x:v>Raw chargedoffPrincipalAmount can recur following reinstatement; do not relabel every row a new default.</x:v>
      </x:c>
    </x:row>
    <x:row r="243" ht="24" hidden="0" customHeight="1">
      <x:c r="C243" s="1" t="str">
        <x:v>CAOT-2025-2</x:v>
      </x:c>
      <x:c r="D243" s="32" t="n">
        <x:v>45900</x:v>
      </x:c>
      <x:c r="E243" s="1" t="str">
        <x:v>recoveries</x:v>
      </x:c>
      <x:c r="F243" s="36" t="n">
        <x:v>281752.77</x:v>
      </x:c>
      <x:c r="G243" s="36" t="n">
        <x:v>281159.54</x:v>
      </x:c>
      <x:c r="H243" s="1" t="str">
        <x:v>USD</x:v>
      </x:c>
      <x:c r="I243" s="51" t="str">
        <x:v>Recovered amounts are monthly flows, not cumulative; omitted fields remain SQL NULL and sum treats no reported flow as zero.</x:v>
      </x:c>
    </x:row>
    <x:row r="244" ht="15" hidden="0" customHeight="1">
      <x:c r="C244" s="1" t="str">
        <x:v>CAOT-2025-2</x:v>
      </x:c>
      <x:c r="D244" s="32" t="n">
        <x:v>45930</x:v>
      </x:c>
      <x:c r="E244" s="1" t="str">
        <x:v>outstanding_loan_count</x:v>
      </x:c>
      <x:c r="F244" s="49" t="n">
        <x:v>66964</x:v>
      </x:c>
      <x:c r="G244" s="49" t="n">
        <x:v>66964</x:v>
      </x:c>
      <x:c r="H244" s="1" t="str">
        <x:v>loans</x:v>
      </x:c>
      <x:c r="I244" s="51" t="str">
        <x:v>Count strictly positive balances; tapes also retain paid/charged-off rows.</x:v>
      </x:c>
    </x:row>
    <x:row r="245" ht="15" hidden="0" customHeight="1">
      <x:c r="C245" s="1" t="str">
        <x:v>CAOT-2025-2</x:v>
      </x:c>
      <x:c r="D245" s="32" t="n">
        <x:v>45930</x:v>
      </x:c>
      <x:c r="E245" s="1" t="str">
        <x:v>pool_begin</x:v>
      </x:c>
      <x:c r="F245" s="36" t="n">
        <x:v>1176071989.14</x:v>
      </x:c>
      <x:c r="G245" s="36" t="n">
        <x:v>1176063647.34</x:v>
      </x:c>
      <x:c r="H245" s="1" t="str">
        <x:v>USD</x:v>
      </x:c>
      <x:c r="I245" s="51" t="str">
        <x:v>Sum max(balance,0); small negative credit balances are not outstanding receivables.</x:v>
      </x:c>
    </x:row>
    <x:row r="246" ht="15" hidden="0" customHeight="1">
      <x:c r="C246" s="1" t="str">
        <x:v>CAOT-2025-2</x:v>
      </x:c>
      <x:c r="D246" s="32" t="n">
        <x:v>45930</x:v>
      </x:c>
      <x:c r="E246" s="1" t="str">
        <x:v>pool_end</x:v>
      </x:c>
      <x:c r="F246" s="36" t="n">
        <x:v>1134927219.1</x:v>
      </x:c>
      <x:c r="G246" s="36" t="n">
        <x:v>1134924295.51</x:v>
      </x:c>
      <x:c r="H246" s="1" t="str">
        <x:v>USD</x:v>
      </x:c>
      <x:c r="I246" s="51" t="str">
        <x:v>Sum max(balance,0); small negative credit balances are not outstanding receivables.</x:v>
      </x:c>
    </x:row>
    <x:row r="247" ht="15" hidden="0" customHeight="1">
      <x:c r="C247" s="1" t="str">
        <x:v>CAOT-2025-2</x:v>
      </x:c>
      <x:c r="D247" s="32" t="n">
        <x:v>45930</x:v>
      </x:c>
      <x:c r="E247" s="1" t="str">
        <x:v>principal_collected</x:v>
      </x:c>
      <x:c r="F247" s="36" t="n">
        <x:v>39882897.64</x:v>
      </x:c>
      <x:c r="G247" s="36" t="n">
        <x:v>39883218.35</x:v>
      </x:c>
      <x:c r="H247" s="1" t="str">
        <x:v>USD</x:v>
      </x:c>
      <x:c r="I247" s="51" t="str">
        <x:v>Raw loan principal includes non-cash reductions per issuer explanatory exhibit; certificate cash taxonomy differs.</x:v>
      </x:c>
    </x:row>
    <x:row r="248" ht="15" hidden="0" customHeight="1">
      <x:c r="C248" s="1" t="str">
        <x:v>CAOT-2025-2</x:v>
      </x:c>
      <x:c r="D248" s="32" t="n">
        <x:v>45930</x:v>
      </x:c>
      <x:c r="E248" s="1" t="str">
        <x:v>interest_collected</x:v>
      </x:c>
      <x:c r="F248" s="36" t="n">
        <x:v>8500510.82</x:v>
      </x:c>
      <x:c r="G248" s="36" t="n">
        <x:v>9163793.75</x:v>
      </x:c>
      <x:c r="H248" s="1" t="str">
        <x:v>USD</x:v>
      </x:c>
      <x:c r="I248" s="51" t="str">
        <x:v>Raw tape net interest compared with certificate finance-charge collections; unexplained differences remain visible.</x:v>
      </x:c>
    </x:row>
    <x:row r="249" ht="15" hidden="0" customHeight="1">
      <x:c r="C249" s="1" t="str">
        <x:v>CAOT-2025-2</x:v>
      </x:c>
      <x:c r="D249" s="32" t="n">
        <x:v>45930</x:v>
      </x:c>
      <x:c r="E249" s="1" t="str">
        <x:v>gross_chargeoffs_raw</x:v>
      </x:c>
      <x:c r="F249" s="36" t="n">
        <x:v>1479422.98</x:v>
      </x:c>
      <x:c r="G249" s="36" t="n">
        <x:v>1256133.48</x:v>
      </x:c>
      <x:c r="H249" s="1" t="str">
        <x:v>USD</x:v>
      </x:c>
      <x:c r="I249" s="51" t="str">
        <x:v>Raw chargedoffPrincipalAmount can recur following reinstatement; do not relabel every row a new default.</x:v>
      </x:c>
    </x:row>
    <x:row r="250" ht="24" hidden="0" customHeight="1">
      <x:c r="C250" s="1" t="str">
        <x:v>CAOT-2025-2</x:v>
      </x:c>
      <x:c r="D250" s="32" t="n">
        <x:v>45930</x:v>
      </x:c>
      <x:c r="E250" s="1" t="str">
        <x:v>recoveries</x:v>
      </x:c>
      <x:c r="F250" s="36" t="n">
        <x:v>304850.42</x:v>
      </x:c>
      <x:c r="G250" s="36" t="n">
        <x:v>296843.25</x:v>
      </x:c>
      <x:c r="H250" s="1" t="str">
        <x:v>USD</x:v>
      </x:c>
      <x:c r="I250" s="51" t="str">
        <x:v>Recovered amounts are monthly flows, not cumulative; omitted fields remain SQL NULL and sum treats no reported flow as zero.</x:v>
      </x:c>
    </x:row>
    <x:row r="251" ht="15" hidden="0" customHeight="1">
      <x:c r="C251" s="1" t="str">
        <x:v>CAOT-2025-2</x:v>
      </x:c>
      <x:c r="D251" s="32" t="n">
        <x:v>45961</x:v>
      </x:c>
      <x:c r="E251" s="1" t="str">
        <x:v>outstanding_loan_count</x:v>
      </x:c>
      <x:c r="F251" s="49" t="n">
        <x:v>64347</x:v>
      </x:c>
      <x:c r="G251" s="49" t="n">
        <x:v>64346</x:v>
      </x:c>
      <x:c r="H251" s="1" t="str">
        <x:v>loans</x:v>
      </x:c>
      <x:c r="I251" s="51" t="str">
        <x:v>Count strictly positive balances; tapes also retain paid/charged-off rows.</x:v>
      </x:c>
    </x:row>
    <x:row r="252" ht="15" hidden="0" customHeight="1">
      <x:c r="C252" s="1" t="str">
        <x:v>CAOT-2025-2</x:v>
      </x:c>
      <x:c r="D252" s="32" t="n">
        <x:v>45961</x:v>
      </x:c>
      <x:c r="E252" s="1" t="str">
        <x:v>pool_begin</x:v>
      </x:c>
      <x:c r="F252" s="36" t="n">
        <x:v>1134927219.1</x:v>
      </x:c>
      <x:c r="G252" s="36" t="n">
        <x:v>1134924295.51</x:v>
      </x:c>
      <x:c r="H252" s="1" t="str">
        <x:v>USD</x:v>
      </x:c>
      <x:c r="I252" s="51" t="str">
        <x:v>Sum max(balance,0); small negative credit balances are not outstanding receivables.</x:v>
      </x:c>
    </x:row>
    <x:row r="253" ht="15" hidden="0" customHeight="1">
      <x:c r="C253" s="1" t="str">
        <x:v>CAOT-2025-2</x:v>
      </x:c>
      <x:c r="D253" s="32" t="n">
        <x:v>45961</x:v>
      </x:c>
      <x:c r="E253" s="1" t="str">
        <x:v>pool_end</x:v>
      </x:c>
      <x:c r="F253" s="36" t="n">
        <x:v>1094001701.47</x:v>
      </x:c>
      <x:c r="G253" s="36" t="n">
        <x:v>1094001264.6</x:v>
      </x:c>
      <x:c r="H253" s="1" t="str">
        <x:v>USD</x:v>
      </x:c>
      <x:c r="I253" s="51" t="str">
        <x:v>Sum max(balance,0); small negative credit balances are not outstanding receivables.</x:v>
      </x:c>
    </x:row>
    <x:row r="254" ht="15" hidden="0" customHeight="1">
      <x:c r="C254" s="1" t="str">
        <x:v>CAOT-2025-2</x:v>
      </x:c>
      <x:c r="D254" s="32" t="n">
        <x:v>45961</x:v>
      </x:c>
      <x:c r="E254" s="1" t="str">
        <x:v>principal_collected</x:v>
      </x:c>
      <x:c r="F254" s="36" t="n">
        <x:v>39760381.11</x:v>
      </x:c>
      <x:c r="G254" s="36" t="n">
        <x:v>39758783.45</x:v>
      </x:c>
      <x:c r="H254" s="1" t="str">
        <x:v>USD</x:v>
      </x:c>
      <x:c r="I254" s="51" t="str">
        <x:v>Raw loan principal includes non-cash reductions per issuer explanatory exhibit; certificate cash taxonomy differs.</x:v>
      </x:c>
    </x:row>
    <x:row r="255" ht="15" hidden="0" customHeight="1">
      <x:c r="C255" s="1" t="str">
        <x:v>CAOT-2025-2</x:v>
      </x:c>
      <x:c r="D255" s="32" t="n">
        <x:v>45961</x:v>
      </x:c>
      <x:c r="E255" s="1" t="str">
        <x:v>interest_collected</x:v>
      </x:c>
      <x:c r="F255" s="36" t="n">
        <x:v>8640147.01</x:v>
      </x:c>
      <x:c r="G255" s="36" t="n">
        <x:v>8690827.56</x:v>
      </x:c>
      <x:c r="H255" s="1" t="str">
        <x:v>USD</x:v>
      </x:c>
      <x:c r="I255" s="51" t="str">
        <x:v>Raw tape net interest compared with certificate finance-charge collections; unexplained differences remain visible.</x:v>
      </x:c>
    </x:row>
    <x:row r="256" ht="15" hidden="0" customHeight="1">
      <x:c r="C256" s="1" t="str">
        <x:v>CAOT-2025-2</x:v>
      </x:c>
      <x:c r="D256" s="32" t="n">
        <x:v>45961</x:v>
      </x:c>
      <x:c r="E256" s="1" t="str">
        <x:v>gross_chargeoffs_raw</x:v>
      </x:c>
      <x:c r="F256" s="36" t="n">
        <x:v>1546643.33</x:v>
      </x:c>
      <x:c r="G256" s="36" t="n">
        <x:v>1164247.46</x:v>
      </x:c>
      <x:c r="H256" s="1" t="str">
        <x:v>USD</x:v>
      </x:c>
      <x:c r="I256" s="51" t="str">
        <x:v>Raw chargedoffPrincipalAmount can recur following reinstatement; do not relabel every row a new default.</x:v>
      </x:c>
    </x:row>
    <x:row r="257" ht="24" hidden="0" customHeight="1">
      <x:c r="C257" s="1" t="str">
        <x:v>CAOT-2025-2</x:v>
      </x:c>
      <x:c r="D257" s="32" t="n">
        <x:v>45961</x:v>
      </x:c>
      <x:c r="E257" s="1" t="str">
        <x:v>recoveries</x:v>
      </x:c>
      <x:c r="F257" s="36" t="n">
        <x:v>460025.53</x:v>
      </x:c>
      <x:c r="G257" s="36" t="n">
        <x:v>463595.18</x:v>
      </x:c>
      <x:c r="H257" s="1" t="str">
        <x:v>USD</x:v>
      </x:c>
      <x:c r="I257" s="51" t="str">
        <x:v>Recovered amounts are monthly flows, not cumulative; omitted fields remain SQL NULL and sum treats no reported flow as zero.</x:v>
      </x:c>
    </x:row>
    <x:row r="258" ht="15" hidden="0" customHeight="1">
      <x:c r="C258" s="1" t="str">
        <x:v>CAOT-2025-2</x:v>
      </x:c>
      <x:c r="D258" s="32" t="n">
        <x:v>45991</x:v>
      </x:c>
      <x:c r="E258" s="1" t="str">
        <x:v>outstanding_loan_count</x:v>
      </x:c>
      <x:c r="F258" s="49" t="n">
        <x:v>62052</x:v>
      </x:c>
      <x:c r="G258" s="49" t="n">
        <x:v>62052</x:v>
      </x:c>
      <x:c r="H258" s="1" t="str">
        <x:v>loans</x:v>
      </x:c>
      <x:c r="I258" s="51" t="str">
        <x:v>Count strictly positive balances; tapes also retain paid/charged-off rows.</x:v>
      </x:c>
    </x:row>
    <x:row r="259" ht="15" hidden="0" customHeight="1">
      <x:c r="C259" s="1" t="str">
        <x:v>CAOT-2025-2</x:v>
      </x:c>
      <x:c r="D259" s="32" t="n">
        <x:v>45991</x:v>
      </x:c>
      <x:c r="E259" s="1" t="str">
        <x:v>pool_begin</x:v>
      </x:c>
      <x:c r="F259" s="36" t="n">
        <x:v>1094001701.47</x:v>
      </x:c>
      <x:c r="G259" s="36" t="n">
        <x:v>1094001264.6</x:v>
      </x:c>
      <x:c r="H259" s="1" t="str">
        <x:v>USD</x:v>
      </x:c>
      <x:c r="I259" s="51" t="str">
        <x:v>Sum max(balance,0); small negative credit balances are not outstanding receivables.</x:v>
      </x:c>
    </x:row>
    <x:row r="260" ht="15" hidden="0" customHeight="1">
      <x:c r="C260" s="1" t="str">
        <x:v>CAOT-2025-2</x:v>
      </x:c>
      <x:c r="D260" s="32" t="n">
        <x:v>45991</x:v>
      </x:c>
      <x:c r="E260" s="1" t="str">
        <x:v>pool_end</x:v>
      </x:c>
      <x:c r="F260" s="36" t="n">
        <x:v>1056172038</x:v>
      </x:c>
      <x:c r="G260" s="36" t="n">
        <x:v>1056172777.56</x:v>
      </x:c>
      <x:c r="H260" s="1" t="str">
        <x:v>USD</x:v>
      </x:c>
      <x:c r="I260" s="51" t="str">
        <x:v>Sum max(balance,0); small negative credit balances are not outstanding receivables.</x:v>
      </x:c>
    </x:row>
    <x:row r="261" ht="15" hidden="0" customHeight="1">
      <x:c r="C261" s="1" t="str">
        <x:v>CAOT-2025-2</x:v>
      </x:c>
      <x:c r="D261" s="32" t="n">
        <x:v>45991</x:v>
      </x:c>
      <x:c r="E261" s="1" t="str">
        <x:v>principal_collected</x:v>
      </x:c>
      <x:c r="F261" s="36" t="n">
        <x:v>36778374.2</x:v>
      </x:c>
      <x:c r="G261" s="36" t="n">
        <x:v>36764876.33</x:v>
      </x:c>
      <x:c r="H261" s="1" t="str">
        <x:v>USD</x:v>
      </x:c>
      <x:c r="I261" s="51" t="str">
        <x:v>Raw loan principal includes non-cash reductions per issuer explanatory exhibit; certificate cash taxonomy differs.</x:v>
      </x:c>
    </x:row>
    <x:row r="262" ht="15" hidden="0" customHeight="1">
      <x:c r="C262" s="1" t="str">
        <x:v>CAOT-2025-2</x:v>
      </x:c>
      <x:c r="D262" s="32" t="n">
        <x:v>45991</x:v>
      </x:c>
      <x:c r="E262" s="1" t="str">
        <x:v>interest_collected</x:v>
      </x:c>
      <x:c r="F262" s="36" t="n">
        <x:v>8615270.73</x:v>
      </x:c>
      <x:c r="G262" s="36" t="n">
        <x:v>8667364.1</x:v>
      </x:c>
      <x:c r="H262" s="1" t="str">
        <x:v>USD</x:v>
      </x:c>
      <x:c r="I262" s="51" t="str">
        <x:v>Raw tape net interest compared with certificate finance-charge collections; unexplained differences remain visible.</x:v>
      </x:c>
    </x:row>
    <x:row r="263" ht="15" hidden="0" customHeight="1">
      <x:c r="C263" s="1" t="str">
        <x:v>CAOT-2025-2</x:v>
      </x:c>
      <x:c r="D263" s="32" t="n">
        <x:v>45991</x:v>
      </x:c>
      <x:c r="E263" s="1" t="str">
        <x:v>gross_chargeoffs_raw</x:v>
      </x:c>
      <x:c r="F263" s="36" t="n">
        <x:v>1494989.74</x:v>
      </x:c>
      <x:c r="G263" s="36" t="n">
        <x:v>1063610.71</x:v>
      </x:c>
      <x:c r="H263" s="1" t="str">
        <x:v>USD</x:v>
      </x:c>
      <x:c r="I263" s="51" t="str">
        <x:v>Raw chargedoffPrincipalAmount can recur following reinstatement; do not relabel every row a new default.</x:v>
      </x:c>
    </x:row>
    <x:row r="264" ht="24" hidden="0" customHeight="1">
      <x:c r="C264" s="1" t="str">
        <x:v>CAOT-2025-2</x:v>
      </x:c>
      <x:c r="D264" s="32" t="n">
        <x:v>45991</x:v>
      </x:c>
      <x:c r="E264" s="1" t="str">
        <x:v>recoveries</x:v>
      </x:c>
      <x:c r="F264" s="36" t="n">
        <x:v>578387.2</x:v>
      </x:c>
      <x:c r="G264" s="36" t="n">
        <x:v>573351.62</x:v>
      </x:c>
      <x:c r="H264" s="1" t="str">
        <x:v>USD</x:v>
      </x:c>
      <x:c r="I264" s="51" t="str">
        <x:v>Recovered amounts are monthly flows, not cumulative; omitted fields remain SQL NULL and sum treats no reported flow as zero.</x:v>
      </x:c>
    </x:row>
    <x:row r="265" ht="15" hidden="0" customHeight="1">
      <x:c r="C265" s="1" t="str">
        <x:v>CAOT-2025-2</x:v>
      </x:c>
      <x:c r="D265" s="32" t="n">
        <x:v>46022</x:v>
      </x:c>
      <x:c r="E265" s="1" t="str">
        <x:v>outstanding_loan_count</x:v>
      </x:c>
      <x:c r="F265" s="49" t="n">
        <x:v>60442</x:v>
      </x:c>
      <x:c r="G265" s="49" t="n">
        <x:v>60442</x:v>
      </x:c>
      <x:c r="H265" s="1" t="str">
        <x:v>loans</x:v>
      </x:c>
      <x:c r="I265" s="51" t="str">
        <x:v>Count strictly positive balances; tapes also retain paid/charged-off rows.</x:v>
      </x:c>
    </x:row>
    <x:row r="266" ht="15" hidden="0" customHeight="1">
      <x:c r="C266" s="1" t="str">
        <x:v>CAOT-2025-2</x:v>
      </x:c>
      <x:c r="D266" s="32" t="n">
        <x:v>46022</x:v>
      </x:c>
      <x:c r="E266" s="1" t="str">
        <x:v>pool_begin</x:v>
      </x:c>
      <x:c r="F266" s="36" t="n">
        <x:v>1056172038</x:v>
      </x:c>
      <x:c r="G266" s="36" t="n">
        <x:v>1056172777.56</x:v>
      </x:c>
      <x:c r="H266" s="1" t="str">
        <x:v>USD</x:v>
      </x:c>
      <x:c r="I266" s="51" t="str">
        <x:v>Sum max(balance,0); small negative credit balances are not outstanding receivables.</x:v>
      </x:c>
    </x:row>
    <x:row r="267" ht="15" hidden="0" customHeight="1">
      <x:c r="C267" s="1" t="str">
        <x:v>CAOT-2025-2</x:v>
      </x:c>
      <x:c r="D267" s="32" t="n">
        <x:v>46022</x:v>
      </x:c>
      <x:c r="E267" s="1" t="str">
        <x:v>pool_end</x:v>
      </x:c>
      <x:c r="F267" s="36" t="n">
        <x:v>1018617161.61</x:v>
      </x:c>
      <x:c r="G267" s="36" t="n">
        <x:v>1018617555.03</x:v>
      </x:c>
      <x:c r="H267" s="1" t="str">
        <x:v>USD</x:v>
      </x:c>
      <x:c r="I267" s="51" t="str">
        <x:v>Sum max(balance,0); small negative credit balances are not outstanding receivables.</x:v>
      </x:c>
    </x:row>
    <x:row r="268" ht="15" hidden="0" customHeight="1">
      <x:c r="C268" s="1" t="str">
        <x:v>CAOT-2025-2</x:v>
      </x:c>
      <x:c r="D268" s="32" t="n">
        <x:v>46022</x:v>
      </x:c>
      <x:c r="E268" s="1" t="str">
        <x:v>principal_collected</x:v>
      </x:c>
      <x:c r="F268" s="36" t="n">
        <x:v>36554309.42</x:v>
      </x:c>
      <x:c r="G268" s="36" t="n">
        <x:v>36549408.38</x:v>
      </x:c>
      <x:c r="H268" s="1" t="str">
        <x:v>USD</x:v>
      </x:c>
      <x:c r="I268" s="51" t="str">
        <x:v>Raw loan principal includes non-cash reductions per issuer explanatory exhibit; certificate cash taxonomy differs.</x:v>
      </x:c>
    </x:row>
    <x:row r="269" ht="15" hidden="0" customHeight="1">
      <x:c r="C269" s="1" t="str">
        <x:v>CAOT-2025-2</x:v>
      </x:c>
      <x:c r="D269" s="32" t="n">
        <x:v>46022</x:v>
      </x:c>
      <x:c r="E269" s="1" t="str">
        <x:v>interest_collected</x:v>
      </x:c>
      <x:c r="F269" s="36" t="n">
        <x:v>8178514.42</x:v>
      </x:c>
      <x:c r="G269" s="36" t="n">
        <x:v>8223189.17</x:v>
      </x:c>
      <x:c r="H269" s="1" t="str">
        <x:v>USD</x:v>
      </x:c>
      <x:c r="I269" s="51" t="str">
        <x:v>Raw tape net interest compared with certificate finance-charge collections; unexplained differences remain visible.</x:v>
      </x:c>
    </x:row>
    <x:row r="270" ht="15" hidden="0" customHeight="1">
      <x:c r="C270" s="1" t="str">
        <x:v>CAOT-2025-2</x:v>
      </x:c>
      <x:c r="D270" s="32" t="n">
        <x:v>46022</x:v>
      </x:c>
      <x:c r="E270" s="1" t="str">
        <x:v>gross_chargeoffs_raw</x:v>
      </x:c>
      <x:c r="F270" s="36" t="n">
        <x:v>1350649.3</x:v>
      </x:c>
      <x:c r="G270" s="36" t="n">
        <x:v>1005814.15</x:v>
      </x:c>
      <x:c r="H270" s="1" t="str">
        <x:v>USD</x:v>
      </x:c>
      <x:c r="I270" s="51" t="str">
        <x:v>Raw chargedoffPrincipalAmount can recur following reinstatement; do not relabel every row a new default.</x:v>
      </x:c>
    </x:row>
    <x:row r="271" ht="24" hidden="0" customHeight="1">
      <x:c r="C271" s="1" t="str">
        <x:v>CAOT-2025-2</x:v>
      </x:c>
      <x:c r="D271" s="32" t="n">
        <x:v>46022</x:v>
      </x:c>
      <x:c r="E271" s="1" t="str">
        <x:v>recoveries</x:v>
      </x:c>
      <x:c r="F271" s="36" t="n">
        <x:v>370365.47</x:v>
      </x:c>
      <x:c r="G271" s="36" t="n">
        <x:v>363781.84</x:v>
      </x:c>
      <x:c r="H271" s="1" t="str">
        <x:v>USD</x:v>
      </x:c>
      <x:c r="I271" s="51" t="str">
        <x:v>Recovered amounts are monthly flows, not cumulative; omitted fields remain SQL NULL and sum treats no reported flow as zero.</x:v>
      </x:c>
    </x:row>
    <x:row r="272" ht="15" hidden="0" customHeight="1">
      <x:c r="C272" s="1" t="str">
        <x:v>CAOT-2025-2</x:v>
      </x:c>
      <x:c r="D272" s="32" t="n">
        <x:v>46053</x:v>
      </x:c>
      <x:c r="E272" s="1" t="str">
        <x:v>outstanding_loan_count</x:v>
      </x:c>
      <x:c r="F272" s="49" t="n">
        <x:v>58881</x:v>
      </x:c>
      <x:c r="G272" s="49" t="n">
        <x:v>58880</x:v>
      </x:c>
      <x:c r="H272" s="1" t="str">
        <x:v>loans</x:v>
      </x:c>
      <x:c r="I272" s="51" t="str">
        <x:v>Count strictly positive balances; tapes also retain paid/charged-off rows.</x:v>
      </x:c>
    </x:row>
    <x:row r="273" ht="15" hidden="0" customHeight="1">
      <x:c r="C273" s="1" t="str">
        <x:v>CAOT-2025-2</x:v>
      </x:c>
      <x:c r="D273" s="32" t="n">
        <x:v>46053</x:v>
      </x:c>
      <x:c r="E273" s="1" t="str">
        <x:v>pool_begin</x:v>
      </x:c>
      <x:c r="F273" s="36" t="n">
        <x:v>1018617161.61</x:v>
      </x:c>
      <x:c r="G273" s="36" t="n">
        <x:v>1018617555.03</x:v>
      </x:c>
      <x:c r="H273" s="1" t="str">
        <x:v>USD</x:v>
      </x:c>
      <x:c r="I273" s="51" t="str">
        <x:v>Sum max(balance,0); small negative credit balances are not outstanding receivables.</x:v>
      </x:c>
    </x:row>
    <x:row r="274" ht="15" hidden="0" customHeight="1">
      <x:c r="C274" s="1" t="str">
        <x:v>CAOT-2025-2</x:v>
      </x:c>
      <x:c r="D274" s="32" t="n">
        <x:v>46053</x:v>
      </x:c>
      <x:c r="E274" s="1" t="str">
        <x:v>pool_end</x:v>
      </x:c>
      <x:c r="F274" s="36" t="n">
        <x:v>981252980.82</x:v>
      </x:c>
      <x:c r="G274" s="36" t="n">
        <x:v>981253680.14</x:v>
      </x:c>
      <x:c r="H274" s="1" t="str">
        <x:v>USD</x:v>
      </x:c>
      <x:c r="I274" s="51" t="str">
        <x:v>Sum max(balance,0); small negative credit balances are not outstanding receivables.</x:v>
      </x:c>
    </x:row>
    <x:row r="275" ht="15" hidden="0" customHeight="1">
      <x:c r="C275" s="1" t="str">
        <x:v>CAOT-2025-2</x:v>
      </x:c>
      <x:c r="D275" s="32" t="n">
        <x:v>46053</x:v>
      </x:c>
      <x:c r="E275" s="1" t="str">
        <x:v>principal_collected</x:v>
      </x:c>
      <x:c r="F275" s="36" t="n">
        <x:v>36177722.88</x:v>
      </x:c>
      <x:c r="G275" s="36" t="n">
        <x:v>36164137.03</x:v>
      </x:c>
      <x:c r="H275" s="1" t="str">
        <x:v>USD</x:v>
      </x:c>
      <x:c r="I275" s="51" t="str">
        <x:v>Raw loan principal includes non-cash reductions per issuer explanatory exhibit; certificate cash taxonomy differs.</x:v>
      </x:c>
    </x:row>
    <x:row r="276" ht="15" hidden="0" customHeight="1">
      <x:c r="C276" s="1" t="str">
        <x:v>CAOT-2025-2</x:v>
      </x:c>
      <x:c r="D276" s="32" t="n">
        <x:v>46053</x:v>
      </x:c>
      <x:c r="E276" s="1" t="str">
        <x:v>interest_collected</x:v>
      </x:c>
      <x:c r="F276" s="36" t="n">
        <x:v>8142714.1</x:v>
      </x:c>
      <x:c r="G276" s="36" t="n">
        <x:v>8196960.49</x:v>
      </x:c>
      <x:c r="H276" s="1" t="str">
        <x:v>USD</x:v>
      </x:c>
      <x:c r="I276" s="51" t="str">
        <x:v>Raw tape net interest compared with certificate finance-charge collections; unexplained differences remain visible.</x:v>
      </x:c>
    </x:row>
    <x:row r="277" ht="15" hidden="0" customHeight="1">
      <x:c r="C277" s="1" t="str">
        <x:v>CAOT-2025-2</x:v>
      </x:c>
      <x:c r="D277" s="32" t="n">
        <x:v>46053</x:v>
      </x:c>
      <x:c r="E277" s="1" t="str">
        <x:v>gross_chargeoffs_raw</x:v>
      </x:c>
      <x:c r="F277" s="36" t="n">
        <x:v>1581373.48</x:v>
      </x:c>
      <x:c r="G277" s="36" t="n">
        <x:v>1199737.86</x:v>
      </x:c>
      <x:c r="H277" s="1" t="str">
        <x:v>USD</x:v>
      </x:c>
      <x:c r="I277" s="51" t="str">
        <x:v>Raw chargedoffPrincipalAmount can recur following reinstatement; do not relabel every row a new default.</x:v>
      </x:c>
    </x:row>
    <x:row r="278" ht="24" hidden="0" customHeight="1">
      <x:c r="C278" s="1" t="str">
        <x:v>CAOT-2025-2</x:v>
      </x:c>
      <x:c r="D278" s="32" t="n">
        <x:v>46053</x:v>
      </x:c>
      <x:c r="E278" s="1" t="str">
        <x:v>recoveries</x:v>
      </x:c>
      <x:c r="F278" s="36" t="n">
        <x:v>461076.13</x:v>
      </x:c>
      <x:c r="G278" s="36" t="n">
        <x:v>458545.93</x:v>
      </x:c>
      <x:c r="H278" s="1" t="str">
        <x:v>USD</x:v>
      </x:c>
      <x:c r="I278" s="51" t="str">
        <x:v>Recovered amounts are monthly flows, not cumulative; omitted fields remain SQL NULL and sum treats no reported flow as zero.</x:v>
      </x:c>
    </x:row>
    <x:row r="279" ht="15" hidden="0" customHeight="1">
      <x:c r="C279" s="1" t="str">
        <x:v>CAOT-2025-2</x:v>
      </x:c>
      <x:c r="D279" s="32" t="n">
        <x:v>46081</x:v>
      </x:c>
      <x:c r="E279" s="1" t="str">
        <x:v>outstanding_loan_count</x:v>
      </x:c>
      <x:c r="F279" s="49" t="n">
        <x:v>57334</x:v>
      </x:c>
      <x:c r="G279" s="49" t="n">
        <x:v>57334</x:v>
      </x:c>
      <x:c r="H279" s="1" t="str">
        <x:v>loans</x:v>
      </x:c>
      <x:c r="I279" s="51" t="str">
        <x:v>Count strictly positive balances; tapes also retain paid/charged-off rows.</x:v>
      </x:c>
    </x:row>
    <x:row r="280" ht="15" hidden="0" customHeight="1">
      <x:c r="C280" s="1" t="str">
        <x:v>CAOT-2025-2</x:v>
      </x:c>
      <x:c r="D280" s="32" t="n">
        <x:v>46081</x:v>
      </x:c>
      <x:c r="E280" s="1" t="str">
        <x:v>pool_begin</x:v>
      </x:c>
      <x:c r="F280" s="36" t="n">
        <x:v>981252980.82</x:v>
      </x:c>
      <x:c r="G280" s="36" t="n">
        <x:v>981253680.14</x:v>
      </x:c>
      <x:c r="H280" s="1" t="str">
        <x:v>USD</x:v>
      </x:c>
      <x:c r="I280" s="51" t="str">
        <x:v>Sum max(balance,0); small negative credit balances are not outstanding receivables.</x:v>
      </x:c>
    </x:row>
    <x:row r="281" ht="15" hidden="0" customHeight="1">
      <x:c r="C281" s="1" t="str">
        <x:v>CAOT-2025-2</x:v>
      </x:c>
      <x:c r="D281" s="32" t="n">
        <x:v>46081</x:v>
      </x:c>
      <x:c r="E281" s="1" t="str">
        <x:v>pool_end</x:v>
      </x:c>
      <x:c r="F281" s="36" t="n">
        <x:v>947533105.06</x:v>
      </x:c>
      <x:c r="G281" s="36" t="n">
        <x:v>947534363.5</x:v>
      </x:c>
      <x:c r="H281" s="1" t="str">
        <x:v>USD</x:v>
      </x:c>
      <x:c r="I281" s="51" t="str">
        <x:v>Sum max(balance,0); small negative credit balances are not outstanding receivables.</x:v>
      </x:c>
    </x:row>
    <x:row r="282" ht="15" hidden="0" customHeight="1">
      <x:c r="C282" s="1" t="str">
        <x:v>CAOT-2025-2</x:v>
      </x:c>
      <x:c r="D282" s="32" t="n">
        <x:v>46081</x:v>
      </x:c>
      <x:c r="E282" s="1" t="str">
        <x:v>principal_collected</x:v>
      </x:c>
      <x:c r="F282" s="36" t="n">
        <x:v>33006386.97</x:v>
      </x:c>
      <x:c r="G282" s="36" t="n">
        <x:v>32975926.59</x:v>
      </x:c>
      <x:c r="H282" s="1" t="str">
        <x:v>USD</x:v>
      </x:c>
      <x:c r="I282" s="51" t="str">
        <x:v>Raw loan principal includes non-cash reductions per issuer explanatory exhibit; certificate cash taxonomy differs.</x:v>
      </x:c>
    </x:row>
    <x:row r="283" ht="15" hidden="0" customHeight="1">
      <x:c r="C283" s="1" t="str">
        <x:v>CAOT-2025-2</x:v>
      </x:c>
      <x:c r="D283" s="32" t="n">
        <x:v>46081</x:v>
      </x:c>
      <x:c r="E283" s="1" t="str">
        <x:v>interest_collected</x:v>
      </x:c>
      <x:c r="F283" s="36" t="n">
        <x:v>7337246.94</x:v>
      </x:c>
      <x:c r="G283" s="36" t="n">
        <x:v>7385567.25</x:v>
      </x:c>
      <x:c r="H283" s="1" t="str">
        <x:v>USD</x:v>
      </x:c>
      <x:c r="I283" s="51" t="str">
        <x:v>Raw tape net interest compared with certificate finance-charge collections; unexplained differences remain visible.</x:v>
      </x:c>
    </x:row>
    <x:row r="284" ht="15" hidden="0" customHeight="1">
      <x:c r="C284" s="1" t="str">
        <x:v>CAOT-2025-2</x:v>
      </x:c>
      <x:c r="D284" s="32" t="n">
        <x:v>46081</x:v>
      </x:c>
      <x:c r="E284" s="1" t="str">
        <x:v>gross_chargeoffs_raw</x:v>
      </x:c>
      <x:c r="F284" s="36" t="n">
        <x:v>1437003.46</x:v>
      </x:c>
      <x:c r="G284" s="36" t="n">
        <x:v>743390.05</x:v>
      </x:c>
      <x:c r="H284" s="1" t="str">
        <x:v>USD</x:v>
      </x:c>
      <x:c r="I284" s="51" t="str">
        <x:v>Raw chargedoffPrincipalAmount can recur following reinstatement; do not relabel every row a new default.</x:v>
      </x:c>
    </x:row>
    <x:row r="285" ht="24" hidden="0" customHeight="1">
      <x:c r="C285" s="1" t="str">
        <x:v>CAOT-2025-2</x:v>
      </x:c>
      <x:c r="D285" s="32" t="n">
        <x:v>46081</x:v>
      </x:c>
      <x:c r="E285" s="1" t="str">
        <x:v>recoveries</x:v>
      </x:c>
      <x:c r="F285" s="36" t="n">
        <x:v>490833.95</x:v>
      </x:c>
      <x:c r="G285" s="36" t="n">
        <x:v>480921.94</x:v>
      </x:c>
      <x:c r="H285" s="1" t="str">
        <x:v>USD</x:v>
      </x:c>
      <x:c r="I285" s="51" t="str">
        <x:v>Recovered amounts are monthly flows, not cumulative; omitted fields remain SQL NULL and sum treats no reported flow as zero.</x:v>
      </x:c>
    </x:row>
    <x:row r="286" ht="15" hidden="0" customHeight="1">
      <x:c r="C286" s="1" t="str">
        <x:v>CAOT-2025-2</x:v>
      </x:c>
      <x:c r="D286" s="32" t="n">
        <x:v>46112</x:v>
      </x:c>
      <x:c r="E286" s="1" t="str">
        <x:v>outstanding_loan_count</x:v>
      </x:c>
      <x:c r="F286" s="49" t="n">
        <x:v>55500</x:v>
      </x:c>
      <x:c r="G286" s="49" t="n">
        <x:v>55496</x:v>
      </x:c>
      <x:c r="H286" s="1" t="str">
        <x:v>loans</x:v>
      </x:c>
      <x:c r="I286" s="51" t="str">
        <x:v>Count strictly positive balances; tapes also retain paid/charged-off rows.</x:v>
      </x:c>
    </x:row>
    <x:row r="287" ht="15" hidden="0" customHeight="1">
      <x:c r="C287" s="1" t="str">
        <x:v>CAOT-2025-2</x:v>
      </x:c>
      <x:c r="D287" s="32" t="n">
        <x:v>46112</x:v>
      </x:c>
      <x:c r="E287" s="1" t="str">
        <x:v>pool_begin</x:v>
      </x:c>
      <x:c r="F287" s="36" t="n">
        <x:v>947533105.06</x:v>
      </x:c>
      <x:c r="G287" s="36" t="n">
        <x:v>947534363.5</x:v>
      </x:c>
      <x:c r="H287" s="1" t="str">
        <x:v>USD</x:v>
      </x:c>
      <x:c r="I287" s="51" t="str">
        <x:v>Sum max(balance,0); small negative credit balances are not outstanding receivables.</x:v>
      </x:c>
    </x:row>
    <x:row r="288" ht="15" hidden="0" customHeight="1">
      <x:c r="C288" s="1" t="str">
        <x:v>CAOT-2025-2</x:v>
      </x:c>
      <x:c r="D288" s="32" t="n">
        <x:v>46112</x:v>
      </x:c>
      <x:c r="E288" s="1" t="str">
        <x:v>pool_end</x:v>
      </x:c>
      <x:c r="F288" s="36" t="n">
        <x:v>909211122.63</x:v>
      </x:c>
      <x:c r="G288" s="36" t="n">
        <x:v>909212474.15</x:v>
      </x:c>
      <x:c r="H288" s="1" t="str">
        <x:v>USD</x:v>
      </x:c>
      <x:c r="I288" s="51" t="str">
        <x:v>Sum max(balance,0); small negative credit balances are not outstanding receivables.</x:v>
      </x:c>
    </x:row>
    <x:row r="289" ht="15" hidden="0" customHeight="1">
      <x:c r="C289" s="1" t="str">
        <x:v>CAOT-2025-2</x:v>
      </x:c>
      <x:c r="D289" s="32" t="n">
        <x:v>46112</x:v>
      </x:c>
      <x:c r="E289" s="1" t="str">
        <x:v>principal_collected</x:v>
      </x:c>
      <x:c r="F289" s="36" t="n">
        <x:v>37513256.53</x:v>
      </x:c>
      <x:c r="G289" s="36" t="n">
        <x:v>37506867.82</x:v>
      </x:c>
      <x:c r="H289" s="1" t="str">
        <x:v>USD</x:v>
      </x:c>
      <x:c r="I289" s="51" t="str">
        <x:v>Raw loan principal includes non-cash reductions per issuer explanatory exhibit; certificate cash taxonomy differs.</x:v>
      </x:c>
    </x:row>
    <x:row r="290" ht="15" hidden="0" customHeight="1">
      <x:c r="C290" s="1" t="str">
        <x:v>CAOT-2025-2</x:v>
      </x:c>
      <x:c r="D290" s="32" t="n">
        <x:v>46112</x:v>
      </x:c>
      <x:c r="E290" s="1" t="str">
        <x:v>interest_collected</x:v>
      </x:c>
      <x:c r="F290" s="36" t="n">
        <x:v>7375600.59</x:v>
      </x:c>
      <x:c r="G290" s="36" t="n">
        <x:v>7434858.89</x:v>
      </x:c>
      <x:c r="H290" s="1" t="str">
        <x:v>USD</x:v>
      </x:c>
      <x:c r="I290" s="51" t="str">
        <x:v>Raw tape net interest compared with certificate finance-charge collections; unexplained differences remain visible.</x:v>
      </x:c>
    </x:row>
    <x:row r="291" ht="15" hidden="0" customHeight="1">
      <x:c r="C291" s="1" t="str">
        <x:v>CAOT-2025-2</x:v>
      </x:c>
      <x:c r="D291" s="32" t="n">
        <x:v>46112</x:v>
      </x:c>
      <x:c r="E291" s="1" t="str">
        <x:v>gross_chargeoffs_raw</x:v>
      </x:c>
      <x:c r="F291" s="36" t="n">
        <x:v>1191992.95</x:v>
      </x:c>
      <x:c r="G291" s="36" t="n">
        <x:v>815021.53</x:v>
      </x:c>
      <x:c r="H291" s="1" t="str">
        <x:v>USD</x:v>
      </x:c>
      <x:c r="I291" s="51" t="str">
        <x:v>Raw chargedoffPrincipalAmount can recur following reinstatement; do not relabel every row a new default.</x:v>
      </x:c>
    </x:row>
    <x:row r="292" ht="24" hidden="0" customHeight="1">
      <x:c r="C292" s="1" t="str">
        <x:v>CAOT-2025-2</x:v>
      </x:c>
      <x:c r="D292" s="32" t="n">
        <x:v>46112</x:v>
      </x:c>
      <x:c r="E292" s="1" t="str">
        <x:v>recoveries</x:v>
      </x:c>
      <x:c r="F292" s="36" t="n">
        <x:v>459731.63</x:v>
      </x:c>
      <x:c r="G292" s="36" t="n">
        <x:v>422564.43</x:v>
      </x:c>
      <x:c r="H292" s="1" t="str">
        <x:v>USD</x:v>
      </x:c>
      <x:c r="I292" s="51" t="str">
        <x:v>Recovered amounts are monthly flows, not cumulative; omitted fields remain SQL NULL and sum treats no reported flow as zero.</x:v>
      </x:c>
    </x:row>
    <x:row r="293" ht="15" hidden="0" customHeight="1">
      <x:c r="C293" s="1" t="str">
        <x:v>CAOT-2025-2</x:v>
      </x:c>
      <x:c r="D293" s="32" t="n">
        <x:v>46142</x:v>
      </x:c>
      <x:c r="E293" s="1" t="str">
        <x:v>outstanding_loan_count</x:v>
      </x:c>
      <x:c r="F293" s="49" t="n">
        <x:v>53727</x:v>
      </x:c>
      <x:c r="G293" s="49" t="n">
        <x:v>53726</x:v>
      </x:c>
      <x:c r="H293" s="1" t="str">
        <x:v>loans</x:v>
      </x:c>
      <x:c r="I293" s="51" t="str">
        <x:v>Count strictly positive balances; tapes also retain paid/charged-off rows.</x:v>
      </x:c>
    </x:row>
    <x:row r="294" ht="15" hidden="0" customHeight="1">
      <x:c r="C294" s="1" t="str">
        <x:v>CAOT-2025-2</x:v>
      </x:c>
      <x:c r="D294" s="32" t="n">
        <x:v>46142</x:v>
      </x:c>
      <x:c r="E294" s="1" t="str">
        <x:v>pool_begin</x:v>
      </x:c>
      <x:c r="F294" s="36" t="n">
        <x:v>909211122.63</x:v>
      </x:c>
      <x:c r="G294" s="36" t="n">
        <x:v>909212474.15</x:v>
      </x:c>
      <x:c r="H294" s="1" t="str">
        <x:v>USD</x:v>
      </x:c>
      <x:c r="I294" s="51" t="str">
        <x:v>Sum max(balance,0); small negative credit balances are not outstanding receivables.</x:v>
      </x:c>
    </x:row>
    <x:row r="295" ht="15" hidden="0" customHeight="1">
      <x:c r="C295" s="1" t="str">
        <x:v>CAOT-2025-2</x:v>
      </x:c>
      <x:c r="D295" s="32" t="n">
        <x:v>46142</x:v>
      </x:c>
      <x:c r="E295" s="1" t="str">
        <x:v>pool_end</x:v>
      </x:c>
      <x:c r="F295" s="36" t="n">
        <x:v>874307339.14</x:v>
      </x:c>
      <x:c r="G295" s="36" t="n">
        <x:v>874308308.34</x:v>
      </x:c>
      <x:c r="H295" s="1" t="str">
        <x:v>USD</x:v>
      </x:c>
      <x:c r="I295" s="51" t="str">
        <x:v>Sum max(balance,0); small negative credit balances are not outstanding receivables.</x:v>
      </x:c>
    </x:row>
    <x:row r="296" ht="15" hidden="0" customHeight="1">
      <x:c r="C296" s="1" t="str">
        <x:v>CAOT-2025-2</x:v>
      </x:c>
      <x:c r="D296" s="32" t="n">
        <x:v>46142</x:v>
      </x:c>
      <x:c r="E296" s="1" t="str">
        <x:v>principal_collected</x:v>
      </x:c>
      <x:c r="F296" s="36" t="n">
        <x:v>34020398.71</x:v>
      </x:c>
      <x:c r="G296" s="36" t="n">
        <x:v>34028300.93</x:v>
      </x:c>
      <x:c r="H296" s="1" t="str">
        <x:v>USD</x:v>
      </x:c>
      <x:c r="I296" s="51" t="str">
        <x:v>Raw loan principal includes non-cash reductions per issuer explanatory exhibit; certificate cash taxonomy differs.</x:v>
      </x:c>
    </x:row>
    <x:row r="297" ht="15" hidden="0" customHeight="1">
      <x:c r="C297" s="1" t="str">
        <x:v>CAOT-2025-2</x:v>
      </x:c>
      <x:c r="D297" s="32" t="n">
        <x:v>46142</x:v>
      </x:c>
      <x:c r="E297" s="1" t="str">
        <x:v>interest_collected</x:v>
      </x:c>
      <x:c r="F297" s="36" t="n">
        <x:v>7116671.43</x:v>
      </x:c>
      <x:c r="G297" s="36" t="n">
        <x:v>7171217.53</x:v>
      </x:c>
      <x:c r="H297" s="1" t="str">
        <x:v>USD</x:v>
      </x:c>
      <x:c r="I297" s="51" t="str">
        <x:v>Raw tape net interest compared with certificate finance-charge collections; unexplained differences remain visible.</x:v>
      </x:c>
    </x:row>
    <x:row r="298" ht="15" hidden="0" customHeight="1">
      <x:c r="C298" s="1" t="str">
        <x:v>CAOT-2025-2</x:v>
      </x:c>
      <x:c r="D298" s="32" t="n">
        <x:v>46142</x:v>
      </x:c>
      <x:c r="E298" s="1" t="str">
        <x:v>gross_chargeoffs_raw</x:v>
      </x:c>
      <x:c r="F298" s="36" t="n">
        <x:v>1197983.06</x:v>
      </x:c>
      <x:c r="G298" s="36" t="n">
        <x:v>875864.88</x:v>
      </x:c>
      <x:c r="H298" s="1" t="str">
        <x:v>USD</x:v>
      </x:c>
      <x:c r="I298" s="51" t="str">
        <x:v>Raw chargedoffPrincipalAmount can recur following reinstatement; do not relabel every row a new default.</x:v>
      </x:c>
    </x:row>
    <x:row r="299" ht="24" hidden="0" customHeight="1">
      <x:c r="C299" s="1" t="str">
        <x:v>CAOT-2025-2</x:v>
      </x:c>
      <x:c r="D299" s="32" t="n">
        <x:v>46142</x:v>
      </x:c>
      <x:c r="E299" s="1" t="str">
        <x:v>recoveries</x:v>
      </x:c>
      <x:c r="F299" s="36" t="n">
        <x:v>494024.42</x:v>
      </x:c>
      <x:c r="G299" s="36" t="n">
        <x:v>520083.93</x:v>
      </x:c>
      <x:c r="H299" s="1" t="str">
        <x:v>USD</x:v>
      </x:c>
      <x:c r="I299" s="51" t="str">
        <x:v>Recovered amounts are monthly flows, not cumulative; omitted fields remain SQL NULL and sum treats no reported flow as zero.</x:v>
      </x:c>
    </x:row>
    <x:row r="300" ht="15" hidden="0" customHeight="1">
      <x:c r="C300" s="1" t="str">
        <x:v>CAOT-2025-2</x:v>
      </x:c>
      <x:c r="D300" s="32" t="n">
        <x:v>46173</x:v>
      </x:c>
      <x:c r="E300" s="1" t="str">
        <x:v>outstanding_loan_count</x:v>
      </x:c>
      <x:c r="F300" s="49" t="n">
        <x:v>52114</x:v>
      </x:c>
      <x:c r="G300" s="49" t="n">
        <x:v>52114</x:v>
      </x:c>
      <x:c r="H300" s="1" t="str">
        <x:v>loans</x:v>
      </x:c>
      <x:c r="I300" s="51" t="str">
        <x:v>Count strictly positive balances; tapes also retain paid/charged-off rows.</x:v>
      </x:c>
    </x:row>
    <x:row r="301" ht="15" hidden="0" customHeight="1">
      <x:c r="C301" s="1" t="str">
        <x:v>CAOT-2025-2</x:v>
      </x:c>
      <x:c r="D301" s="32" t="n">
        <x:v>46173</x:v>
      </x:c>
      <x:c r="E301" s="1" t="str">
        <x:v>pool_begin</x:v>
      </x:c>
      <x:c r="F301" s="36" t="n">
        <x:v>874307339.14</x:v>
      </x:c>
      <x:c r="G301" s="36" t="n">
        <x:v>874308308.34</x:v>
      </x:c>
      <x:c r="H301" s="1" t="str">
        <x:v>USD</x:v>
      </x:c>
      <x:c r="I301" s="51" t="str">
        <x:v>Sum max(balance,0); small negative credit balances are not outstanding receivables.</x:v>
      </x:c>
    </x:row>
    <x:row r="302" ht="15" hidden="0" customHeight="1">
      <x:c r="C302" s="1" t="str">
        <x:v>CAOT-2025-2</x:v>
      </x:c>
      <x:c r="D302" s="32" t="n">
        <x:v>46173</x:v>
      </x:c>
      <x:c r="E302" s="1" t="str">
        <x:v>pool_end</x:v>
      </x:c>
      <x:c r="F302" s="36" t="n">
        <x:v>840679643.24</x:v>
      </x:c>
      <x:c r="G302" s="36" t="n">
        <x:v>840680619.38</x:v>
      </x:c>
      <x:c r="H302" s="1" t="str">
        <x:v>USD</x:v>
      </x:c>
      <x:c r="I302" s="51" t="str">
        <x:v>Sum max(balance,0); small negative credit balances are not outstanding receivables.</x:v>
      </x:c>
    </x:row>
    <x:row r="303" ht="15" hidden="0" customHeight="1">
      <x:c r="C303" s="1" t="str">
        <x:v>CAOT-2025-2</x:v>
      </x:c>
      <x:c r="D303" s="32" t="n">
        <x:v>46173</x:v>
      </x:c>
      <x:c r="E303" s="1" t="str">
        <x:v>principal_collected</x:v>
      </x:c>
      <x:c r="F303" s="36" t="n">
        <x:v>32845023.03</x:v>
      </x:c>
      <x:c r="G303" s="36" t="n">
        <x:v>32832207.16</x:v>
      </x:c>
      <x:c r="H303" s="1" t="str">
        <x:v>USD</x:v>
      </x:c>
      <x:c r="I303" s="51" t="str">
        <x:v>Raw loan principal includes non-cash reductions per issuer explanatory exhibit; certificate cash taxonomy differs.</x:v>
      </x:c>
    </x:row>
    <x:row r="304" ht="15" hidden="0" customHeight="1">
      <x:c r="C304" s="1" t="str">
        <x:v>CAOT-2025-2</x:v>
      </x:c>
      <x:c r="D304" s="32" t="n">
        <x:v>46173</x:v>
      </x:c>
      <x:c r="E304" s="1" t="str">
        <x:v>interest_collected</x:v>
      </x:c>
      <x:c r="F304" s="36" t="n">
        <x:v>6817006.11</x:v>
      </x:c>
      <x:c r="G304" s="36" t="n">
        <x:v>6875545.14</x:v>
      </x:c>
      <x:c r="H304" s="1" t="str">
        <x:v>USD</x:v>
      </x:c>
      <x:c r="I304" s="51" t="str">
        <x:v>Raw tape net interest compared with certificate finance-charge collections; unexplained differences remain visible.</x:v>
      </x:c>
    </x:row>
    <x:row r="305" ht="15" hidden="0" customHeight="1">
      <x:c r="C305" s="1" t="str">
        <x:v>CAOT-2025-2</x:v>
      </x:c>
      <x:c r="D305" s="32" t="n">
        <x:v>46173</x:v>
      </x:c>
      <x:c r="E305" s="1" t="str">
        <x:v>gross_chargeoffs_raw</x:v>
      </x:c>
      <x:c r="F305" s="36" t="n">
        <x:v>941818.84</x:v>
      </x:c>
      <x:c r="G305" s="36" t="n">
        <x:v>795481.8</x:v>
      </x:c>
      <x:c r="H305" s="1" t="str">
        <x:v>USD</x:v>
      </x:c>
      <x:c r="I305" s="51" t="str">
        <x:v>Raw chargedoffPrincipalAmount can recur following reinstatement; do not relabel every row a new default.</x:v>
      </x:c>
    </x:row>
    <x:row r="306" ht="24" hidden="0" customHeight="1">
      <x:c r="C306" s="1" t="str">
        <x:v>CAOT-2025-2</x:v>
      </x:c>
      <x:c r="D306" s="32" t="n">
        <x:v>46173</x:v>
      </x:c>
      <x:c r="E306" s="1" t="str">
        <x:v>recoveries</x:v>
      </x:c>
      <x:c r="F306" s="36" t="n">
        <x:v>370162.67</x:v>
      </x:c>
      <x:c r="G306" s="36" t="n">
        <x:v>368561.39</x:v>
      </x:c>
      <x:c r="H306" s="1" t="str">
        <x:v>USD</x:v>
      </x:c>
      <x:c r="I306" s="51" t="str">
        <x:v>Recovered amounts are monthly flows, not cumulative; omitted fields remain SQL NULL and sum treats no reported flow as zero.</x:v>
      </x:c>
    </x:row>
    <x:row r="307" ht="15" hidden="0" customHeight="1">
      <x:c r="C307" s="1" t="str">
        <x:v>CAOT-2025-2</x:v>
      </x:c>
      <x:c r="D307" s="32" t="n">
        <x:v>46203</x:v>
      </x:c>
      <x:c r="E307" s="1" t="str">
        <x:v>outstanding_loan_count</x:v>
      </x:c>
      <x:c r="F307" s="49" t="n">
        <x:v>50695</x:v>
      </x:c>
      <x:c r="G307" s="49" t="n">
        <x:v>50694</x:v>
      </x:c>
      <x:c r="H307" s="1" t="str">
        <x:v>loans</x:v>
      </x:c>
      <x:c r="I307" s="51" t="str">
        <x:v>Count strictly positive balances; tapes also retain paid/charged-off rows.</x:v>
      </x:c>
    </x:row>
    <x:row r="308" ht="15" hidden="0" customHeight="1">
      <x:c r="C308" s="1" t="str">
        <x:v>CAOT-2025-2</x:v>
      </x:c>
      <x:c r="D308" s="32" t="n">
        <x:v>46203</x:v>
      </x:c>
      <x:c r="E308" s="1" t="str">
        <x:v>pool_begin</x:v>
      </x:c>
      <x:c r="F308" s="36" t="n">
        <x:v>840679643.24</x:v>
      </x:c>
      <x:c r="G308" s="36" t="n">
        <x:v>840680619.38</x:v>
      </x:c>
      <x:c r="H308" s="1" t="str">
        <x:v>USD</x:v>
      </x:c>
      <x:c r="I308" s="51" t="str">
        <x:v>Sum max(balance,0); small negative credit balances are not outstanding receivables.</x:v>
      </x:c>
    </x:row>
    <x:row r="309" ht="15" hidden="0" customHeight="1">
      <x:c r="C309" s="1" t="str">
        <x:v>CAOT-2025-2</x:v>
      </x:c>
      <x:c r="D309" s="32" t="n">
        <x:v>46203</x:v>
      </x:c>
      <x:c r="E309" s="1" t="str">
        <x:v>pool_end</x:v>
      </x:c>
      <x:c r="F309" s="36" t="n">
        <x:v>808816820.89</x:v>
      </x:c>
      <x:c r="G309" s="36" t="n">
        <x:v>808817927.2</x:v>
      </x:c>
      <x:c r="H309" s="1" t="str">
        <x:v>USD</x:v>
      </x:c>
      <x:c r="I309" s="51" t="str">
        <x:v>Sum max(balance,0); small negative credit balances are not outstanding receivables.</x:v>
      </x:c>
    </x:row>
    <x:row r="310" ht="15" hidden="0" customHeight="1">
      <x:c r="C310" s="1" t="str">
        <x:v>CAOT-2025-2</x:v>
      </x:c>
      <x:c r="D310" s="32" t="n">
        <x:v>46203</x:v>
      </x:c>
      <x:c r="E310" s="1" t="str">
        <x:v>principal_collected</x:v>
      </x:c>
      <x:c r="F310" s="36" t="n">
        <x:v>30943271.42</x:v>
      </x:c>
      <x:c r="G310" s="36" t="n">
        <x:v>30897990.1</x:v>
      </x:c>
      <x:c r="H310" s="1" t="str">
        <x:v>USD</x:v>
      </x:c>
      <x:c r="I310" s="51" t="str">
        <x:v>Raw loan principal includes non-cash reductions per issuer explanatory exhibit; certificate cash taxonomy differs.</x:v>
      </x:c>
    </x:row>
    <x:row r="311" ht="15" hidden="0" customHeight="1">
      <x:c r="C311" s="1" t="str">
        <x:v>CAOT-2025-2</x:v>
      </x:c>
      <x:c r="D311" s="32" t="n">
        <x:v>46203</x:v>
      </x:c>
      <x:c r="E311" s="1" t="str">
        <x:v>interest_collected</x:v>
      </x:c>
      <x:c r="F311" s="36" t="n">
        <x:v>6546028.7</x:v>
      </x:c>
      <x:c r="G311" s="36" t="n">
        <x:v>6594217.54</x:v>
      </x:c>
      <x:c r="H311" s="1" t="str">
        <x:v>USD</x:v>
      </x:c>
      <x:c r="I311" s="51" t="str">
        <x:v>Raw tape net interest compared with certificate finance-charge collections; unexplained differences remain visible.</x:v>
      </x:c>
    </x:row>
    <x:row r="312" ht="15" hidden="0" customHeight="1">
      <x:c r="C312" s="1" t="str">
        <x:v>CAOT-2025-2</x:v>
      </x:c>
      <x:c r="D312" s="32" t="n">
        <x:v>46203</x:v>
      </x:c>
      <x:c r="E312" s="1" t="str">
        <x:v>gross_chargeoffs_raw</x:v>
      </x:c>
      <x:c r="F312" s="36" t="n">
        <x:v>1242952.21</x:v>
      </x:c>
      <x:c r="G312" s="36" t="n">
        <x:v>964702.08</x:v>
      </x:c>
      <x:c r="H312" s="1" t="str">
        <x:v>USD</x:v>
      </x:c>
      <x:c r="I312" s="51" t="str">
        <x:v>Raw chargedoffPrincipalAmount can recur following reinstatement; do not relabel every row a new default.</x:v>
      </x:c>
    </x:row>
    <x:row r="313" ht="24" hidden="0" customHeight="1">
      <x:c r="C313" s="1" t="str">
        <x:v>CAOT-2025-2</x:v>
      </x:c>
      <x:c r="D313" s="32" t="n">
        <x:v>46203</x:v>
      </x:c>
      <x:c r="E313" s="1" t="str">
        <x:v>recoveries</x:v>
      </x:c>
      <x:c r="F313" s="36" t="n">
        <x:v>368550.23</x:v>
      </x:c>
      <x:c r="G313" s="36" t="n">
        <x:v>330743.35</x:v>
      </x:c>
      <x:c r="H313" s="1" t="str">
        <x:v>USD</x:v>
      </x:c>
      <x:c r="I313" s="51" t="str">
        <x:v>Recovered amounts are monthly flows, not cumulative; omitted fields remain SQL NULL and sum treats no reported flow as zero.</x:v>
      </x:c>
    </x:row>
    <x:row r="314" ht="15" hidden="0" customHeight="1">
      <x:c r="C314" s="1" t="str">
        <x:v>CAOT-2025-2</x:v>
      </x:c>
      <x:c r="D314" s="32" t="n">
        <x:v>46234</x:v>
      </x:c>
      <x:c r="E314" s="1" t="str">
        <x:v>outstanding_loan_count</x:v>
      </x:c>
      <x:c r="F314" s="49" t="n">
        <x:v>49190</x:v>
      </x:c>
      <x:c r="G314" s="49" t="n">
        <x:v>49189</x:v>
      </x:c>
      <x:c r="H314" s="1" t="str">
        <x:v>loans</x:v>
      </x:c>
      <x:c r="I314" s="51" t="str">
        <x:v>Count strictly positive balances; tapes also retain paid/charged-off rows.</x:v>
      </x:c>
    </x:row>
    <x:row r="315" ht="15" hidden="0" customHeight="1">
      <x:c r="C315" s="1" t="str">
        <x:v>CAOT-2025-2</x:v>
      </x:c>
      <x:c r="D315" s="32" t="n">
        <x:v>46234</x:v>
      </x:c>
      <x:c r="E315" s="1" t="str">
        <x:v>pool_begin</x:v>
      </x:c>
      <x:c r="F315" s="36" t="n">
        <x:v>808816820.89</x:v>
      </x:c>
      <x:c r="G315" s="36" t="n">
        <x:v>808817927.2</x:v>
      </x:c>
      <x:c r="H315" s="1" t="str">
        <x:v>USD</x:v>
      </x:c>
      <x:c r="I315" s="51" t="str">
        <x:v>Sum max(balance,0); small negative credit balances are not outstanding receivables.</x:v>
      </x:c>
    </x:row>
    <x:row r="316" ht="15" hidden="0" customHeight="1">
      <x:c r="C316" s="1" t="str">
        <x:v>CAOT-2025-2</x:v>
      </x:c>
      <x:c r="D316" s="32" t="n">
        <x:v>46234</x:v>
      </x:c>
      <x:c r="E316" s="1" t="str">
        <x:v>pool_end</x:v>
      </x:c>
      <x:c r="F316" s="36" t="n">
        <x:v>775781740.46</x:v>
      </x:c>
      <x:c r="G316" s="36" t="n">
        <x:v>775782240.33</x:v>
      </x:c>
      <x:c r="H316" s="1" t="str">
        <x:v>USD</x:v>
      </x:c>
      <x:c r="I316" s="51" t="str">
        <x:v>Sum max(balance,0); small negative credit balances are not outstanding receivables.</x:v>
      </x:c>
    </x:row>
    <x:row r="317" ht="15" hidden="0" customHeight="1">
      <x:c r="C317" s="1" t="str">
        <x:v>CAOT-2025-2</x:v>
      </x:c>
      <x:c r="D317" s="32" t="n">
        <x:v>46234</x:v>
      </x:c>
      <x:c r="E317" s="1" t="str">
        <x:v>principal_collected</x:v>
      </x:c>
      <x:c r="F317" s="36" t="n">
        <x:v>32112711.1</x:v>
      </x:c>
      <x:c r="G317" s="36" t="n">
        <x:v>32102073.27</x:v>
      </x:c>
      <x:c r="H317" s="1" t="str">
        <x:v>USD</x:v>
      </x:c>
      <x:c r="I317" s="51" t="str">
        <x:v>Raw loan principal includes non-cash reductions per issuer explanatory exhibit; certificate cash taxonomy differs.</x:v>
      </x:c>
    </x:row>
    <x:row r="318" ht="15" hidden="0" customHeight="1">
      <x:c r="C318" s="1" t="str">
        <x:v>CAOT-2025-2</x:v>
      </x:c>
      <x:c r="D318" s="32" t="n">
        <x:v>46234</x:v>
      </x:c>
      <x:c r="E318" s="1" t="str">
        <x:v>interest_collected</x:v>
      </x:c>
      <x:c r="F318" s="36" t="n">
        <x:v>6412480.77</x:v>
      </x:c>
      <x:c r="G318" s="36" t="n">
        <x:v>6463742.57</x:v>
      </x:c>
      <x:c r="H318" s="1" t="str">
        <x:v>USD</x:v>
      </x:c>
      <x:c r="I318" s="51" t="str">
        <x:v>Raw tape net interest compared with certificate finance-charge collections; unexplained differences remain visible.</x:v>
      </x:c>
    </x:row>
    <x:row r="319" ht="15" hidden="0" customHeight="1">
      <x:c r="C319" s="1" t="str">
        <x:v>CAOT-2025-2</x:v>
      </x:c>
      <x:c r="D319" s="32" t="n">
        <x:v>46234</x:v>
      </x:c>
      <x:c r="E319" s="1" t="str">
        <x:v>gross_chargeoffs_raw</x:v>
      </x:c>
      <x:c r="F319" s="36" t="n">
        <x:v>1263990.59</x:v>
      </x:c>
      <x:c r="G319" s="36" t="n">
        <x:v>933613.6</x:v>
      </x:c>
      <x:c r="H319" s="1" t="str">
        <x:v>USD</x:v>
      </x:c>
      <x:c r="I319" s="51" t="str">
        <x:v>Raw chargedoffPrincipalAmount can recur following reinstatement; do not relabel every row a new default.</x:v>
      </x:c>
    </x:row>
    <x:row r="320" ht="24" hidden="0" customHeight="1">
      <x:c r="C320" s="1" t="str">
        <x:v>CAOT-2025-2</x:v>
      </x:c>
      <x:c r="D320" s="32" t="n">
        <x:v>46234</x:v>
      </x:c>
      <x:c r="E320" s="1" t="str">
        <x:v>recoveries</x:v>
      </x:c>
      <x:c r="F320" s="36" t="n">
        <x:v>458772.73</x:v>
      </x:c>
      <x:c r="G320" s="36" t="n">
        <x:v>487034.25</x:v>
      </x:c>
      <x:c r="H320" s="1" t="str">
        <x:v>USD</x:v>
      </x:c>
      <x:c r="I320" s="51" t="str">
        <x:v>Recovered amounts are monthly flows, not cumulative; omitted fields remain SQL NULL and sum treats no reported flow as zero.</x:v>
      </x:c>
    </x:row>
    <x:row r="321" ht="15" hidden="0" customHeight="1">
      <x:c r="C321" s="1" t="str">
        <x:v>CAOT-2025-2</x:v>
      </x:c>
      <x:c r="D321" s="32" t="n">
        <x:v>46265</x:v>
      </x:c>
      <x:c r="E321" s="1" t="str">
        <x:v>outstanding_loan_count</x:v>
      </x:c>
      <x:c r="F321" s="49" t="n">
        <x:v>47562</x:v>
      </x:c>
      <x:c r="G321" s="49" t="n">
        <x:v>47562</x:v>
      </x:c>
      <x:c r="H321" s="1" t="str">
        <x:v>loans</x:v>
      </x:c>
      <x:c r="I321" s="51" t="str">
        <x:v>Count strictly positive balances; tapes also retain paid/charged-off rows.</x:v>
      </x:c>
    </x:row>
    <x:row r="322" ht="15" hidden="0" customHeight="1">
      <x:c r="C322" s="1" t="str">
        <x:v>CAOT-2025-2</x:v>
      </x:c>
      <x:c r="D322" s="32" t="n">
        <x:v>46265</x:v>
      </x:c>
      <x:c r="E322" s="1" t="str">
        <x:v>pool_begin</x:v>
      </x:c>
      <x:c r="F322" s="36" t="n">
        <x:v>775781740.46</x:v>
      </x:c>
      <x:c r="G322" s="36" t="n">
        <x:v>775782240.33</x:v>
      </x:c>
      <x:c r="H322" s="1" t="str">
        <x:v>USD</x:v>
      </x:c>
      <x:c r="I322" s="51" t="str">
        <x:v>Sum max(balance,0); small negative credit balances are not outstanding receivables.</x:v>
      </x:c>
    </x:row>
    <x:row r="323" ht="15" hidden="0" customHeight="1">
      <x:c r="C323" s="1" t="str">
        <x:v>CAOT-2025-2</x:v>
      </x:c>
      <x:c r="D323" s="32" t="n">
        <x:v>46265</x:v>
      </x:c>
      <x:c r="E323" s="1" t="str">
        <x:v>pool_end</x:v>
      </x:c>
      <x:c r="F323" s="36" t="n">
        <x:v>744970252.15</x:v>
      </x:c>
      <x:c r="G323" s="36" t="n">
        <x:v>744970764.16</x:v>
      </x:c>
      <x:c r="H323" s="1" t="str">
        <x:v>USD</x:v>
      </x:c>
      <x:c r="I323" s="51" t="str">
        <x:v>Sum max(balance,0); small negative credit balances are not outstanding receivables.</x:v>
      </x:c>
    </x:row>
    <x:row r="324" ht="15" hidden="0" customHeight="1">
      <x:c r="C324" s="1" t="str">
        <x:v>CAOT-2025-2</x:v>
      </x:c>
      <x:c r="D324" s="32" t="n">
        <x:v>46265</x:v>
      </x:c>
      <x:c r="E324" s="1" t="str">
        <x:v>principal_collected</x:v>
      </x:c>
      <x:c r="F324" s="36" t="n">
        <x:v>29509614.88</x:v>
      </x:c>
      <x:c r="G324" s="36" t="n">
        <x:v>29502058.28</x:v>
      </x:c>
      <x:c r="H324" s="1" t="str">
        <x:v>USD</x:v>
      </x:c>
      <x:c r="I324" s="51" t="str">
        <x:v>Raw loan principal includes non-cash reductions per issuer explanatory exhibit; certificate cash taxonomy differs.</x:v>
      </x:c>
    </x:row>
    <x:row r="325" ht="15" hidden="0" customHeight="1">
      <x:c r="C325" s="1" t="str">
        <x:v>CAOT-2025-2</x:v>
      </x:c>
      <x:c r="D325" s="32" t="n">
        <x:v>46265</x:v>
      </x:c>
      <x:c r="E325" s="1" t="str">
        <x:v>interest_collected</x:v>
      </x:c>
      <x:c r="F325" s="36" t="n">
        <x:v>6124232.81</x:v>
      </x:c>
      <x:c r="G325" s="36" t="n">
        <x:v>6173785.69</x:v>
      </x:c>
      <x:c r="H325" s="1" t="str">
        <x:v>USD</x:v>
      </x:c>
      <x:c r="I325" s="51" t="str">
        <x:v>Raw tape net interest compared with certificate finance-charge collections; unexplained differences remain visible.</x:v>
      </x:c>
    </x:row>
    <x:row r="326" ht="15" hidden="0" customHeight="1">
      <x:c r="C326" s="1" t="str">
        <x:v>CAOT-2025-2</x:v>
      </x:c>
      <x:c r="D326" s="32" t="n">
        <x:v>46265</x:v>
      </x:c>
      <x:c r="E326" s="1" t="str">
        <x:v>gross_chargeoffs_raw</x:v>
      </x:c>
      <x:c r="F326" s="36" t="n">
        <x:v>1659526.54</x:v>
      </x:c>
      <x:c r="G326" s="36" t="n">
        <x:v>1309417.89</x:v>
      </x:c>
      <x:c r="H326" s="1" t="str">
        <x:v>USD</x:v>
      </x:c>
      <x:c r="I326" s="51" t="str">
        <x:v>Raw chargedoffPrincipalAmount can recur following reinstatement; do not relabel every row a new default.</x:v>
      </x:c>
    </x:row>
    <x:row r="327" ht="24" hidden="0" customHeight="1">
      <x:c r="C327" s="1" t="str">
        <x:v>CAOT-2025-2</x:v>
      </x:c>
      <x:c r="D327" s="32" t="n">
        <x:v>46265</x:v>
      </x:c>
      <x:c r="E327" s="1" t="str">
        <x:v>recoveries</x:v>
      </x:c>
      <x:c r="F327" s="36" t="n">
        <x:v>350666.99</x:v>
      </x:c>
      <x:c r="G327" s="36" t="n">
        <x:v>345715.96</x:v>
      </x:c>
      <x:c r="H327" s="1" t="str">
        <x:v>USD</x:v>
      </x:c>
      <x:c r="I327" s="51" t="str">
        <x:v>Recovered amounts are monthly flows, not cumulative; omitted fields remain SQL NULL and sum treats no reported flow as zero.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22" hidden="0" customWidth="1"/>
    <x:col min="5" max="5" width="22" hidden="0" customWidth="1"/>
    <x:col min="6" max="6" width="78" hidden="0" customWidth="1"/>
    <x:col min="7" max="7" width="78" hidden="0" customWidth="1"/>
    <x:col min="8" max="8" width="7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Original source provenance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2"/>
      <x:c r="B5" s="2"/>
      <x:c r="C5" s="19" t="str">
        <x:v>Filing / role</x:v>
      </x:c>
      <x:c r="D5" s="20" t="str">
        <x:v>Period</x:v>
      </x:c>
      <x:c r="E5" s="20" t="str">
        <x:v>Accession</x:v>
      </x:c>
      <x:c r="F5" s="20" t="str">
        <x:v>SHA-256</x:v>
      </x:c>
      <x:c r="G5" s="20" t="str">
        <x:v>URL</x:v>
      </x:c>
      <x:c r="H5" s="21" t="str">
        <x:v>Archive path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0" customHeight="1">
      <x:c r="A6" s="2"/>
      <x:c r="B6" s="2"/>
      <x:c r="C6" s="39" t="str">
        <x:v>CAOT-2024-2 submissions </x:v>
      </x:c>
      <x:c r="D6" s="39" t="str"/>
      <x:c r="E6" s="39" t="str"/>
      <x:c r="F6" s="39" t="str">
        <x:v>a379444c1b47bf7a8cdfc2fc88706a63d55d3b79a2bbd67122ddafa9c77097c7</x:v>
      </x:c>
      <x:c r="G6" s="39" t="str">
        <x:v>https://data.sec.gov/submissions/CIK0002016948.json</x:v>
      </x:c>
      <x:c r="H6" s="39" t="str">
        <x:v>data/raw/CAOT-2024-2/submissions.json.gz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0" customHeight="1">
      <x:c r="A7" s="2"/>
      <x:c r="B7" s="2"/>
      <x:c r="C7" s="39" t="str">
        <x:v>CAOT-2025-2 submissions </x:v>
      </x:c>
      <x:c r="D7" s="39" t="str"/>
      <x:c r="E7" s="39" t="str"/>
      <x:c r="F7" s="39" t="str">
        <x:v>988bf983cada791d30044a85080bba8b93c395fa5787447d2eb98aa152a59a62</x:v>
      </x:c>
      <x:c r="G7" s="39" t="str">
        <x:v>https://data.sec.gov/submissions/CIK0002063979.json</x:v>
      </x:c>
      <x:c r="H7" s="39" t="str">
        <x:v>data/raw/CAOT-2025-2/submissions.json.gz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0" customHeight="1">
      <x:c r="A8" s="2"/>
      <x:c r="B8" s="2"/>
      <x:c r="C8" s="39" t="str">
        <x:v>CAOT-2025-2 executed_legal </x:v>
      </x:c>
      <x:c r="D8" s="39" t="str"/>
      <x:c r="E8" s="39" t="str">
        <x:v>0001193125-25-111714</x:v>
      </x:c>
      <x:c r="F8" s="39" t="str">
        <x:v>325c3d270a0c8c2887675a965c57190ddee70e47e69b83e5f40c15a46ef15cbf</x:v>
      </x:c>
      <x:c r="G8" s="39" t="str">
        <x:v>https://www.sec.gov/Archives/edgar/data/1259380/000119312525111714/d943115d8k.htm</x:v>
      </x:c>
      <x:c r="H8" s="39" t="str">
        <x:v>data/raw/legal/d943115d8k.htm.gz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0" customHeight="1">
      <x:c r="A9" s="2"/>
      <x:c r="B9" s="2"/>
      <x:c r="C9" s="39" t="str">
        <x:v>CAOT-2025-2 executed_legal </x:v>
      </x:c>
      <x:c r="D9" s="39" t="str"/>
      <x:c r="E9" s="39" t="str">
        <x:v>0001193125-25-111714</x:v>
      </x:c>
      <x:c r="F9" s="39" t="str">
        <x:v>2ddeb0a23b15f64eb76658dffd0d53309beb04ea0994eade6e7252471ab4bf3c</x:v>
      </x:c>
      <x:c r="G9" s="39" t="str">
        <x:v>https://www.sec.gov/Archives/edgar/data/1259380/000119312525111714/d943115dex41.htm</x:v>
      </x:c>
      <x:c r="H9" s="39" t="str">
        <x:v>data/raw/legal/d943115dex41.htm.gz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0" customHeight="1">
      <x:c r="A10" s="2"/>
      <x:c r="B10" s="2"/>
      <x:c r="C10" s="39" t="str">
        <x:v>CAOT-2025-2 executed_legal </x:v>
      </x:c>
      <x:c r="D10" s="39" t="str"/>
      <x:c r="E10" s="39" t="str">
        <x:v>0001193125-25-111714</x:v>
      </x:c>
      <x:c r="F10" s="39" t="str">
        <x:v>4b7515bd1d55847c8c0740b86146247ae0c4ec6d3fc74bb83611459748f0deee</x:v>
      </x:c>
      <x:c r="G10" s="39" t="str">
        <x:v>https://www.sec.gov/Archives/edgar/data/1259380/000119312525111714/d943115dex42.htm</x:v>
      </x:c>
      <x:c r="H10" s="39" t="str">
        <x:v>data/raw/legal/d943115dex42.htm.gz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0" customHeight="1">
      <x:c r="A11" s="2"/>
      <x:c r="B11" s="2"/>
      <x:c r="C11" s="39" t="str">
        <x:v>CAOT-2025-2 executed_legal </x:v>
      </x:c>
      <x:c r="D11" s="39" t="str"/>
      <x:c r="E11" s="39" t="str">
        <x:v>0001193125-25-111714</x:v>
      </x:c>
      <x:c r="F11" s="39" t="str">
        <x:v>44ffa079e28c6a38fd77e3aaba48ed017665abac8febbd517d34dd3350f339aa</x:v>
      </x:c>
      <x:c r="G11" s="39" t="str">
        <x:v>https://www.sec.gov/Archives/edgar/data/1259380/000119312525111714/d943115dex991.htm</x:v>
      </x:c>
      <x:c r="H11" s="39" t="str">
        <x:v>data/raw/legal/d943115dex991.htm.gz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0" customHeight="1">
      <x:c r="A12" s="2"/>
      <x:c r="B12" s="2"/>
      <x:c r="C12" s="39" t="str">
        <x:v>CAOT-2025-2 executed_legal </x:v>
      </x:c>
      <x:c r="D12" s="39" t="str"/>
      <x:c r="E12" s="39" t="str">
        <x:v>0001193125-25-111714</x:v>
      </x:c>
      <x:c r="F12" s="39" t="str">
        <x:v>880dd85665e924fd9a9aa013a311e8d2c02fa24478839bb1b394b70eb05afd27</x:v>
      </x:c>
      <x:c r="G12" s="39" t="str">
        <x:v>https://www.sec.gov/Archives/edgar/data/1259380/000119312525111714/d943115dex992.htm</x:v>
      </x:c>
      <x:c r="H12" s="39" t="str">
        <x:v>data/raw/legal/d943115dex992.htm.gz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0" customHeight="1">
      <x:c r="A13" s="2"/>
      <x:c r="B13" s="2"/>
      <x:c r="C13" s="39" t="str">
        <x:v>CAOT-2025-2 executed_legal </x:v>
      </x:c>
      <x:c r="D13" s="39" t="str"/>
      <x:c r="E13" s="39" t="str">
        <x:v>0001193125-25-111714</x:v>
      </x:c>
      <x:c r="F13" s="39" t="str">
        <x:v>5027ae4df2f8e514a193600ce132c73ad1159422088039672c01f206fe0534f6</x:v>
      </x:c>
      <x:c r="G13" s="39" t="str">
        <x:v>https://www.sec.gov/Archives/edgar/data/1259380/000119312525111714/d943115dex993.htm</x:v>
      </x:c>
      <x:c r="H13" s="39" t="str">
        <x:v>data/raw/legal/d943115dex993.htm.gz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0" customHeight="1">
      <x:c r="A14" s="2"/>
      <x:c r="B14" s="2"/>
      <x:c r="C14" s="39" t="str">
        <x:v>CAOT-2025-2 executed_legal </x:v>
      </x:c>
      <x:c r="D14" s="39" t="str"/>
      <x:c r="E14" s="39" t="str">
        <x:v>0001193125-25-111714</x:v>
      </x:c>
      <x:c r="F14" s="39" t="str">
        <x:v>4e82d0dedeab58efde3f03973c08527cb2273cbf133f0b5f9640017d635f6622</x:v>
      </x:c>
      <x:c r="G14" s="39" t="str">
        <x:v>https://www.sec.gov/Archives/edgar/data/1259380/000119312525111714/d943115dex994.htm</x:v>
      </x:c>
      <x:c r="H14" s="39" t="str">
        <x:v>data/raw/legal/d943115dex994.htm.gz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0" customHeight="1">
      <x:c r="A15" s="2"/>
      <x:c r="B15" s="2"/>
      <x:c r="C15" s="39" t="str">
        <x:v>CAOT-2024-2 filing_directory 2024-04-30</x:v>
      </x:c>
      <x:c r="D15" s="39" t="str">
        <x:v>2024-04-30</x:v>
      </x:c>
      <x:c r="E15" s="39" t="str">
        <x:v>0002016948-24-000005</x:v>
      </x:c>
      <x:c r="F15" s="39" t="str">
        <x:v>e8835c5684c460b9fc1e07ff19ee265cfa227e31afd40bb8c3848076576f71f8</x:v>
      </x:c>
      <x:c r="G15" s="39" t="str">
        <x:v>https://www.sec.gov/Archives/edgar/data/2016948/000201694824000005/index.json</x:v>
      </x:c>
      <x:c r="H15" s="39" t="str">
        <x:v>data/raw/CAOT-2024-2/0002016948-24-000005/index.json.gz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0" customHeight="1">
      <x:c r="A16" s="2"/>
      <x:c r="B16" s="2"/>
      <x:c r="C16" s="39" t="str">
        <x:v>CAOT-2024-2 certificate 2024-04-30</x:v>
      </x:c>
      <x:c r="D16" s="39" t="str">
        <x:v>2024-04-30</x:v>
      </x:c>
      <x:c r="E16" s="39" t="str">
        <x:v>0002016948-24-000005</x:v>
      </x:c>
      <x:c r="F16" s="39" t="str">
        <x:v>9c4ae9c2a25ab05c422d76d22445e1ad76fbce91c75f58c628b27e7c4e9d7432</x:v>
      </x:c>
      <x:c r="G16" s="39" t="str">
        <x:v>https://www.sec.gov/Archives/edgar/data/2016948/000201694824000005/a2024-2ex991051524.htm</x:v>
      </x:c>
      <x:c r="H16" s="39" t="str">
        <x:v>data/raw/CAOT-2024-2/0002016948-24-000005/a2024-2ex991051524.htm.gz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0" customHeight="1">
      <x:c r="A17" s="2"/>
      <x:c r="B17" s="2"/>
      <x:c r="C17" s="39" t="str">
        <x:v>CAOT-2024-2 filing_directory 2024-05-31</x:v>
      </x:c>
      <x:c r="D17" s="39" t="str">
        <x:v>2024-05-31</x:v>
      </x:c>
      <x:c r="E17" s="39" t="str">
        <x:v>0002016948-24-000011</x:v>
      </x:c>
      <x:c r="F17" s="39" t="str">
        <x:v>18ae8f04586346a4aef8804d9c63331f8f1b7398851c5fb39b3881388933b5cd</x:v>
      </x:c>
      <x:c r="G17" s="39" t="str">
        <x:v>https://www.sec.gov/Archives/edgar/data/2016948/000201694824000011/index.json</x:v>
      </x:c>
      <x:c r="H17" s="39" t="str">
        <x:v>data/raw/CAOT-2024-2/0002016948-24-000011/index.json.gz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0" customHeight="1">
      <x:c r="A18" s="2"/>
      <x:c r="B18" s="2"/>
      <x:c r="C18" s="39" t="str">
        <x:v>CAOT-2024-2 certificate 2024-05-31</x:v>
      </x:c>
      <x:c r="D18" s="39" t="str">
        <x:v>2024-05-31</x:v>
      </x:c>
      <x:c r="E18" s="39" t="str">
        <x:v>0002016948-24-000011</x:v>
      </x:c>
      <x:c r="F18" s="39" t="str">
        <x:v>23ff15d187815d2b3454ce7dd1a42ee7b9bcd01d30f21fc0ee033fd0903067ca</x:v>
      </x:c>
      <x:c r="G18" s="39" t="str">
        <x:v>https://www.sec.gov/Archives/edgar/data/2016948/000201694824000011/a2024-2ex991061724.htm</x:v>
      </x:c>
      <x:c r="H18" s="39" t="str">
        <x:v>data/raw/CAOT-2024-2/0002016948-24-000011/a2024-2ex991061724.htm.gz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0" customHeight="1">
      <x:c r="A19" s="2"/>
      <x:c r="B19" s="2"/>
      <x:c r="C19" s="39" t="str">
        <x:v>CAOT-2024-2 filing_directory 2024-06-30</x:v>
      </x:c>
      <x:c r="D19" s="39" t="str">
        <x:v>2024-06-30</x:v>
      </x:c>
      <x:c r="E19" s="39" t="str">
        <x:v>0002016948-24-000016</x:v>
      </x:c>
      <x:c r="F19" s="39" t="str">
        <x:v>7d0ef474a981551214ab27f2fe505fa5602eb0143df7ce4cfa58a8c9e51e7191</x:v>
      </x:c>
      <x:c r="G19" s="39" t="str">
        <x:v>https://www.sec.gov/Archives/edgar/data/2016948/000201694824000016/index.json</x:v>
      </x:c>
      <x:c r="H19" s="39" t="str">
        <x:v>data/raw/CAOT-2024-2/0002016948-24-000016/index.json.gz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0" customHeight="1">
      <x:c r="A20" s="2"/>
      <x:c r="B20" s="2"/>
      <x:c r="C20" s="39" t="str">
        <x:v>CAOT-2024-2 certificate 2024-06-30</x:v>
      </x:c>
      <x:c r="D20" s="39" t="str">
        <x:v>2024-06-30</x:v>
      </x:c>
      <x:c r="E20" s="39" t="str">
        <x:v>0002016948-24-000016</x:v>
      </x:c>
      <x:c r="F20" s="39" t="str">
        <x:v>d6faa60d6132855cbc9c555e91b86164c445427fb5ee62d76ddb385b5758c442</x:v>
      </x:c>
      <x:c r="G20" s="39" t="str">
        <x:v>https://www.sec.gov/Archives/edgar/data/2016948/000201694824000016/a2024-2ex991071524.htm</x:v>
      </x:c>
      <x:c r="H20" s="39" t="str">
        <x:v>data/raw/CAOT-2024-2/0002016948-24-000016/a2024-2ex991071524.htm.gz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0" customHeight="1">
      <x:c r="A21" s="2"/>
      <x:c r="B21" s="2"/>
      <x:c r="C21" s="39" t="str">
        <x:v>CAOT-2024-2 filing_directory 2024-07-31</x:v>
      </x:c>
      <x:c r="D21" s="39" t="str">
        <x:v>2024-07-31</x:v>
      </x:c>
      <x:c r="E21" s="39" t="str">
        <x:v>0002016948-24-000021</x:v>
      </x:c>
      <x:c r="F21" s="39" t="str">
        <x:v>518e5ecdff8d34decffae8a6aaf450cb7be5005c086c451696bd7857f11f3ded</x:v>
      </x:c>
      <x:c r="G21" s="39" t="str">
        <x:v>https://www.sec.gov/Archives/edgar/data/2016948/000201694824000021/index.json</x:v>
      </x:c>
      <x:c r="H21" s="39" t="str">
        <x:v>data/raw/CAOT-2024-2/0002016948-24-000021/index.json.gz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0" customHeight="1">
      <x:c r="A22" s="2"/>
      <x:c r="B22" s="2"/>
      <x:c r="C22" s="39" t="str">
        <x:v>CAOT-2024-2 certificate 2024-07-31</x:v>
      </x:c>
      <x:c r="D22" s="39" t="str">
        <x:v>2024-07-31</x:v>
      </x:c>
      <x:c r="E22" s="39" t="str">
        <x:v>0002016948-24-000021</x:v>
      </x:c>
      <x:c r="F22" s="39" t="str">
        <x:v>56766525ec8000f5484639ecfca961b1d623ad6a39d8eb799846264db709e832</x:v>
      </x:c>
      <x:c r="G22" s="39" t="str">
        <x:v>https://www.sec.gov/Archives/edgar/data/2016948/000201694824000021/a2024-2ex991081524.htm</x:v>
      </x:c>
      <x:c r="H22" s="39" t="str">
        <x:v>data/raw/CAOT-2024-2/0002016948-24-000021/a2024-2ex991081524.htm.gz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0" customHeight="1">
      <x:c r="A23" s="2"/>
      <x:c r="B23" s="2"/>
      <x:c r="C23" s="39" t="str">
        <x:v>CAOT-2024-2 filing_directory 2024-08-31</x:v>
      </x:c>
      <x:c r="D23" s="39" t="str">
        <x:v>2024-08-31</x:v>
      </x:c>
      <x:c r="E23" s="39" t="str">
        <x:v>0002016948-24-000026</x:v>
      </x:c>
      <x:c r="F23" s="39" t="str">
        <x:v>a84a5cd926a714c0d4b9322f0f08c020748a95c5d82f5c86e76d1958c45703b1</x:v>
      </x:c>
      <x:c r="G23" s="39" t="str">
        <x:v>https://www.sec.gov/Archives/edgar/data/2016948/000201694824000026/index.json</x:v>
      </x:c>
      <x:c r="H23" s="39" t="str">
        <x:v>data/raw/CAOT-2024-2/0002016948-24-000026/index.json.gz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0" customHeight="1">
      <x:c r="A24" s="2"/>
      <x:c r="B24" s="2"/>
      <x:c r="C24" s="39" t="str">
        <x:v>CAOT-2024-2 certificate 2024-08-31</x:v>
      </x:c>
      <x:c r="D24" s="39" t="str">
        <x:v>2024-08-31</x:v>
      </x:c>
      <x:c r="E24" s="39" t="str">
        <x:v>0002016948-24-000026</x:v>
      </x:c>
      <x:c r="F24" s="39" t="str">
        <x:v>37b9b249e0888122bd638280f1ba5b02a02bca55d73ec244b6302ca8b4ea8555</x:v>
      </x:c>
      <x:c r="G24" s="39" t="str">
        <x:v>https://www.sec.gov/Archives/edgar/data/2016948/000201694824000026/a2024-2ex991091624.htm</x:v>
      </x:c>
      <x:c r="H24" s="39" t="str">
        <x:v>data/raw/CAOT-2024-2/0002016948-24-000026/a2024-2ex991091624.htm.gz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0" customHeight="1">
      <x:c r="A25" s="2"/>
      <x:c r="B25" s="2"/>
      <x:c r="C25" s="39" t="str">
        <x:v>CAOT-2024-2 filing_directory 2024-09-30</x:v>
      </x:c>
      <x:c r="D25" s="39" t="str">
        <x:v>2024-09-30</x:v>
      </x:c>
      <x:c r="E25" s="39" t="str">
        <x:v>0002016948-24-000031</x:v>
      </x:c>
      <x:c r="F25" s="39" t="str">
        <x:v>fbd67bb972c01a82758d300afe7e8d10c0cbfc7acb85f016df5b181ef6738d05</x:v>
      </x:c>
      <x:c r="G25" s="39" t="str">
        <x:v>https://www.sec.gov/Archives/edgar/data/2016948/000201694824000031/index.json</x:v>
      </x:c>
      <x:c r="H25" s="39" t="str">
        <x:v>data/raw/CAOT-2024-2/0002016948-24-000031/index.json.gz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0" customHeight="1">
      <x:c r="A26" s="2"/>
      <x:c r="B26" s="2"/>
      <x:c r="C26" s="39" t="str">
        <x:v>CAOT-2024-2 certificate 2024-09-30</x:v>
      </x:c>
      <x:c r="D26" s="39" t="str">
        <x:v>2024-09-30</x:v>
      </x:c>
      <x:c r="E26" s="39" t="str">
        <x:v>0002016948-24-000031</x:v>
      </x:c>
      <x:c r="F26" s="39" t="str">
        <x:v>c3462e6181926bdc9628def2ab5bd94bc9858be5327fe7306a1a8a8536a455ae</x:v>
      </x:c>
      <x:c r="G26" s="39" t="str">
        <x:v>https://www.sec.gov/Archives/edgar/data/2016948/000201694824000031/a2024-2ex991101524.htm</x:v>
      </x:c>
      <x:c r="H26" s="39" t="str">
        <x:v>data/raw/CAOT-2024-2/0002016948-24-000031/a2024-2ex991101524.htm.gz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0" customHeight="1">
      <x:c r="A27" s="2"/>
      <x:c r="B27" s="2"/>
      <x:c r="C27" s="39" t="str">
        <x:v>CAOT-2024-2 filing_directory 2024-10-31</x:v>
      </x:c>
      <x:c r="D27" s="39" t="str">
        <x:v>2024-10-31</x:v>
      </x:c>
      <x:c r="E27" s="39" t="str">
        <x:v>0002016948-24-000036</x:v>
      </x:c>
      <x:c r="F27" s="39" t="str">
        <x:v>0a369d1a61de911946efad58475e2180d67450cec7ecf8960b2d92f0b6eca55c</x:v>
      </x:c>
      <x:c r="G27" s="39" t="str">
        <x:v>https://www.sec.gov/Archives/edgar/data/2016948/000201694824000036/index.json</x:v>
      </x:c>
      <x:c r="H27" s="39" t="str">
        <x:v>data/raw/CAOT-2024-2/0002016948-24-000036/index.json.gz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0" customHeight="1">
      <x:c r="A28" s="2"/>
      <x:c r="B28" s="2"/>
      <x:c r="C28" s="39" t="str">
        <x:v>CAOT-2024-2 certificate 2024-10-31</x:v>
      </x:c>
      <x:c r="D28" s="39" t="str">
        <x:v>2024-10-31</x:v>
      </x:c>
      <x:c r="E28" s="39" t="str">
        <x:v>0002016948-24-000036</x:v>
      </x:c>
      <x:c r="F28" s="39" t="str">
        <x:v>2a8687ae95b432decb5ed70aeeb7d019fcb3aa6f4ad9eacbc61bf5177c993e04</x:v>
      </x:c>
      <x:c r="G28" s="39" t="str">
        <x:v>https://www.sec.gov/Archives/edgar/data/2016948/000201694824000036/a2024-2ex991111524.htm</x:v>
      </x:c>
      <x:c r="H28" s="39" t="str">
        <x:v>data/raw/CAOT-2024-2/0002016948-24-000036/a2024-2ex991111524.htm.gz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0" customHeight="1">
      <x:c r="A29" s="2"/>
      <x:c r="B29" s="2"/>
      <x:c r="C29" s="39" t="str">
        <x:v>CAOT-2024-2 filing_directory 2024-11-30</x:v>
      </x:c>
      <x:c r="D29" s="39" t="str">
        <x:v>2024-11-30</x:v>
      </x:c>
      <x:c r="E29" s="39" t="str">
        <x:v>0002016948-24-000041</x:v>
      </x:c>
      <x:c r="F29" s="39" t="str">
        <x:v>e45f1c56ae6ab2cfa5f421943f3c76ae4328c749ae74f8c5ac93d4c3e4ebd192</x:v>
      </x:c>
      <x:c r="G29" s="39" t="str">
        <x:v>https://www.sec.gov/Archives/edgar/data/2016948/000201694824000041/index.json</x:v>
      </x:c>
      <x:c r="H29" s="39" t="str">
        <x:v>data/raw/CAOT-2024-2/0002016948-24-000041/index.json.gz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0" customHeight="1">
      <x:c r="A30" s="2"/>
      <x:c r="B30" s="2"/>
      <x:c r="C30" s="39" t="str">
        <x:v>CAOT-2024-2 certificate 2024-11-30</x:v>
      </x:c>
      <x:c r="D30" s="39" t="str">
        <x:v>2024-11-30</x:v>
      </x:c>
      <x:c r="E30" s="39" t="str">
        <x:v>0002016948-24-000041</x:v>
      </x:c>
      <x:c r="F30" s="39" t="str">
        <x:v>ff041b62433993d9a553951369857a8223d89fa609e3edcb8595dd56ac4116f6</x:v>
      </x:c>
      <x:c r="G30" s="39" t="str">
        <x:v>https://www.sec.gov/Archives/edgar/data/2016948/000201694824000041/a2024-2ex991121624.htm</x:v>
      </x:c>
      <x:c r="H30" s="39" t="str">
        <x:v>data/raw/CAOT-2024-2/0002016948-24-000041/a2024-2ex991121624.htm.gz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0" customHeight="1">
      <x:c r="A31" s="2"/>
      <x:c r="B31" s="2"/>
      <x:c r="C31" s="39" t="str">
        <x:v>CAOT-2024-2 filing_directory 2024-12-31</x:v>
      </x:c>
      <x:c r="D31" s="39" t="str">
        <x:v>2024-12-31</x:v>
      </x:c>
      <x:c r="E31" s="39" t="str">
        <x:v>0002016948-25-000005</x:v>
      </x:c>
      <x:c r="F31" s="39" t="str">
        <x:v>978ffd859bfd66e156f4636da9a086c308ac7ef74aed34cfb56c38f34db18ba7</x:v>
      </x:c>
      <x:c r="G31" s="39" t="str">
        <x:v>https://www.sec.gov/Archives/edgar/data/2016948/000201694825000005/index.json</x:v>
      </x:c>
      <x:c r="H31" s="39" t="str">
        <x:v>data/raw/CAOT-2024-2/0002016948-25-000005/index.json.gz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0" customHeight="1">
      <x:c r="A32" s="2"/>
      <x:c r="B32" s="2"/>
      <x:c r="C32" s="39" t="str">
        <x:v>CAOT-2024-2 certificate 2024-12-31</x:v>
      </x:c>
      <x:c r="D32" s="39" t="str">
        <x:v>2024-12-31</x:v>
      </x:c>
      <x:c r="E32" s="39" t="str">
        <x:v>0002016948-25-000005</x:v>
      </x:c>
      <x:c r="F32" s="39" t="str">
        <x:v>de4370945b444d12455dbc786f857b981060b6d1605a720d0d580c08217c22b9</x:v>
      </x:c>
      <x:c r="G32" s="39" t="str">
        <x:v>https://www.sec.gov/Archives/edgar/data/2016948/000201694825000005/a2024-2ex991011525.htm</x:v>
      </x:c>
      <x:c r="H32" s="39" t="str">
        <x:v>data/raw/CAOT-2024-2/0002016948-25-000005/a2024-2ex991011525.htm.gz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0" customHeight="1">
      <x:c r="A33" s="2"/>
      <x:c r="B33" s="2"/>
      <x:c r="C33" s="39" t="str">
        <x:v>CAOT-2024-2 filing_directory 2025-01-31</x:v>
      </x:c>
      <x:c r="D33" s="39" t="str">
        <x:v>2025-01-31</x:v>
      </x:c>
      <x:c r="E33" s="39" t="str">
        <x:v>0002016948-25-000010</x:v>
      </x:c>
      <x:c r="F33" s="39" t="str">
        <x:v>5ba17b1ee9e03917c6afb18d117c66ad2f17f08d49995433eb334d5ed19dfe43</x:v>
      </x:c>
      <x:c r="G33" s="39" t="str">
        <x:v>https://www.sec.gov/Archives/edgar/data/2016948/000201694825000010/index.json</x:v>
      </x:c>
      <x:c r="H33" s="39" t="str">
        <x:v>data/raw/CAOT-2024-2/0002016948-25-000010/index.json.gz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0" customHeight="1">
      <x:c r="A34" s="2"/>
      <x:c r="B34" s="2"/>
      <x:c r="C34" s="39" t="str">
        <x:v>CAOT-2024-2 certificate 2025-01-31</x:v>
      </x:c>
      <x:c r="D34" s="39" t="str">
        <x:v>2025-01-31</x:v>
      </x:c>
      <x:c r="E34" s="39" t="str">
        <x:v>0002016948-25-000010</x:v>
      </x:c>
      <x:c r="F34" s="39" t="str">
        <x:v>ff9d0ae222e70564f24bf9362d2efe474b939a6bb4708a9618f947075f48877f</x:v>
      </x:c>
      <x:c r="G34" s="39" t="str">
        <x:v>https://www.sec.gov/Archives/edgar/data/2016948/000201694825000010/a2024-2ex991021825.htm</x:v>
      </x:c>
      <x:c r="H34" s="39" t="str">
        <x:v>data/raw/CAOT-2024-2/0002016948-25-000010/a2024-2ex991021825.htm.gz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0" customHeight="1">
      <x:c r="A35" s="2"/>
      <x:c r="B35" s="2"/>
      <x:c r="C35" s="39" t="str">
        <x:v>CAOT-2024-2 filing_directory 2025-02-28</x:v>
      </x:c>
      <x:c r="D35" s="39" t="str">
        <x:v>2025-02-28</x:v>
      </x:c>
      <x:c r="E35" s="39" t="str">
        <x:v>0002016948-25-000015</x:v>
      </x:c>
      <x:c r="F35" s="39" t="str">
        <x:v>ce0870c794dbe22c32e1614e2a984486791a390d0bf33179ba3f90e283d663a4</x:v>
      </x:c>
      <x:c r="G35" s="39" t="str">
        <x:v>https://www.sec.gov/Archives/edgar/data/2016948/000201694825000015/index.json</x:v>
      </x:c>
      <x:c r="H35" s="39" t="str">
        <x:v>data/raw/CAOT-2024-2/0002016948-25-000015/index.json.gz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0" customHeight="1">
      <x:c r="A36" s="2"/>
      <x:c r="B36" s="2"/>
      <x:c r="C36" s="39" t="str">
        <x:v>CAOT-2024-2 certificate 2025-02-28</x:v>
      </x:c>
      <x:c r="D36" s="39" t="str">
        <x:v>2025-02-28</x:v>
      </x:c>
      <x:c r="E36" s="39" t="str">
        <x:v>0002016948-25-000015</x:v>
      </x:c>
      <x:c r="F36" s="39" t="str">
        <x:v>b8417b92b298d47f431a997990bd483c384c18382d22cc984fa0c1fffb3b2917</x:v>
      </x:c>
      <x:c r="G36" s="39" t="str">
        <x:v>https://www.sec.gov/Archives/edgar/data/2016948/000201694825000015/a2024-2ex991031725.htm</x:v>
      </x:c>
      <x:c r="H36" s="39" t="str">
        <x:v>data/raw/CAOT-2024-2/0002016948-25-000015/a2024-2ex991031725.htm.gz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0" customHeight="1">
      <x:c r="A37" s="2"/>
      <x:c r="B37" s="2"/>
      <x:c r="C37" s="39" t="str">
        <x:v>CAOT-2024-2 filing_directory 2025-03-31</x:v>
      </x:c>
      <x:c r="D37" s="39" t="str">
        <x:v>2025-03-31</x:v>
      </x:c>
      <x:c r="E37" s="39" t="str">
        <x:v>0002016948-25-000020</x:v>
      </x:c>
      <x:c r="F37" s="39" t="str">
        <x:v>bdc1e75054e214cbb2d5b2971fce073af578b5fae008c9c6c1567ef0d9a12860</x:v>
      </x:c>
      <x:c r="G37" s="39" t="str">
        <x:v>https://www.sec.gov/Archives/edgar/data/2016948/000201694825000020/index.json</x:v>
      </x:c>
      <x:c r="H37" s="39" t="str">
        <x:v>data/raw/CAOT-2024-2/0002016948-25-000020/index.json.gz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0" customHeight="1">
      <x:c r="A38" s="2"/>
      <x:c r="B38" s="2"/>
      <x:c r="C38" s="39" t="str">
        <x:v>CAOT-2024-2 certificate 2025-03-31</x:v>
      </x:c>
      <x:c r="D38" s="39" t="str">
        <x:v>2025-03-31</x:v>
      </x:c>
      <x:c r="E38" s="39" t="str">
        <x:v>0002016948-25-000020</x:v>
      </x:c>
      <x:c r="F38" s="39" t="str">
        <x:v>21808272f50b91c2518cc45234586217610524e667a78728cb71f3dbb461b73c</x:v>
      </x:c>
      <x:c r="G38" s="39" t="str">
        <x:v>https://www.sec.gov/Archives/edgar/data/2016948/000201694825000020/a2024-2ex991041525.htm</x:v>
      </x:c>
      <x:c r="H38" s="39" t="str">
        <x:v>data/raw/CAOT-2024-2/0002016948-25-000020/a2024-2ex991041525.htm.gz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0" customHeight="1">
      <x:c r="A39" s="2"/>
      <x:c r="B39" s="2"/>
      <x:c r="C39" s="39" t="str">
        <x:v>CAOT-2024-2 filing_directory 2025-04-30</x:v>
      </x:c>
      <x:c r="D39" s="39" t="str">
        <x:v>2025-04-30</x:v>
      </x:c>
      <x:c r="E39" s="39" t="str">
        <x:v>0002016948-25-000025</x:v>
      </x:c>
      <x:c r="F39" s="39" t="str">
        <x:v>fc5e8f9040df095f80306b59919391c76d89669f49dd58ec047271ed66a1c5f2</x:v>
      </x:c>
      <x:c r="G39" s="39" t="str">
        <x:v>https://www.sec.gov/Archives/edgar/data/2016948/000201694825000025/index.json</x:v>
      </x:c>
      <x:c r="H39" s="39" t="str">
        <x:v>data/raw/CAOT-2024-2/0002016948-25-000025/index.json.gz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0" customHeight="1">
      <x:c r="A40" s="2"/>
      <x:c r="B40" s="2"/>
      <x:c r="C40" s="39" t="str">
        <x:v>CAOT-2024-2 certificate 2025-04-30</x:v>
      </x:c>
      <x:c r="D40" s="39" t="str">
        <x:v>2025-04-30</x:v>
      </x:c>
      <x:c r="E40" s="39" t="str">
        <x:v>0002016948-25-000025</x:v>
      </x:c>
      <x:c r="F40" s="39" t="str">
        <x:v>c8e1360c70f7e6336abe89aec368e3640f02434e2a2224bf487c9c59c4bb32b3</x:v>
      </x:c>
      <x:c r="G40" s="39" t="str">
        <x:v>https://www.sec.gov/Archives/edgar/data/2016948/000201694825000025/a2024-2ex991051525.htm</x:v>
      </x:c>
      <x:c r="H40" s="39" t="str">
        <x:v>data/raw/CAOT-2024-2/0002016948-25-000025/a2024-2ex991051525.htm.gz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0" customHeight="1">
      <x:c r="A41" s="2"/>
      <x:c r="B41" s="2"/>
      <x:c r="C41" s="39" t="str">
        <x:v>CAOT-2024-2 filing_directory 2025-05-31</x:v>
      </x:c>
      <x:c r="D41" s="39" t="str">
        <x:v>2025-05-31</x:v>
      </x:c>
      <x:c r="E41" s="39" t="str">
        <x:v>0002016948-25-000032</x:v>
      </x:c>
      <x:c r="F41" s="39" t="str">
        <x:v>6379b0ab3c38f6831b0904a11c72278098589d86532c0c5da61bf4c1d2bae75d</x:v>
      </x:c>
      <x:c r="G41" s="39" t="str">
        <x:v>https://www.sec.gov/Archives/edgar/data/2016948/000201694825000032/index.json</x:v>
      </x:c>
      <x:c r="H41" s="39" t="str">
        <x:v>data/raw/CAOT-2024-2/0002016948-25-000032/index.json.gz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0" customHeight="1">
      <x:c r="A42" s="2"/>
      <x:c r="B42" s="2"/>
      <x:c r="C42" s="39" t="str">
        <x:v>CAOT-2024-2 certificate 2025-05-31</x:v>
      </x:c>
      <x:c r="D42" s="39" t="str">
        <x:v>2025-05-31</x:v>
      </x:c>
      <x:c r="E42" s="39" t="str">
        <x:v>0002016948-25-000032</x:v>
      </x:c>
      <x:c r="F42" s="39" t="str">
        <x:v>70b2cadb03873b6cfa40a50bfdd985d177327bc46ddaeaaafe3fee3068c579d6</x:v>
      </x:c>
      <x:c r="G42" s="39" t="str">
        <x:v>https://www.sec.gov/Archives/edgar/data/2016948/000201694825000032/a2024-2ex991061625.htm</x:v>
      </x:c>
      <x:c r="H42" s="39" t="str">
        <x:v>data/raw/CAOT-2024-2/0002016948-25-000032/a2024-2ex991061625.htm.gz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0" customHeight="1">
      <x:c r="A43" s="2"/>
      <x:c r="B43" s="2"/>
      <x:c r="C43" s="39" t="str">
        <x:v>CAOT-2024-2 filing_directory 2025-06-30</x:v>
      </x:c>
      <x:c r="D43" s="39" t="str">
        <x:v>2025-06-30</x:v>
      </x:c>
      <x:c r="E43" s="39" t="str">
        <x:v>0002016948-25-000037</x:v>
      </x:c>
      <x:c r="F43" s="39" t="str">
        <x:v>5ae7ab1888c0401507fb43c7d0691092386d2795afb0b548e4b370f8879ddd16</x:v>
      </x:c>
      <x:c r="G43" s="39" t="str">
        <x:v>https://www.sec.gov/Archives/edgar/data/2016948/000201694825000037/index.json</x:v>
      </x:c>
      <x:c r="H43" s="39" t="str">
        <x:v>data/raw/CAOT-2024-2/0002016948-25-000037/index.json.gz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0" customHeight="1">
      <x:c r="A44" s="2"/>
      <x:c r="B44" s="2"/>
      <x:c r="C44" s="39" t="str">
        <x:v>CAOT-2024-2 certificate 2025-06-30</x:v>
      </x:c>
      <x:c r="D44" s="39" t="str">
        <x:v>2025-06-30</x:v>
      </x:c>
      <x:c r="E44" s="39" t="str">
        <x:v>0002016948-25-000037</x:v>
      </x:c>
      <x:c r="F44" s="39" t="str">
        <x:v>6b374e9048c48471b43303eb3f6ca4335b39ef9d42bc2886c4fb4766d1aea5dc</x:v>
      </x:c>
      <x:c r="G44" s="39" t="str">
        <x:v>https://www.sec.gov/Archives/edgar/data/2016948/000201694825000037/a2024-2ex991071525.htm</x:v>
      </x:c>
      <x:c r="H44" s="39" t="str">
        <x:v>data/raw/CAOT-2024-2/0002016948-25-000037/a2024-2ex991071525.htm.gz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0" customHeight="1">
      <x:c r="A45" s="2"/>
      <x:c r="B45" s="2"/>
      <x:c r="C45" s="39" t="str">
        <x:v>CAOT-2024-2 filing_directory 2025-07-31</x:v>
      </x:c>
      <x:c r="D45" s="39" t="str">
        <x:v>2025-07-31</x:v>
      </x:c>
      <x:c r="E45" s="39" t="str">
        <x:v>0002016948-25-000043</x:v>
      </x:c>
      <x:c r="F45" s="39" t="str">
        <x:v>78cc3904e9c9f5400f23be271bee280f7927bde1e415d0cbb2167b9cc623af02</x:v>
      </x:c>
      <x:c r="G45" s="39" t="str">
        <x:v>https://www.sec.gov/Archives/edgar/data/2016948/000201694825000043/index.json</x:v>
      </x:c>
      <x:c r="H45" s="39" t="str">
        <x:v>data/raw/CAOT-2024-2/0002016948-25-000043/index.json.gz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0" customHeight="1">
      <x:c r="A46" s="2"/>
      <x:c r="B46" s="2"/>
      <x:c r="C46" s="39" t="str">
        <x:v>CAOT-2024-2 certificate 2025-07-31</x:v>
      </x:c>
      <x:c r="D46" s="39" t="str">
        <x:v>2025-07-31</x:v>
      </x:c>
      <x:c r="E46" s="39" t="str">
        <x:v>0002016948-25-000043</x:v>
      </x:c>
      <x:c r="F46" s="39" t="str">
        <x:v>bc275a7ba4ba79f8a25a3644c5a05cb4fc373d8668e7ac0af86cfa90e34595ea</x:v>
      </x:c>
      <x:c r="G46" s="39" t="str">
        <x:v>https://www.sec.gov/Archives/edgar/data/2016948/000201694825000043/a2024-2ex991081525.htm</x:v>
      </x:c>
      <x:c r="H46" s="39" t="str">
        <x:v>data/raw/CAOT-2024-2/0002016948-25-000043/a2024-2ex991081525.htm.gz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0" customHeight="1">
      <x:c r="A47" s="2"/>
      <x:c r="B47" s="2"/>
      <x:c r="C47" s="39" t="str">
        <x:v>CAOT-2024-2 filing_directory 2025-08-31</x:v>
      </x:c>
      <x:c r="D47" s="39" t="str">
        <x:v>2025-08-31</x:v>
      </x:c>
      <x:c r="E47" s="39" t="str">
        <x:v>0002016948-25-000048</x:v>
      </x:c>
      <x:c r="F47" s="39" t="str">
        <x:v>8d7f59ba85a5326de4c2262837fbe195f907db43cbd4467f1a41567444ec2945</x:v>
      </x:c>
      <x:c r="G47" s="39" t="str">
        <x:v>https://www.sec.gov/Archives/edgar/data/2016948/000201694825000048/index.json</x:v>
      </x:c>
      <x:c r="H47" s="39" t="str">
        <x:v>data/raw/CAOT-2024-2/0002016948-25-000048/index.json.gz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0" customHeight="1">
      <x:c r="A48" s="2"/>
      <x:c r="B48" s="2"/>
      <x:c r="C48" s="39" t="str">
        <x:v>CAOT-2024-2 certificate 2025-08-31</x:v>
      </x:c>
      <x:c r="D48" s="39" t="str">
        <x:v>2025-08-31</x:v>
      </x:c>
      <x:c r="E48" s="39" t="str">
        <x:v>0002016948-25-000048</x:v>
      </x:c>
      <x:c r="F48" s="39" t="str">
        <x:v>819a3612caaba7cee858ebf92fc4aae30a7033279375ed8cffefbd43f01d7ff3</x:v>
      </x:c>
      <x:c r="G48" s="39" t="str">
        <x:v>https://www.sec.gov/Archives/edgar/data/2016948/000201694825000048/a2024-2ex991091525.htm</x:v>
      </x:c>
      <x:c r="H48" s="39" t="str">
        <x:v>data/raw/CAOT-2024-2/0002016948-25-000048/a2024-2ex991091525.htm.gz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0" customHeight="1">
      <x:c r="A49" s="2"/>
      <x:c r="B49" s="2"/>
      <x:c r="C49" s="39" t="str">
        <x:v>CAOT-2024-2 filing_directory 2025-09-30</x:v>
      </x:c>
      <x:c r="D49" s="39" t="str">
        <x:v>2025-09-30</x:v>
      </x:c>
      <x:c r="E49" s="39" t="str">
        <x:v>0002016948-25-000053</x:v>
      </x:c>
      <x:c r="F49" s="39" t="str">
        <x:v>4c55af2c6a2650767f8ffa2a15777e599bd1c6972aa70bf9c751e1bc7b556fcf</x:v>
      </x:c>
      <x:c r="G49" s="39" t="str">
        <x:v>https://www.sec.gov/Archives/edgar/data/2016948/000201694825000053/index.json</x:v>
      </x:c>
      <x:c r="H49" s="39" t="str">
        <x:v>data/raw/CAOT-2024-2/0002016948-25-000053/index.json.gz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0" customHeight="1">
      <x:c r="A50" s="2"/>
      <x:c r="B50" s="2"/>
      <x:c r="C50" s="39" t="str">
        <x:v>CAOT-2024-2 certificate 2025-09-30</x:v>
      </x:c>
      <x:c r="D50" s="39" t="str">
        <x:v>2025-09-30</x:v>
      </x:c>
      <x:c r="E50" s="39" t="str">
        <x:v>0002016948-25-000053</x:v>
      </x:c>
      <x:c r="F50" s="39" t="str">
        <x:v>0d126080f60ed4d8507af9887dbb7827c6e75b11f56ecfaa7948699075517b52</x:v>
      </x:c>
      <x:c r="G50" s="39" t="str">
        <x:v>https://www.sec.gov/Archives/edgar/data/2016948/000201694825000053/a2024-2ex991101525.htm</x:v>
      </x:c>
      <x:c r="H50" s="39" t="str">
        <x:v>data/raw/CAOT-2024-2/0002016948-25-000053/a2024-2ex991101525.htm.gz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0" customHeight="1">
      <x:c r="A51" s="2"/>
      <x:c r="B51" s="2"/>
      <x:c r="C51" s="39" t="str">
        <x:v>CAOT-2024-2 filing_directory 2025-10-31</x:v>
      </x:c>
      <x:c r="D51" s="39" t="str">
        <x:v>2025-10-31</x:v>
      </x:c>
      <x:c r="E51" s="39" t="str">
        <x:v>0002016948-25-000058</x:v>
      </x:c>
      <x:c r="F51" s="39" t="str">
        <x:v>d919f7bc23a43264c2ea63e8a60af6ff5dbd9039d79361de44248ec43b113a2e</x:v>
      </x:c>
      <x:c r="G51" s="39" t="str">
        <x:v>https://www.sec.gov/Archives/edgar/data/2016948/000201694825000058/index.json</x:v>
      </x:c>
      <x:c r="H51" s="39" t="str">
        <x:v>data/raw/CAOT-2024-2/0002016948-25-000058/index.json.gz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0" customHeight="1">
      <x:c r="A52" s="2"/>
      <x:c r="B52" s="2"/>
      <x:c r="C52" s="39" t="str">
        <x:v>CAOT-2024-2 certificate 2025-10-31</x:v>
      </x:c>
      <x:c r="D52" s="39" t="str">
        <x:v>2025-10-31</x:v>
      </x:c>
      <x:c r="E52" s="39" t="str">
        <x:v>0002016948-25-000058</x:v>
      </x:c>
      <x:c r="F52" s="39" t="str">
        <x:v>b1b543decdd987508d0ca9c87ecf7736abbd282c1c8bcb1f6f092098710eecd1</x:v>
      </x:c>
      <x:c r="G52" s="39" t="str">
        <x:v>https://www.sec.gov/Archives/edgar/data/2016948/000201694825000058/a2024-2ex991111725.htm</x:v>
      </x:c>
      <x:c r="H52" s="39" t="str">
        <x:v>data/raw/CAOT-2024-2/0002016948-25-000058/a2024-2ex991111725.htm.gz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0" customHeight="1">
      <x:c r="A53" s="2"/>
      <x:c r="B53" s="2"/>
      <x:c r="C53" s="39" t="str">
        <x:v>CAOT-2024-2 filing_directory 2025-11-30</x:v>
      </x:c>
      <x:c r="D53" s="39" t="str">
        <x:v>2025-11-30</x:v>
      </x:c>
      <x:c r="E53" s="39" t="str">
        <x:v>0002016948-25-000063</x:v>
      </x:c>
      <x:c r="F53" s="39" t="str">
        <x:v>c721a3147600eb92407b8d0c7235a580a9972f8114a3656be3f57830a38144af</x:v>
      </x:c>
      <x:c r="G53" s="39" t="str">
        <x:v>https://www.sec.gov/Archives/edgar/data/2016948/000201694825000063/index.json</x:v>
      </x:c>
      <x:c r="H53" s="39" t="str">
        <x:v>data/raw/CAOT-2024-2/0002016948-25-000063/index.json.gz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0" customHeight="1">
      <x:c r="A54" s="2"/>
      <x:c r="B54" s="2"/>
      <x:c r="C54" s="39" t="str">
        <x:v>CAOT-2024-2 certificate 2025-11-30</x:v>
      </x:c>
      <x:c r="D54" s="39" t="str">
        <x:v>2025-11-30</x:v>
      </x:c>
      <x:c r="E54" s="39" t="str">
        <x:v>0002016948-25-000063</x:v>
      </x:c>
      <x:c r="F54" s="39" t="str">
        <x:v>baf9586b5d4f5e84045ce802fb51e67e59d8123f0652e5058c9f484b377477e1</x:v>
      </x:c>
      <x:c r="G54" s="39" t="str">
        <x:v>https://www.sec.gov/Archives/edgar/data/2016948/000201694825000063/a2024-2ex991121525.htm</x:v>
      </x:c>
      <x:c r="H54" s="39" t="str">
        <x:v>data/raw/CAOT-2024-2/0002016948-25-000063/a2024-2ex991121525.htm.gz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0" customHeight="1">
      <x:c r="A55" s="2"/>
      <x:c r="B55" s="2"/>
      <x:c r="C55" s="39" t="str">
        <x:v>CAOT-2024-2 filing_directory 2025-12-31</x:v>
      </x:c>
      <x:c r="D55" s="39" t="str">
        <x:v>2025-12-31</x:v>
      </x:c>
      <x:c r="E55" s="39" t="str">
        <x:v>0002016948-26-000005</x:v>
      </x:c>
      <x:c r="F55" s="39" t="str">
        <x:v>3c08fe295cef827d6c6a8d7b095763f28ba08a4726a31c2026b98df9efba008e</x:v>
      </x:c>
      <x:c r="G55" s="39" t="str">
        <x:v>https://www.sec.gov/Archives/edgar/data/2016948/000201694826000005/index.json</x:v>
      </x:c>
      <x:c r="H55" s="39" t="str">
        <x:v>data/raw/CAOT-2024-2/0002016948-26-000005/index.json.gz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0" customHeight="1">
      <x:c r="A56" s="2"/>
      <x:c r="B56" s="2"/>
      <x:c r="C56" s="39" t="str">
        <x:v>CAOT-2024-2 certificate 2025-12-31</x:v>
      </x:c>
      <x:c r="D56" s="39" t="str">
        <x:v>2025-12-31</x:v>
      </x:c>
      <x:c r="E56" s="39" t="str">
        <x:v>0002016948-26-000005</x:v>
      </x:c>
      <x:c r="F56" s="39" t="str">
        <x:v>a1adf6ea35da4e72f8322462111c6ee4377141fb66c80a76a60e003450883e99</x:v>
      </x:c>
      <x:c r="G56" s="39" t="str">
        <x:v>https://www.sec.gov/Archives/edgar/data/2016948/000201694826000005/a2024-2ex991011526.htm</x:v>
      </x:c>
      <x:c r="H56" s="39" t="str">
        <x:v>data/raw/CAOT-2024-2/0002016948-26-000005/a2024-2ex991011526.htm.gz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0" customHeight="1">
      <x:c r="A57" s="2"/>
      <x:c r="B57" s="2"/>
      <x:c r="C57" s="39" t="str">
        <x:v>CAOT-2024-2 filing_directory 2026-01-31</x:v>
      </x:c>
      <x:c r="D57" s="39" t="str">
        <x:v>2026-01-31</x:v>
      </x:c>
      <x:c r="E57" s="39" t="str">
        <x:v>0002016948-26-000010</x:v>
      </x:c>
      <x:c r="F57" s="39" t="str">
        <x:v>52fe9c602613abed85d9c3142fc1a412c7a13d12f06cbd33e0df5857b91ff848</x:v>
      </x:c>
      <x:c r="G57" s="39" t="str">
        <x:v>https://www.sec.gov/Archives/edgar/data/2016948/000201694826000010/index.json</x:v>
      </x:c>
      <x:c r="H57" s="39" t="str">
        <x:v>data/raw/CAOT-2024-2/0002016948-26-000010/index.json.gz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0" customHeight="1">
      <x:c r="A58" s="2"/>
      <x:c r="B58" s="2"/>
      <x:c r="C58" s="39" t="str">
        <x:v>CAOT-2024-2 certificate 2026-01-31</x:v>
      </x:c>
      <x:c r="D58" s="39" t="str">
        <x:v>2026-01-31</x:v>
      </x:c>
      <x:c r="E58" s="39" t="str">
        <x:v>0002016948-26-000010</x:v>
      </x:c>
      <x:c r="F58" s="39" t="str">
        <x:v>871d82cc4c7397a7d4d89febc41212697f2ddd2dc1a5f2cf68949cce4ec89b39</x:v>
      </x:c>
      <x:c r="G58" s="39" t="str">
        <x:v>https://www.sec.gov/Archives/edgar/data/2016948/000201694826000010/a2024-2ex991021726.htm</x:v>
      </x:c>
      <x:c r="H58" s="39" t="str">
        <x:v>data/raw/CAOT-2024-2/0002016948-26-000010/a2024-2ex991021726.htm.gz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0" customHeight="1">
      <x:c r="A59" s="2"/>
      <x:c r="B59" s="2"/>
      <x:c r="C59" s="39" t="str">
        <x:v>CAOT-2024-2 filing_directory 2026-02-28</x:v>
      </x:c>
      <x:c r="D59" s="39" t="str">
        <x:v>2026-02-28</x:v>
      </x:c>
      <x:c r="E59" s="39" t="str">
        <x:v>0002016948-26-000017</x:v>
      </x:c>
      <x:c r="F59" s="39" t="str">
        <x:v>eaa4d78b960acc35c9356a8615e809daa80b7bf5c9b30766edced64bf1e2182c</x:v>
      </x:c>
      <x:c r="G59" s="39" t="str">
        <x:v>https://www.sec.gov/Archives/edgar/data/2016948/000201694826000017/index.json</x:v>
      </x:c>
      <x:c r="H59" s="39" t="str">
        <x:v>data/raw/CAOT-2024-2/0002016948-26-000017/index.json.gz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0" customHeight="1">
      <x:c r="A60" s="2"/>
      <x:c r="B60" s="2"/>
      <x:c r="C60" s="39" t="str">
        <x:v>CAOT-2024-2 certificate 2026-02-28</x:v>
      </x:c>
      <x:c r="D60" s="39" t="str">
        <x:v>2026-02-28</x:v>
      </x:c>
      <x:c r="E60" s="39" t="str">
        <x:v>0002016948-26-000017</x:v>
      </x:c>
      <x:c r="F60" s="39" t="str">
        <x:v>ded7e1283e4b0aeb004799e30fc417d4eab35918237621291847b6ba465e66e1</x:v>
      </x:c>
      <x:c r="G60" s="39" t="str">
        <x:v>https://www.sec.gov/Archives/edgar/data/2016948/000201694826000017/a2024-2ex991031626.htm</x:v>
      </x:c>
      <x:c r="H60" s="39" t="str">
        <x:v>data/raw/CAOT-2024-2/0002016948-26-000017/a2024-2ex991031626.htm.gz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0" customHeight="1">
      <x:c r="A61" s="2"/>
      <x:c r="B61" s="2"/>
      <x:c r="C61" s="39" t="str">
        <x:v>CAOT-2024-2 filing_directory 2026-03-31</x:v>
      </x:c>
      <x:c r="D61" s="39" t="str">
        <x:v>2026-03-31</x:v>
      </x:c>
      <x:c r="E61" s="39" t="str">
        <x:v>0002016948-26-000022</x:v>
      </x:c>
      <x:c r="F61" s="39" t="str">
        <x:v>2721b4b4d20880cc44623a2a0bc553185c10de587e8ffba2ba1e89f276f242ed</x:v>
      </x:c>
      <x:c r="G61" s="39" t="str">
        <x:v>https://www.sec.gov/Archives/edgar/data/2016948/000201694826000022/index.json</x:v>
      </x:c>
      <x:c r="H61" s="39" t="str">
        <x:v>data/raw/CAOT-2024-2/0002016948-26-000022/index.json.gz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0" customHeight="1">
      <x:c r="A62" s="2"/>
      <x:c r="B62" s="2"/>
      <x:c r="C62" s="39" t="str">
        <x:v>CAOT-2024-2 certificate 2026-03-31</x:v>
      </x:c>
      <x:c r="D62" s="39" t="str">
        <x:v>2026-03-31</x:v>
      </x:c>
      <x:c r="E62" s="39" t="str">
        <x:v>0002016948-26-000022</x:v>
      </x:c>
      <x:c r="F62" s="39" t="str">
        <x:v>23d2f34ee51f6d924b1b365a3adcebfae496b61a329f9edc9f9615dad3b68f65</x:v>
      </x:c>
      <x:c r="G62" s="39" t="str">
        <x:v>https://www.sec.gov/Archives/edgar/data/2016948/000201694826000022/a2024-2ex991041526.htm</x:v>
      </x:c>
      <x:c r="H62" s="39" t="str">
        <x:v>data/raw/CAOT-2024-2/0002016948-26-000022/a2024-2ex991041526.htm.gz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0" customHeight="1">
      <x:c r="A63" s="2"/>
      <x:c r="B63" s="2"/>
      <x:c r="C63" s="39" t="str">
        <x:v>CAOT-2024-2 filing_directory 2026-04-30</x:v>
      </x:c>
      <x:c r="D63" s="39" t="str">
        <x:v>2026-04-30</x:v>
      </x:c>
      <x:c r="E63" s="39" t="str">
        <x:v>0002016948-26-000027</x:v>
      </x:c>
      <x:c r="F63" s="39" t="str">
        <x:v>1583ec91ae7eb6b570a0a8daed3cfaf452bc6454811a1b0da9deaaf2b029251c</x:v>
      </x:c>
      <x:c r="G63" s="39" t="str">
        <x:v>https://www.sec.gov/Archives/edgar/data/2016948/000201694826000027/index.json</x:v>
      </x:c>
      <x:c r="H63" s="39" t="str">
        <x:v>data/raw/CAOT-2024-2/0002016948-26-000027/index.json.gz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0" customHeight="1">
      <x:c r="A64" s="2"/>
      <x:c r="B64" s="2"/>
      <x:c r="C64" s="39" t="str">
        <x:v>CAOT-2024-2 certificate 2026-04-30</x:v>
      </x:c>
      <x:c r="D64" s="39" t="str">
        <x:v>2026-04-30</x:v>
      </x:c>
      <x:c r="E64" s="39" t="str">
        <x:v>0002016948-26-000027</x:v>
      </x:c>
      <x:c r="F64" s="39" t="str">
        <x:v>f6dd9b3893b8c6623cc6e4e1f512300004b04a5992c064e088db692eb803af88</x:v>
      </x:c>
      <x:c r="G64" s="39" t="str">
        <x:v>https://www.sec.gov/Archives/edgar/data/2016948/000201694826000027/a2024-2ex991051526.htm</x:v>
      </x:c>
      <x:c r="H64" s="39" t="str">
        <x:v>data/raw/CAOT-2024-2/0002016948-26-000027/a2024-2ex991051526.htm.gz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0" customHeight="1">
      <x:c r="A65" s="2"/>
      <x:c r="B65" s="2"/>
      <x:c r="C65" s="39" t="str">
        <x:v>CAOT-2024-2 filing_directory 2026-05-31</x:v>
      </x:c>
      <x:c r="D65" s="39" t="str">
        <x:v>2026-05-31</x:v>
      </x:c>
      <x:c r="E65" s="39" t="str">
        <x:v>0002016948-26-000034</x:v>
      </x:c>
      <x:c r="F65" s="39" t="str">
        <x:v>2534eab4d88b9aada88fad39070a3ef08c03124c99237e30bbd9db66e2d72e66</x:v>
      </x:c>
      <x:c r="G65" s="39" t="str">
        <x:v>https://www.sec.gov/Archives/edgar/data/2016948/000201694826000034/index.json</x:v>
      </x:c>
      <x:c r="H65" s="39" t="str">
        <x:v>data/raw/CAOT-2024-2/0002016948-26-000034/index.json.gz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0" customHeight="1">
      <x:c r="A66" s="2"/>
      <x:c r="B66" s="2"/>
      <x:c r="C66" s="39" t="str">
        <x:v>CAOT-2024-2 certificate 2026-05-31</x:v>
      </x:c>
      <x:c r="D66" s="39" t="str">
        <x:v>2026-05-31</x:v>
      </x:c>
      <x:c r="E66" s="39" t="str">
        <x:v>0002016948-26-000034</x:v>
      </x:c>
      <x:c r="F66" s="39" t="str">
        <x:v>bc7e146d625ba04243206f8f489b399cf4ec73f42f4f57c3bf60342e0d718c31</x:v>
      </x:c>
      <x:c r="G66" s="39" t="str">
        <x:v>https://www.sec.gov/Archives/edgar/data/2016948/000201694826000034/a2024-2ex991061526.htm</x:v>
      </x:c>
      <x:c r="H66" s="39" t="str">
        <x:v>data/raw/CAOT-2024-2/0002016948-26-000034/a2024-2ex991061526.htm.gz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0" customHeight="1">
      <x:c r="A67" s="2"/>
      <x:c r="B67" s="2"/>
      <x:c r="C67" s="39" t="str">
        <x:v>CAOT-2024-2 filing_directory 2026-06-30</x:v>
      </x:c>
      <x:c r="D67" s="39" t="str">
        <x:v>2026-06-30</x:v>
      </x:c>
      <x:c r="E67" s="39" t="str">
        <x:v>0002016948-26-000039</x:v>
      </x:c>
      <x:c r="F67" s="39" t="str">
        <x:v>1a86794093799c9b93ad7350514f33abbd228ff7f1df2236b3251f730e05efc3</x:v>
      </x:c>
      <x:c r="G67" s="39" t="str">
        <x:v>https://www.sec.gov/Archives/edgar/data/2016948/000201694826000039/index.json</x:v>
      </x:c>
      <x:c r="H67" s="39" t="str">
        <x:v>data/raw/CAOT-2024-2/0002016948-26-000039/index.json.gz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0" customHeight="1">
      <x:c r="A68" s="2"/>
      <x:c r="B68" s="2"/>
      <x:c r="C68" s="39" t="str">
        <x:v>CAOT-2024-2 certificate 2026-06-30</x:v>
      </x:c>
      <x:c r="D68" s="39" t="str">
        <x:v>2026-06-30</x:v>
      </x:c>
      <x:c r="E68" s="39" t="str">
        <x:v>0002016948-26-000039</x:v>
      </x:c>
      <x:c r="F68" s="39" t="str">
        <x:v>6f8949aa2b1da9a74ab35852ee259f61ec33ade69e72ab96cecf105163c2af51</x:v>
      </x:c>
      <x:c r="G68" s="39" t="str">
        <x:v>https://www.sec.gov/Archives/edgar/data/2016948/000201694826000039/a2024-2ex991071526.htm</x:v>
      </x:c>
      <x:c r="H68" s="39" t="str">
        <x:v>data/raw/CAOT-2024-2/0002016948-26-000039/a2024-2ex991071526.htm.gz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0" customHeight="1">
      <x:c r="A69" s="2"/>
      <x:c r="B69" s="2"/>
      <x:c r="C69" s="39" t="str">
        <x:v>CAOT-2024-2 filing_directory 2026-07-31</x:v>
      </x:c>
      <x:c r="D69" s="39" t="str">
        <x:v>2026-07-31</x:v>
      </x:c>
      <x:c r="E69" s="39" t="str">
        <x:v>0002016948-26-000044</x:v>
      </x:c>
      <x:c r="F69" s="39" t="str">
        <x:v>eba3ae2efec03652ca3c20c61b009d3b955ec9dab12da68c36c26bcb54e513c4</x:v>
      </x:c>
      <x:c r="G69" s="39" t="str">
        <x:v>https://www.sec.gov/Archives/edgar/data/2016948/000201694826000044/index.json</x:v>
      </x:c>
      <x:c r="H69" s="39" t="str">
        <x:v>data/raw/CAOT-2024-2/0002016948-26-000044/index.json.gz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0" customHeight="1">
      <x:c r="A70" s="2"/>
      <x:c r="B70" s="2"/>
      <x:c r="C70" s="39" t="str">
        <x:v>CAOT-2024-2 certificate 2026-07-31</x:v>
      </x:c>
      <x:c r="D70" s="39" t="str">
        <x:v>2026-07-31</x:v>
      </x:c>
      <x:c r="E70" s="39" t="str">
        <x:v>0002016948-26-000044</x:v>
      </x:c>
      <x:c r="F70" s="39" t="str">
        <x:v>806bd7f9c220e409a031f3e5faa242afeaad61d905ee92b095c11e257187f6df</x:v>
      </x:c>
      <x:c r="G70" s="39" t="str">
        <x:v>https://www.sec.gov/Archives/edgar/data/2016948/000201694826000044/a2024-2ex991081726.htm</x:v>
      </x:c>
      <x:c r="H70" s="39" t="str">
        <x:v>data/raw/CAOT-2024-2/0002016948-26-000044/a2024-2ex991081726.htm.gz</x:v>
      </x:c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0" customHeight="1">
      <x:c r="A71" s="2"/>
      <x:c r="B71" s="2"/>
      <x:c r="C71" s="39" t="str">
        <x:v>CAOT-2024-2 filing_directory 2026-08-31</x:v>
      </x:c>
      <x:c r="D71" s="39" t="str">
        <x:v>2026-08-31</x:v>
      </x:c>
      <x:c r="E71" s="39" t="str">
        <x:v>0002016948-26-000049</x:v>
      </x:c>
      <x:c r="F71" s="39" t="str">
        <x:v>3550954d681d29b92a59ddd2d8167ff8a3ad7059e992c37b824a069955bc42b9</x:v>
      </x:c>
      <x:c r="G71" s="39" t="str">
        <x:v>https://www.sec.gov/Archives/edgar/data/2016948/000201694826000049/index.json</x:v>
      </x:c>
      <x:c r="H71" s="39" t="str">
        <x:v>data/raw/CAOT-2024-2/0002016948-26-000049/index.json.gz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0" customHeight="1">
      <x:c r="A72" s="2"/>
      <x:c r="B72" s="2"/>
      <x:c r="C72" s="39" t="str">
        <x:v>CAOT-2024-2 certificate 2026-08-31</x:v>
      </x:c>
      <x:c r="D72" s="39" t="str">
        <x:v>2026-08-31</x:v>
      </x:c>
      <x:c r="E72" s="39" t="str">
        <x:v>0002016948-26-000049</x:v>
      </x:c>
      <x:c r="F72" s="39" t="str">
        <x:v>e9efc5228dcbd9d6195a6766ec59374a9fc5f2e8c0681af909204a64eacd738d</x:v>
      </x:c>
      <x:c r="G72" s="39" t="str">
        <x:v>https://www.sec.gov/Archives/edgar/data/2016948/000201694826000049/a2024-2ex991091526.htm</x:v>
      </x:c>
      <x:c r="H72" s="39" t="str">
        <x:v>data/raw/CAOT-2024-2/0002016948-26-000049/a2024-2ex991091526.htm.gz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0" customHeight="1">
      <x:c r="A73" s="2"/>
      <x:c r="B73" s="2"/>
      <x:c r="C73" s="39" t="str">
        <x:v>CAOT-2025-2 filing_directory 2025-04-30</x:v>
      </x:c>
      <x:c r="D73" s="39" t="str">
        <x:v>2025-04-30</x:v>
      </x:c>
      <x:c r="E73" s="39" t="str">
        <x:v>0002063979-25-000005</x:v>
      </x:c>
      <x:c r="F73" s="39" t="str">
        <x:v>5b1a1f729fb71fc35c3f50214c6c39889e8c0f2bb6ba4879cbfe720e3d435ac2</x:v>
      </x:c>
      <x:c r="G73" s="39" t="str">
        <x:v>https://www.sec.gov/Archives/edgar/data/2063979/000206397925000005/index.json</x:v>
      </x:c>
      <x:c r="H73" s="39" t="str">
        <x:v>data/raw/CAOT-2025-2/0002063979-25-000005/index.json.gz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0" customHeight="1">
      <x:c r="A74" s="2"/>
      <x:c r="B74" s="2"/>
      <x:c r="C74" s="39" t="str">
        <x:v>CAOT-2025-2 certificate 2025-04-30</x:v>
      </x:c>
      <x:c r="D74" s="39" t="str">
        <x:v>2025-04-30</x:v>
      </x:c>
      <x:c r="E74" s="39" t="str">
        <x:v>0002063979-25-000005</x:v>
      </x:c>
      <x:c r="F74" s="39" t="str">
        <x:v>88815a141fbe496951ed8de349853aa9b07bda4d53deae237fef63ecfc3cabea</x:v>
      </x:c>
      <x:c r="G74" s="39" t="str">
        <x:v>https://www.sec.gov/Archives/edgar/data/2063979/000206397925000005/a2025-2ex991051525.htm</x:v>
      </x:c>
      <x:c r="H74" s="39" t="str">
        <x:v>data/raw/CAOT-2025-2/0002063979-25-000005/a2025-2ex991051525.htm.gz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0" customHeight="1">
      <x:c r="A75" s="2"/>
      <x:c r="B75" s="2"/>
      <x:c r="C75" s="39" t="str">
        <x:v>CAOT-2025-2 filing_directory 2025-05-31</x:v>
      </x:c>
      <x:c r="D75" s="39" t="str">
        <x:v>2025-05-31</x:v>
      </x:c>
      <x:c r="E75" s="39" t="str">
        <x:v>0002063979-25-000010</x:v>
      </x:c>
      <x:c r="F75" s="39" t="str">
        <x:v>ff2f91b7565e9fb63cbe4faac246f9eb7027020aad2421ad696f39e76ac10d53</x:v>
      </x:c>
      <x:c r="G75" s="39" t="str">
        <x:v>https://www.sec.gov/Archives/edgar/data/2063979/000206397925000010/index.json</x:v>
      </x:c>
      <x:c r="H75" s="39" t="str">
        <x:v>data/raw/CAOT-2025-2/0002063979-25-000010/index.json.gz</x:v>
      </x:c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0" customHeight="1">
      <x:c r="A76" s="2"/>
      <x:c r="B76" s="2"/>
      <x:c r="C76" s="39" t="str">
        <x:v>CAOT-2025-2 certificate 2025-05-31</x:v>
      </x:c>
      <x:c r="D76" s="39" t="str">
        <x:v>2025-05-31</x:v>
      </x:c>
      <x:c r="E76" s="39" t="str">
        <x:v>0002063979-25-000010</x:v>
      </x:c>
      <x:c r="F76" s="39" t="str">
        <x:v>6876cfe953ee14ba5eed2e83c2d53947a985a53a9701bc5b4c34d68f3acaee65</x:v>
      </x:c>
      <x:c r="G76" s="39" t="str">
        <x:v>https://www.sec.gov/Archives/edgar/data/2063979/000206397925000010/a2025-2ex991061625.htm</x:v>
      </x:c>
      <x:c r="H76" s="39" t="str">
        <x:v>data/raw/CAOT-2025-2/0002063979-25-000010/a2025-2ex991061625.htm.gz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0" customHeight="1">
      <x:c r="A77" s="2"/>
      <x:c r="B77" s="2"/>
      <x:c r="C77" s="39" t="str">
        <x:v>CAOT-2025-2 filing_directory 2025-06-30</x:v>
      </x:c>
      <x:c r="D77" s="39" t="str">
        <x:v>2025-06-30</x:v>
      </x:c>
      <x:c r="E77" s="39" t="str">
        <x:v>0002063979-25-000015</x:v>
      </x:c>
      <x:c r="F77" s="39" t="str">
        <x:v>ae7197e8e532fea5384ffc5cec85c0edfe4f8bccc52348a0fd01c55c6b0a4898</x:v>
      </x:c>
      <x:c r="G77" s="39" t="str">
        <x:v>https://www.sec.gov/Archives/edgar/data/2063979/000206397925000015/index.json</x:v>
      </x:c>
      <x:c r="H77" s="39" t="str">
        <x:v>data/raw/CAOT-2025-2/0002063979-25-000015/index.json.gz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0" customHeight="1">
      <x:c r="A78" s="2"/>
      <x:c r="B78" s="2"/>
      <x:c r="C78" s="39" t="str">
        <x:v>CAOT-2025-2 certificate 2025-06-30</x:v>
      </x:c>
      <x:c r="D78" s="39" t="str">
        <x:v>2025-06-30</x:v>
      </x:c>
      <x:c r="E78" s="39" t="str">
        <x:v>0002063979-25-000015</x:v>
      </x:c>
      <x:c r="F78" s="39" t="str">
        <x:v>57ef3cb02efa2bd1b9cb02d88c48e0a04664c87ebd2b643f4da63f3133fc8bd8</x:v>
      </x:c>
      <x:c r="G78" s="39" t="str">
        <x:v>https://www.sec.gov/Archives/edgar/data/2063979/000206397925000015/a2025-2ex991071525.htm</x:v>
      </x:c>
      <x:c r="H78" s="39" t="str">
        <x:v>data/raw/CAOT-2025-2/0002063979-25-000015/a2025-2ex991071525.htm.gz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0" customHeight="1">
      <x:c r="A79" s="2"/>
      <x:c r="B79" s="2"/>
      <x:c r="C79" s="39" t="str">
        <x:v>CAOT-2025-2 filing_directory 2025-07-31</x:v>
      </x:c>
      <x:c r="D79" s="39" t="str">
        <x:v>2025-07-31</x:v>
      </x:c>
      <x:c r="E79" s="39" t="str">
        <x:v>0002063979-25-000020</x:v>
      </x:c>
      <x:c r="F79" s="39" t="str">
        <x:v>12f6fa48e9a1a426f268a49fc0627fc9e49eeeae00588b80487d6eb7c7e2d1e9</x:v>
      </x:c>
      <x:c r="G79" s="39" t="str">
        <x:v>https://www.sec.gov/Archives/edgar/data/2063979/000206397925000020/index.json</x:v>
      </x:c>
      <x:c r="H79" s="39" t="str">
        <x:v>data/raw/CAOT-2025-2/0002063979-25-000020/index.json.gz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0" customHeight="1">
      <x:c r="A80" s="2"/>
      <x:c r="B80" s="2"/>
      <x:c r="C80" s="39" t="str">
        <x:v>CAOT-2025-2 certificate 2025-07-31</x:v>
      </x:c>
      <x:c r="D80" s="39" t="str">
        <x:v>2025-07-31</x:v>
      </x:c>
      <x:c r="E80" s="39" t="str">
        <x:v>0002063979-25-000020</x:v>
      </x:c>
      <x:c r="F80" s="39" t="str">
        <x:v>320d73aacc4e870363f0af89eeb3980c8f52b4c5ba20429a7a1293bd128e000f</x:v>
      </x:c>
      <x:c r="G80" s="39" t="str">
        <x:v>https://www.sec.gov/Archives/edgar/data/2063979/000206397925000020/a2025-2ex991081525.htm</x:v>
      </x:c>
      <x:c r="H80" s="39" t="str">
        <x:v>data/raw/CAOT-2025-2/0002063979-25-000020/a2025-2ex991081525.htm.gz</x:v>
      </x:c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0" customHeight="1">
      <x:c r="A81" s="2"/>
      <x:c r="B81" s="2"/>
      <x:c r="C81" s="39" t="str">
        <x:v>CAOT-2025-2 filing_directory 2025-08-31</x:v>
      </x:c>
      <x:c r="D81" s="39" t="str">
        <x:v>2025-08-31</x:v>
      </x:c>
      <x:c r="E81" s="39" t="str">
        <x:v>0002063979-25-000025</x:v>
      </x:c>
      <x:c r="F81" s="39" t="str">
        <x:v>1ae586a46b2c726dd6c54bbf469a34c2592f9bb461c70e849bbbfc156ae67d01</x:v>
      </x:c>
      <x:c r="G81" s="39" t="str">
        <x:v>https://www.sec.gov/Archives/edgar/data/2063979/000206397925000025/index.json</x:v>
      </x:c>
      <x:c r="H81" s="39" t="str">
        <x:v>data/raw/CAOT-2025-2/0002063979-25-000025/index.json.gz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0" customHeight="1">
      <x:c r="A82" s="2"/>
      <x:c r="B82" s="2"/>
      <x:c r="C82" s="39" t="str">
        <x:v>CAOT-2025-2 certificate 2025-08-31</x:v>
      </x:c>
      <x:c r="D82" s="39" t="str">
        <x:v>2025-08-31</x:v>
      </x:c>
      <x:c r="E82" s="39" t="str">
        <x:v>0002063979-25-000025</x:v>
      </x:c>
      <x:c r="F82" s="39" t="str">
        <x:v>f6520fb59ad7c339ea8924465f57264ea2a68d1e4a981aff524d923069530de4</x:v>
      </x:c>
      <x:c r="G82" s="39" t="str">
        <x:v>https://www.sec.gov/Archives/edgar/data/2063979/000206397925000025/a2025-2ex991091525.htm</x:v>
      </x:c>
      <x:c r="H82" s="39" t="str">
        <x:v>data/raw/CAOT-2025-2/0002063979-25-000025/a2025-2ex991091525.htm.gz</x:v>
      </x:c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0" customHeight="1">
      <x:c r="A83" s="2"/>
      <x:c r="B83" s="2"/>
      <x:c r="C83" s="39" t="str">
        <x:v>CAOT-2025-2 filing_directory 2025-09-30</x:v>
      </x:c>
      <x:c r="D83" s="39" t="str">
        <x:v>2025-09-30</x:v>
      </x:c>
      <x:c r="E83" s="39" t="str">
        <x:v>0002063979-25-000030</x:v>
      </x:c>
      <x:c r="F83" s="39" t="str">
        <x:v>9a77bdd4cd7b326eb82c6bda3f0a5c53716c8bf079ac51d2384539c3c34a1735</x:v>
      </x:c>
      <x:c r="G83" s="39" t="str">
        <x:v>https://www.sec.gov/Archives/edgar/data/2063979/000206397925000030/index.json</x:v>
      </x:c>
      <x:c r="H83" s="39" t="str">
        <x:v>data/raw/CAOT-2025-2/0002063979-25-000030/index.json.gz</x:v>
      </x:c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0" customHeight="1">
      <x:c r="A84" s="2"/>
      <x:c r="B84" s="2"/>
      <x:c r="C84" s="39" t="str">
        <x:v>CAOT-2025-2 certificate 2025-09-30</x:v>
      </x:c>
      <x:c r="D84" s="39" t="str">
        <x:v>2025-09-30</x:v>
      </x:c>
      <x:c r="E84" s="39" t="str">
        <x:v>0002063979-25-000030</x:v>
      </x:c>
      <x:c r="F84" s="39" t="str">
        <x:v>031c0eed3ae4339809aac653e89658fff08c8350039ac832bce0af754e77f4f3</x:v>
      </x:c>
      <x:c r="G84" s="39" t="str">
        <x:v>https://www.sec.gov/Archives/edgar/data/2063979/000206397925000030/a2025-2ex991101525.htm</x:v>
      </x:c>
      <x:c r="H84" s="39" t="str">
        <x:v>data/raw/CAOT-2025-2/0002063979-25-000030/a2025-2ex991101525.htm.gz</x:v>
      </x:c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0" customHeight="1">
      <x:c r="A85" s="2"/>
      <x:c r="B85" s="2"/>
      <x:c r="C85" s="39" t="str">
        <x:v>CAOT-2025-2 filing_directory 2025-10-31</x:v>
      </x:c>
      <x:c r="D85" s="39" t="str">
        <x:v>2025-10-31</x:v>
      </x:c>
      <x:c r="E85" s="39" t="str">
        <x:v>0002063979-25-000035</x:v>
      </x:c>
      <x:c r="F85" s="39" t="str">
        <x:v>44ab64ff008a9e9120cca35d5aeb7ab3df8cb030cf8b5d85ad0272844676ff23</x:v>
      </x:c>
      <x:c r="G85" s="39" t="str">
        <x:v>https://www.sec.gov/Archives/edgar/data/2063979/000206397925000035/index.json</x:v>
      </x:c>
      <x:c r="H85" s="39" t="str">
        <x:v>data/raw/CAOT-2025-2/0002063979-25-000035/index.json.gz</x:v>
      </x:c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0" customHeight="1">
      <x:c r="A86" s="2"/>
      <x:c r="B86" s="2"/>
      <x:c r="C86" s="39" t="str">
        <x:v>CAOT-2025-2 certificate 2025-10-31</x:v>
      </x:c>
      <x:c r="D86" s="39" t="str">
        <x:v>2025-10-31</x:v>
      </x:c>
      <x:c r="E86" s="39" t="str">
        <x:v>0002063979-25-000035</x:v>
      </x:c>
      <x:c r="F86" s="39" t="str">
        <x:v>f478623eaa97734978e7a800386859dfe6fa2b8ce90058fc97165e048434b28d</x:v>
      </x:c>
      <x:c r="G86" s="39" t="str">
        <x:v>https://www.sec.gov/Archives/edgar/data/2063979/000206397925000035/a2025-2ex991111725.htm</x:v>
      </x:c>
      <x:c r="H86" s="39" t="str">
        <x:v>data/raw/CAOT-2025-2/0002063979-25-000035/a2025-2ex991111725.htm.gz</x:v>
      </x:c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0" customHeight="1">
      <x:c r="A87" s="2"/>
      <x:c r="B87" s="2"/>
      <x:c r="C87" s="39" t="str">
        <x:v>CAOT-2025-2 filing_directory 2025-11-30</x:v>
      </x:c>
      <x:c r="D87" s="39" t="str">
        <x:v>2025-11-30</x:v>
      </x:c>
      <x:c r="E87" s="39" t="str">
        <x:v>0002063979-25-000040</x:v>
      </x:c>
      <x:c r="F87" s="39" t="str">
        <x:v>94aaa931ff5efee71a7b1a3d32559ec40a461253f8cf0699aa0d3fc75f4a431f</x:v>
      </x:c>
      <x:c r="G87" s="39" t="str">
        <x:v>https://www.sec.gov/Archives/edgar/data/2063979/000206397925000040/index.json</x:v>
      </x:c>
      <x:c r="H87" s="39" t="str">
        <x:v>data/raw/CAOT-2025-2/0002063979-25-000040/index.json.gz</x:v>
      </x:c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0" customHeight="1">
      <x:c r="A88" s="2"/>
      <x:c r="B88" s="2"/>
      <x:c r="C88" s="39" t="str">
        <x:v>CAOT-2025-2 certificate 2025-11-30</x:v>
      </x:c>
      <x:c r="D88" s="39" t="str">
        <x:v>2025-11-30</x:v>
      </x:c>
      <x:c r="E88" s="39" t="str">
        <x:v>0002063979-25-000040</x:v>
      </x:c>
      <x:c r="F88" s="39" t="str">
        <x:v>f79d9cdaeb2e71f18535bffb5162c0d1bec30000ddb9de8de05eff19bd157b87</x:v>
      </x:c>
      <x:c r="G88" s="39" t="str">
        <x:v>https://www.sec.gov/Archives/edgar/data/2063979/000206397925000040/a2025-2ex991121525.htm</x:v>
      </x:c>
      <x:c r="H88" s="39" t="str">
        <x:v>data/raw/CAOT-2025-2/0002063979-25-000040/a2025-2ex991121525.htm.gz</x:v>
      </x:c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0" customHeight="1">
      <x:c r="A89" s="2"/>
      <x:c r="B89" s="2"/>
      <x:c r="C89" s="39" t="str">
        <x:v>CAOT-2025-2 filing_directory 2025-12-31</x:v>
      </x:c>
      <x:c r="D89" s="39" t="str">
        <x:v>2025-12-31</x:v>
      </x:c>
      <x:c r="E89" s="39" t="str">
        <x:v>0002063979-26-000005</x:v>
      </x:c>
      <x:c r="F89" s="39" t="str">
        <x:v>d2c4521d06c3364fb0a0eefa789cd0572dcf45661fd642af4285de80b27df033</x:v>
      </x:c>
      <x:c r="G89" s="39" t="str">
        <x:v>https://www.sec.gov/Archives/edgar/data/2063979/000206397926000005/index.json</x:v>
      </x:c>
      <x:c r="H89" s="39" t="str">
        <x:v>data/raw/CAOT-2025-2/0002063979-26-000005/index.json.gz</x:v>
      </x:c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0" customHeight="1">
      <x:c r="A90" s="2"/>
      <x:c r="B90" s="2"/>
      <x:c r="C90" s="39" t="str">
        <x:v>CAOT-2025-2 certificate 2025-12-31</x:v>
      </x:c>
      <x:c r="D90" s="39" t="str">
        <x:v>2025-12-31</x:v>
      </x:c>
      <x:c r="E90" s="39" t="str">
        <x:v>0002063979-26-000005</x:v>
      </x:c>
      <x:c r="F90" s="39" t="str">
        <x:v>658227d5b1b8ce7973237eb37aba14c5ee93ad6ea4b71b09df9e5135dfdf2495</x:v>
      </x:c>
      <x:c r="G90" s="39" t="str">
        <x:v>https://www.sec.gov/Archives/edgar/data/2063979/000206397926000005/a2025-2ex991011526.htm</x:v>
      </x:c>
      <x:c r="H90" s="39" t="str">
        <x:v>data/raw/CAOT-2025-2/0002063979-26-000005/a2025-2ex991011526.htm.gz</x:v>
      </x:c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0" customHeight="1">
      <x:c r="A91" s="2"/>
      <x:c r="B91" s="2"/>
      <x:c r="C91" s="39" t="str">
        <x:v>CAOT-2025-2 filing_directory 2026-01-31</x:v>
      </x:c>
      <x:c r="D91" s="39" t="str">
        <x:v>2026-01-31</x:v>
      </x:c>
      <x:c r="E91" s="39" t="str">
        <x:v>0002063979-26-000010</x:v>
      </x:c>
      <x:c r="F91" s="39" t="str">
        <x:v>efbe6d1c5df91a36e0d6a7f15aaca813267fe591b136dee1ce62cf2e8b16e7d7</x:v>
      </x:c>
      <x:c r="G91" s="39" t="str">
        <x:v>https://www.sec.gov/Archives/edgar/data/2063979/000206397926000010/index.json</x:v>
      </x:c>
      <x:c r="H91" s="39" t="str">
        <x:v>data/raw/CAOT-2025-2/0002063979-26-000010/index.json.gz</x:v>
      </x:c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0" customHeight="1">
      <x:c r="A92" s="2"/>
      <x:c r="B92" s="2"/>
      <x:c r="C92" s="39" t="str">
        <x:v>CAOT-2025-2 certificate 2026-01-31</x:v>
      </x:c>
      <x:c r="D92" s="39" t="str">
        <x:v>2026-01-31</x:v>
      </x:c>
      <x:c r="E92" s="39" t="str">
        <x:v>0002063979-26-000010</x:v>
      </x:c>
      <x:c r="F92" s="39" t="str">
        <x:v>f99874b3204ddb981cbe895435feb4c6fab58495736e0c4062a867300b7aa9e3</x:v>
      </x:c>
      <x:c r="G92" s="39" t="str">
        <x:v>https://www.sec.gov/Archives/edgar/data/2063979/000206397926000010/a2025-2ex991021726.htm</x:v>
      </x:c>
      <x:c r="H92" s="39" t="str">
        <x:v>data/raw/CAOT-2025-2/0002063979-26-000010/a2025-2ex991021726.htm.gz</x:v>
      </x:c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0" customHeight="1">
      <x:c r="A93" s="2"/>
      <x:c r="B93" s="2"/>
      <x:c r="C93" s="39" t="str">
        <x:v>CAOT-2025-2 filing_directory 2026-02-28</x:v>
      </x:c>
      <x:c r="D93" s="39" t="str">
        <x:v>2026-02-28</x:v>
      </x:c>
      <x:c r="E93" s="39" t="str">
        <x:v>0002063979-26-000015</x:v>
      </x:c>
      <x:c r="F93" s="39" t="str">
        <x:v>144f43b5ee74107713b7687adf907b670e934407fd800a429fe4965ac5deb9cc</x:v>
      </x:c>
      <x:c r="G93" s="39" t="str">
        <x:v>https://www.sec.gov/Archives/edgar/data/2063979/000206397926000015/index.json</x:v>
      </x:c>
      <x:c r="H93" s="39" t="str">
        <x:v>data/raw/CAOT-2025-2/0002063979-26-000015/index.json.gz</x:v>
      </x:c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0" customHeight="1">
      <x:c r="A94" s="2"/>
      <x:c r="B94" s="2"/>
      <x:c r="C94" s="39" t="str">
        <x:v>CAOT-2025-2 certificate 2026-02-28</x:v>
      </x:c>
      <x:c r="D94" s="39" t="str">
        <x:v>2026-02-28</x:v>
      </x:c>
      <x:c r="E94" s="39" t="str">
        <x:v>0002063979-26-000015</x:v>
      </x:c>
      <x:c r="F94" s="39" t="str">
        <x:v>d66f1a847e2a7eafe8f59e2fd2958cde622529ad98a522b4e59da454bc2cccf2</x:v>
      </x:c>
      <x:c r="G94" s="39" t="str">
        <x:v>https://www.sec.gov/Archives/edgar/data/2063979/000206397926000015/a2025-2ex991031626.htm</x:v>
      </x:c>
      <x:c r="H94" s="39" t="str">
        <x:v>data/raw/CAOT-2025-2/0002063979-26-000015/a2025-2ex991031626.htm.gz</x:v>
      </x:c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0" customHeight="1">
      <x:c r="A95" s="2"/>
      <x:c r="B95" s="2"/>
      <x:c r="C95" s="39" t="str">
        <x:v>CAOT-2025-2 filing_directory 2026-03-31</x:v>
      </x:c>
      <x:c r="D95" s="39" t="str">
        <x:v>2026-03-31</x:v>
      </x:c>
      <x:c r="E95" s="39" t="str">
        <x:v>0002063979-26-000020</x:v>
      </x:c>
      <x:c r="F95" s="39" t="str">
        <x:v>ee75a4cc4a7879aeb4335d0b95b753ec9738b8de6d9b718a388781441a497f56</x:v>
      </x:c>
      <x:c r="G95" s="39" t="str">
        <x:v>https://www.sec.gov/Archives/edgar/data/2063979/000206397926000020/index.json</x:v>
      </x:c>
      <x:c r="H95" s="39" t="str">
        <x:v>data/raw/CAOT-2025-2/0002063979-26-000020/index.json.gz</x:v>
      </x:c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0" customHeight="1">
      <x:c r="A96" s="2"/>
      <x:c r="B96" s="2"/>
      <x:c r="C96" s="39" t="str">
        <x:v>CAOT-2025-2 certificate 2026-03-31</x:v>
      </x:c>
      <x:c r="D96" s="39" t="str">
        <x:v>2026-03-31</x:v>
      </x:c>
      <x:c r="E96" s="39" t="str">
        <x:v>0002063979-26-000020</x:v>
      </x:c>
      <x:c r="F96" s="39" t="str">
        <x:v>d1c1ae6adf9ec614fddca5c06317d5d0b48dc0cc9e1df2ccbd27fd9aecda37d2</x:v>
      </x:c>
      <x:c r="G96" s="39" t="str">
        <x:v>https://www.sec.gov/Archives/edgar/data/2063979/000206397926000020/a2025-2ex991041526.htm</x:v>
      </x:c>
      <x:c r="H96" s="39" t="str">
        <x:v>data/raw/CAOT-2025-2/0002063979-26-000020/a2025-2ex991041526.htm.gz</x:v>
      </x:c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0" customHeight="1">
      <x:c r="A97" s="2"/>
      <x:c r="B97" s="2"/>
      <x:c r="C97" s="39" t="str">
        <x:v>CAOT-2025-2 filing_directory 2026-04-30</x:v>
      </x:c>
      <x:c r="D97" s="39" t="str">
        <x:v>2026-04-30</x:v>
      </x:c>
      <x:c r="E97" s="39" t="str">
        <x:v>0002063979-26-000025</x:v>
      </x:c>
      <x:c r="F97" s="39" t="str">
        <x:v>e8187f0606a3eef0fe06dcd0e4b387aa07079ab12c5da65c84515d2284d0b56a</x:v>
      </x:c>
      <x:c r="G97" s="39" t="str">
        <x:v>https://www.sec.gov/Archives/edgar/data/2063979/000206397926000025/index.json</x:v>
      </x:c>
      <x:c r="H97" s="39" t="str">
        <x:v>data/raw/CAOT-2025-2/0002063979-26-000025/index.json.gz</x:v>
      </x:c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0" customHeight="1">
      <x:c r="A98" s="2"/>
      <x:c r="B98" s="2"/>
      <x:c r="C98" s="39" t="str">
        <x:v>CAOT-2025-2 certificate 2026-04-30</x:v>
      </x:c>
      <x:c r="D98" s="39" t="str">
        <x:v>2026-04-30</x:v>
      </x:c>
      <x:c r="E98" s="39" t="str">
        <x:v>0002063979-26-000025</x:v>
      </x:c>
      <x:c r="F98" s="39" t="str">
        <x:v>e991aef168ccd27a6b5348af26f60ca11f49d2e9e47c64f32678b3d32b6b3cda</x:v>
      </x:c>
      <x:c r="G98" s="39" t="str">
        <x:v>https://www.sec.gov/Archives/edgar/data/2063979/000206397926000025/a2025-2ex991051526.htm</x:v>
      </x:c>
      <x:c r="H98" s="39" t="str">
        <x:v>data/raw/CAOT-2025-2/0002063979-26-000025/a2025-2ex991051526.htm.gz</x:v>
      </x:c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0" customHeight="1">
      <x:c r="A99" s="2"/>
      <x:c r="B99" s="2"/>
      <x:c r="C99" s="39" t="str">
        <x:v>CAOT-2025-2 filing_directory 2026-05-31</x:v>
      </x:c>
      <x:c r="D99" s="39" t="str">
        <x:v>2026-05-31</x:v>
      </x:c>
      <x:c r="E99" s="39" t="str">
        <x:v>0002063979-26-000032</x:v>
      </x:c>
      <x:c r="F99" s="39" t="str">
        <x:v>93634d6d78d318662d28bd72f913a9db1b7224add815b701be590c6b4841fede</x:v>
      </x:c>
      <x:c r="G99" s="39" t="str">
        <x:v>https://www.sec.gov/Archives/edgar/data/2063979/000206397926000032/index.json</x:v>
      </x:c>
      <x:c r="H99" s="39" t="str">
        <x:v>data/raw/CAOT-2025-2/0002063979-26-000032/index.json.gz</x:v>
      </x:c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0" customHeight="1">
      <x:c r="A100" s="2"/>
      <x:c r="B100" s="2"/>
      <x:c r="C100" s="39" t="str">
        <x:v>CAOT-2025-2 certificate 2026-05-31</x:v>
      </x:c>
      <x:c r="D100" s="39" t="str">
        <x:v>2026-05-31</x:v>
      </x:c>
      <x:c r="E100" s="39" t="str">
        <x:v>0002063979-26-000032</x:v>
      </x:c>
      <x:c r="F100" s="39" t="str">
        <x:v>844c6695e8398d76d02459ca95afdcdd8ff74e493db4d75c27c3414f450b6e8b</x:v>
      </x:c>
      <x:c r="G100" s="39" t="str">
        <x:v>https://www.sec.gov/Archives/edgar/data/2063979/000206397926000032/a2025-2ex991061526.htm</x:v>
      </x:c>
      <x:c r="H100" s="39" t="str">
        <x:v>data/raw/CAOT-2025-2/0002063979-26-000032/a2025-2ex991061526.htm.gz</x:v>
      </x:c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>
      <x:c r="C101" s="40" t="str">
        <x:v>CAOT-2025-2 filing_directory 2026-06-30</x:v>
      </x:c>
      <x:c r="D101" s="40" t="str">
        <x:v>2026-06-30</x:v>
      </x:c>
      <x:c r="E101" s="40" t="str">
        <x:v>0002063979-26-000037</x:v>
      </x:c>
      <x:c r="F101" s="40" t="str">
        <x:v>d0257eaf9b5c9cc3a525dde259b3dc7efe9cf934f9bf528ecb4a21d281932c6b</x:v>
      </x:c>
      <x:c r="G101" s="40" t="str">
        <x:v>https://www.sec.gov/Archives/edgar/data/2063979/000206397926000037/index.json</x:v>
      </x:c>
      <x:c r="H101" s="40" t="str">
        <x:v>data/raw/CAOT-2025-2/0002063979-26-000037/index.json.gz</x:v>
      </x:c>
    </x:row>
    <x:row r="102">
      <x:c r="C102" s="40" t="str">
        <x:v>CAOT-2025-2 certificate 2026-06-30</x:v>
      </x:c>
      <x:c r="D102" s="40" t="str">
        <x:v>2026-06-30</x:v>
      </x:c>
      <x:c r="E102" s="40" t="str">
        <x:v>0002063979-26-000037</x:v>
      </x:c>
      <x:c r="F102" s="40" t="str">
        <x:v>13be25cced1d15dc4e2d8c29d0dccc4fe939257c790bbed357abb4d931994717</x:v>
      </x:c>
      <x:c r="G102" s="40" t="str">
        <x:v>https://www.sec.gov/Archives/edgar/data/2063979/000206397926000037/a2025-2ex991071526.htm</x:v>
      </x:c>
      <x:c r="H102" s="40" t="str">
        <x:v>data/raw/CAOT-2025-2/0002063979-26-000037/a2025-2ex991071526.htm.gz</x:v>
      </x:c>
    </x:row>
    <x:row r="103">
      <x:c r="C103" s="40" t="str">
        <x:v>CAOT-2025-2 filing_directory 2026-07-31</x:v>
      </x:c>
      <x:c r="D103" s="40" t="str">
        <x:v>2026-07-31</x:v>
      </x:c>
      <x:c r="E103" s="40" t="str">
        <x:v>0002063979-26-000042</x:v>
      </x:c>
      <x:c r="F103" s="40" t="str">
        <x:v>cf62263da43f3a6729a20ba2d81fb5c36f6299a30fcc2c3a9352ddefde4e2bd6</x:v>
      </x:c>
      <x:c r="G103" s="40" t="str">
        <x:v>https://www.sec.gov/Archives/edgar/data/2063979/000206397926000042/index.json</x:v>
      </x:c>
      <x:c r="H103" s="40" t="str">
        <x:v>data/raw/CAOT-2025-2/0002063979-26-000042/index.json.gz</x:v>
      </x:c>
    </x:row>
    <x:row r="104">
      <x:c r="C104" s="40" t="str">
        <x:v>CAOT-2025-2 certificate 2026-07-31</x:v>
      </x:c>
      <x:c r="D104" s="40" t="str">
        <x:v>2026-07-31</x:v>
      </x:c>
      <x:c r="E104" s="40" t="str">
        <x:v>0002063979-26-000042</x:v>
      </x:c>
      <x:c r="F104" s="40" t="str">
        <x:v>45450222f8c6c6142632bc6ccf9eb3bae87c397f75d2b759217b3f06fde465f7</x:v>
      </x:c>
      <x:c r="G104" s="40" t="str">
        <x:v>https://www.sec.gov/Archives/edgar/data/2063979/000206397926000042/a2025-2ex991081726.htm</x:v>
      </x:c>
      <x:c r="H104" s="40" t="str">
        <x:v>data/raw/CAOT-2025-2/0002063979-26-000042/a2025-2ex991081726.htm.gz</x:v>
      </x:c>
    </x:row>
    <x:row r="105">
      <x:c r="C105" s="40" t="str">
        <x:v>CAOT-2025-2 filing_directory 2026-08-31</x:v>
      </x:c>
      <x:c r="D105" s="40" t="str">
        <x:v>2026-08-31</x:v>
      </x:c>
      <x:c r="E105" s="40" t="str">
        <x:v>0002063979-26-000047</x:v>
      </x:c>
      <x:c r="F105" s="40" t="str">
        <x:v>4cd561ec7e391f98a24fae3b7d804c76629f7df183af6e6355273bcfee365c6f</x:v>
      </x:c>
      <x:c r="G105" s="40" t="str">
        <x:v>https://www.sec.gov/Archives/edgar/data/2063979/000206397926000047/index.json</x:v>
      </x:c>
      <x:c r="H105" s="40" t="str">
        <x:v>data/raw/CAOT-2025-2/0002063979-26-000047/index.json.gz</x:v>
      </x:c>
    </x:row>
    <x:row r="106">
      <x:c r="C106" s="40" t="str">
        <x:v>CAOT-2025-2 certificate 2026-08-31</x:v>
      </x:c>
      <x:c r="D106" s="40" t="str">
        <x:v>2026-08-31</x:v>
      </x:c>
      <x:c r="E106" s="40" t="str">
        <x:v>0002063979-26-000047</x:v>
      </x:c>
      <x:c r="F106" s="40" t="str">
        <x:v>1894601bc3e05e1b34c2f75b4a13596fefbb8c4ce1a9a22d67e28769b88d4ba4</x:v>
      </x:c>
      <x:c r="G106" s="40" t="str">
        <x:v>https://www.sec.gov/Archives/edgar/data/2063979/000206397926000047/a2025-2ex991091526.htm</x:v>
      </x:c>
      <x:c r="H106" s="40" t="str">
        <x:v>data/raw/CAOT-2025-2/0002063979-26-000047/a2025-2ex991091526.htm.gz</x:v>
      </x:c>
    </x:row>
    <x:row r="107">
      <x:c r="C107" s="40" t="str">
        <x:v>CAOT-2024-2 filing_directory 2024-04-30</x:v>
      </x:c>
      <x:c r="D107" s="40" t="str">
        <x:v>2024-04-30</x:v>
      </x:c>
      <x:c r="E107" s="40" t="str">
        <x:v>0002016948-24-000003</x:v>
      </x:c>
      <x:c r="F107" s="40" t="str">
        <x:v>372cd856b07e411fb1861732d8e41d75ddaeb8c5417734d8703a2a0f754c694f</x:v>
      </x:c>
      <x:c r="G107" s="40" t="str">
        <x:v>https://www.sec.gov/Archives/edgar/data/2016948/000201694824000003/index.json</x:v>
      </x:c>
      <x:c r="H107" s="40" t="str">
        <x:v>data/raw/CAOT-2024-2/0002016948-24-000003/index.json.gz</x:v>
      </x:c>
    </x:row>
    <x:row r="108">
      <x:c r="C108" s="40" t="str">
        <x:v>CAOT-2024-2 loan_tape 2024-04-30</x:v>
      </x:c>
      <x:c r="D108" s="40" t="str">
        <x:v>2024-04-30</x:v>
      </x:c>
      <x:c r="E108" s="40" t="str">
        <x:v>0002016948-24-000003</x:v>
      </x:c>
      <x:c r="F108" s="40" t="str">
        <x:v>528f0ce09c476c7e3f970d9beb41018a9edaf65e375f0c034280cd099818c84b</x:v>
      </x:c>
      <x:c r="G108" s="40" t="str">
        <x:v>https://www.sec.gov/Archives/edgar/data/2016948/000201694824000003/cart20242.xml</x:v>
      </x:c>
      <x:c r="H108" s="40" t="str">
        <x:v>data/raw/CAOT-2024-2/0002016948-24-000003/cart20242.xml.gz</x:v>
      </x:c>
    </x:row>
    <x:row r="109">
      <x:c r="C109" s="40" t="str">
        <x:v>CAOT-2024-2 asset_explanatory 2024-04-30</x:v>
      </x:c>
      <x:c r="D109" s="40" t="str">
        <x:v>2024-04-30</x:v>
      </x:c>
      <x:c r="E109" s="40" t="str">
        <x:v>0002016948-24-000003</x:v>
      </x:c>
      <x:c r="F109" s="40" t="str">
        <x:v>f627c94c8f12c3399f37f929f19d783a9a71a405432d3b8937821e2d497dc787</x:v>
      </x:c>
      <x:c r="G109" s="40" t="str">
        <x:v>https://www.sec.gov/Archives/edgar/data/2016948/000201694824000003/exhibit103november2021.xml</x:v>
      </x:c>
      <x:c r="H109" s="40" t="str">
        <x:v>data/raw/CAOT-2024-2/0002016948-24-000003/exhibit103november2021.xml.gz</x:v>
      </x:c>
    </x:row>
    <x:row r="110">
      <x:c r="C110" s="40" t="str">
        <x:v>CAOT-2024-2 filing_directory 2024-05-31</x:v>
      </x:c>
      <x:c r="D110" s="40" t="str">
        <x:v>2024-05-31</x:v>
      </x:c>
      <x:c r="E110" s="40" t="str">
        <x:v>0002016948-24-000009</x:v>
      </x:c>
      <x:c r="F110" s="40" t="str">
        <x:v>90abb6398de1525e47a7f99fab22e901a31d8eb7cdef92551113a842497bb690</x:v>
      </x:c>
      <x:c r="G110" s="40" t="str">
        <x:v>https://www.sec.gov/Archives/edgar/data/2016948/000201694824000009/index.json</x:v>
      </x:c>
      <x:c r="H110" s="40" t="str">
        <x:v>data/raw/CAOT-2024-2/0002016948-24-000009/index.json.gz</x:v>
      </x:c>
    </x:row>
    <x:row r="111">
      <x:c r="C111" s="40" t="str">
        <x:v>CAOT-2024-2 loan_tape 2024-05-31</x:v>
      </x:c>
      <x:c r="D111" s="40" t="str">
        <x:v>2024-05-31</x:v>
      </x:c>
      <x:c r="E111" s="40" t="str">
        <x:v>0002016948-24-000009</x:v>
      </x:c>
      <x:c r="F111" s="40" t="str">
        <x:v>77bb527db2ec7645c919003340232bab2928e9f2d8f32408e46c2f2d1d31d662</x:v>
      </x:c>
      <x:c r="G111" s="40" t="str">
        <x:v>https://www.sec.gov/Archives/edgar/data/2016948/000201694824000009/cart20242.xml</x:v>
      </x:c>
      <x:c r="H111" s="40" t="str">
        <x:v>data/raw/CAOT-2024-2/0002016948-24-000009/cart20242.xml.gz</x:v>
      </x:c>
    </x:row>
    <x:row r="112">
      <x:c r="C112" s="40" t="str">
        <x:v>CAOT-2024-2 asset_explanatory 2024-05-31</x:v>
      </x:c>
      <x:c r="D112" s="40" t="str">
        <x:v>2024-05-31</x:v>
      </x:c>
      <x:c r="E112" s="40" t="str">
        <x:v>0002016948-24-000009</x:v>
      </x:c>
      <x:c r="F112" s="40" t="str">
        <x:v>f627c94c8f12c3399f37f929f19d783a9a71a405432d3b8937821e2d497dc787</x:v>
      </x:c>
      <x:c r="G112" s="40" t="str">
        <x:v>https://www.sec.gov/Archives/edgar/data/2016948/000201694824000009/exhibit103november2021.xml</x:v>
      </x:c>
      <x:c r="H112" s="40" t="str">
        <x:v>data/raw/CAOT-2024-2/0002016948-24-000009/exhibit103november2021.xml.gz</x:v>
      </x:c>
    </x:row>
    <x:row r="113">
      <x:c r="C113" s="40" t="str">
        <x:v>CAOT-2024-2 filing_directory 2024-06-30</x:v>
      </x:c>
      <x:c r="D113" s="40" t="str">
        <x:v>2024-06-30</x:v>
      </x:c>
      <x:c r="E113" s="40" t="str">
        <x:v>0002016948-24-000014</x:v>
      </x:c>
      <x:c r="F113" s="40" t="str">
        <x:v>a4ddd537cdd67069a39cbbf952513c7e1d63c6416788274a3d5bcf91c40441fb</x:v>
      </x:c>
      <x:c r="G113" s="40" t="str">
        <x:v>https://www.sec.gov/Archives/edgar/data/2016948/000201694824000014/index.json</x:v>
      </x:c>
      <x:c r="H113" s="40" t="str">
        <x:v>data/raw/CAOT-2024-2/0002016948-24-000014/index.json.gz</x:v>
      </x:c>
    </x:row>
    <x:row r="114">
      <x:c r="C114" s="40" t="str">
        <x:v>CAOT-2024-2 loan_tape 2024-06-30</x:v>
      </x:c>
      <x:c r="D114" s="40" t="str">
        <x:v>2024-06-30</x:v>
      </x:c>
      <x:c r="E114" s="40" t="str">
        <x:v>0002016948-24-000014</x:v>
      </x:c>
      <x:c r="F114" s="40" t="str">
        <x:v>8266b26ed4626107ee21b12881690782e589bac887711f0c4cf9db9982a73022</x:v>
      </x:c>
      <x:c r="G114" s="40" t="str">
        <x:v>https://www.sec.gov/Archives/edgar/data/2016948/000201694824000014/cart20242.xml</x:v>
      </x:c>
      <x:c r="H114" s="40" t="str">
        <x:v>data/raw/CAOT-2024-2/0002016948-24-000014/cart20242.xml.gz</x:v>
      </x:c>
    </x:row>
    <x:row r="115">
      <x:c r="C115" s="40" t="str">
        <x:v>CAOT-2024-2 asset_explanatory 2024-06-30</x:v>
      </x:c>
      <x:c r="D115" s="40" t="str">
        <x:v>2024-06-30</x:v>
      </x:c>
      <x:c r="E115" s="40" t="str">
        <x:v>0002016948-24-000014</x:v>
      </x:c>
      <x:c r="F115" s="40" t="str">
        <x:v>f627c94c8f12c3399f37f929f19d783a9a71a405432d3b8937821e2d497dc787</x:v>
      </x:c>
      <x:c r="G115" s="40" t="str">
        <x:v>https://www.sec.gov/Archives/edgar/data/2016948/000201694824000014/exhibit103november2021.xml</x:v>
      </x:c>
      <x:c r="H115" s="40" t="str">
        <x:v>data/raw/CAOT-2024-2/0002016948-24-000014/exhibit103november2021.xml.gz</x:v>
      </x:c>
    </x:row>
    <x:row r="116">
      <x:c r="C116" s="40" t="str">
        <x:v>CAOT-2024-2 filing_directory 2024-07-31</x:v>
      </x:c>
      <x:c r="D116" s="40" t="str">
        <x:v>2024-07-31</x:v>
      </x:c>
      <x:c r="E116" s="40" t="str">
        <x:v>0002016948-24-000019</x:v>
      </x:c>
      <x:c r="F116" s="40" t="str">
        <x:v>de921f53dae97cfba554423c56c0b2081381c37dc314f99c23d39b67e0301c86</x:v>
      </x:c>
      <x:c r="G116" s="40" t="str">
        <x:v>https://www.sec.gov/Archives/edgar/data/2016948/000201694824000019/index.json</x:v>
      </x:c>
      <x:c r="H116" s="40" t="str">
        <x:v>data/raw/CAOT-2024-2/0002016948-24-000019/index.json.gz</x:v>
      </x:c>
    </x:row>
    <x:row r="117">
      <x:c r="C117" s="40" t="str">
        <x:v>CAOT-2024-2 loan_tape 2024-07-31</x:v>
      </x:c>
      <x:c r="D117" s="40" t="str">
        <x:v>2024-07-31</x:v>
      </x:c>
      <x:c r="E117" s="40" t="str">
        <x:v>0002016948-24-000019</x:v>
      </x:c>
      <x:c r="F117" s="40" t="str">
        <x:v>6783597e6eea6f330787f8b0945b6707c8a0c52a57c049fed222537d10b07226</x:v>
      </x:c>
      <x:c r="G117" s="40" t="str">
        <x:v>https://www.sec.gov/Archives/edgar/data/2016948/000201694824000019/cart20242.xml</x:v>
      </x:c>
      <x:c r="H117" s="40" t="str">
        <x:v>data/raw/CAOT-2024-2/0002016948-24-000019/cart20242.xml.gz</x:v>
      </x:c>
    </x:row>
    <x:row r="118">
      <x:c r="C118" s="40" t="str">
        <x:v>CAOT-2024-2 asset_explanatory 2024-07-31</x:v>
      </x:c>
      <x:c r="D118" s="40" t="str">
        <x:v>2024-07-31</x:v>
      </x:c>
      <x:c r="E118" s="40" t="str">
        <x:v>0002016948-24-000019</x:v>
      </x:c>
      <x:c r="F118" s="40" t="str">
        <x:v>f627c94c8f12c3399f37f929f19d783a9a71a405432d3b8937821e2d497dc787</x:v>
      </x:c>
      <x:c r="G118" s="40" t="str">
        <x:v>https://www.sec.gov/Archives/edgar/data/2016948/000201694824000019/exhibit103november2021.xml</x:v>
      </x:c>
      <x:c r="H118" s="40" t="str">
        <x:v>data/raw/CAOT-2024-2/0002016948-24-000019/exhibit103november2021.xml.gz</x:v>
      </x:c>
    </x:row>
    <x:row r="119">
      <x:c r="C119" s="40" t="str">
        <x:v>CAOT-2024-2 filing_directory 2024-08-31</x:v>
      </x:c>
      <x:c r="D119" s="40" t="str">
        <x:v>2024-08-31</x:v>
      </x:c>
      <x:c r="E119" s="40" t="str">
        <x:v>0002016948-24-000024</x:v>
      </x:c>
      <x:c r="F119" s="40" t="str">
        <x:v>d4e6e865cf19e823ca0c6fd3f897b11e101a61d4c13a8ad982927379006196e0</x:v>
      </x:c>
      <x:c r="G119" s="40" t="str">
        <x:v>https://www.sec.gov/Archives/edgar/data/2016948/000201694824000024/index.json</x:v>
      </x:c>
      <x:c r="H119" s="40" t="str">
        <x:v>data/raw/CAOT-2024-2/0002016948-24-000024/index.json.gz</x:v>
      </x:c>
    </x:row>
    <x:row r="120">
      <x:c r="C120" s="40" t="str">
        <x:v>CAOT-2024-2 loan_tape 2024-08-31</x:v>
      </x:c>
      <x:c r="D120" s="40" t="str">
        <x:v>2024-08-31</x:v>
      </x:c>
      <x:c r="E120" s="40" t="str">
        <x:v>0002016948-24-000024</x:v>
      </x:c>
      <x:c r="F120" s="40" t="str">
        <x:v>52c5f5bd4a79e2764e04d0352eefec9819bacd12d39258b13aff8f9e089428b1</x:v>
      </x:c>
      <x:c r="G120" s="40" t="str">
        <x:v>https://www.sec.gov/Archives/edgar/data/2016948/000201694824000024/cart20242.xml</x:v>
      </x:c>
      <x:c r="H120" s="40" t="str">
        <x:v>data/raw/CAOT-2024-2/0002016948-24-000024/cart20242.xml.gz</x:v>
      </x:c>
    </x:row>
    <x:row r="121">
      <x:c r="C121" s="40" t="str">
        <x:v>CAOT-2024-2 asset_explanatory 2024-08-31</x:v>
      </x:c>
      <x:c r="D121" s="40" t="str">
        <x:v>2024-08-31</x:v>
      </x:c>
      <x:c r="E121" s="40" t="str">
        <x:v>0002016948-24-000024</x:v>
      </x:c>
      <x:c r="F121" s="40" t="str">
        <x:v>f627c94c8f12c3399f37f929f19d783a9a71a405432d3b8937821e2d497dc787</x:v>
      </x:c>
      <x:c r="G121" s="40" t="str">
        <x:v>https://www.sec.gov/Archives/edgar/data/2016948/000201694824000024/exhibit103november2021.xml</x:v>
      </x:c>
      <x:c r="H121" s="40" t="str">
        <x:v>data/raw/CAOT-2024-2/0002016948-24-000024/exhibit103november2021.xml.gz</x:v>
      </x:c>
    </x:row>
    <x:row r="122">
      <x:c r="C122" s="40" t="str">
        <x:v>CAOT-2024-2 filing_directory 2024-09-30</x:v>
      </x:c>
      <x:c r="D122" s="40" t="str">
        <x:v>2024-09-30</x:v>
      </x:c>
      <x:c r="E122" s="40" t="str">
        <x:v>0002016948-24-000029</x:v>
      </x:c>
      <x:c r="F122" s="40" t="str">
        <x:v>f5ea9cea4710089267e93463c357fceaddcbd6944608de27fd0edb326e8f4d1d</x:v>
      </x:c>
      <x:c r="G122" s="40" t="str">
        <x:v>https://www.sec.gov/Archives/edgar/data/2016948/000201694824000029/index.json</x:v>
      </x:c>
      <x:c r="H122" s="40" t="str">
        <x:v>data/raw/CAOT-2024-2/0002016948-24-000029/index.json.gz</x:v>
      </x:c>
    </x:row>
    <x:row r="123">
      <x:c r="C123" s="40" t="str">
        <x:v>CAOT-2024-2 loan_tape 2024-09-30</x:v>
      </x:c>
      <x:c r="D123" s="40" t="str">
        <x:v>2024-09-30</x:v>
      </x:c>
      <x:c r="E123" s="40" t="str">
        <x:v>0002016948-24-000029</x:v>
      </x:c>
      <x:c r="F123" s="40" t="str">
        <x:v>4efa676faf11fef8f6e5e544146fceea9f1631df1a3759b463f62d1690ddf5d6</x:v>
      </x:c>
      <x:c r="G123" s="40" t="str">
        <x:v>https://www.sec.gov/Archives/edgar/data/2016948/000201694824000029/cart20242.xml</x:v>
      </x:c>
      <x:c r="H123" s="40" t="str">
        <x:v>data/raw/CAOT-2024-2/0002016948-24-000029/cart20242.xml.gz</x:v>
      </x:c>
    </x:row>
    <x:row r="124">
      <x:c r="C124" s="40" t="str">
        <x:v>CAOT-2024-2 asset_explanatory 2024-09-30</x:v>
      </x:c>
      <x:c r="D124" s="40" t="str">
        <x:v>2024-09-30</x:v>
      </x:c>
      <x:c r="E124" s="40" t="str">
        <x:v>0002016948-24-000029</x:v>
      </x:c>
      <x:c r="F124" s="40" t="str">
        <x:v>f627c94c8f12c3399f37f929f19d783a9a71a405432d3b8937821e2d497dc787</x:v>
      </x:c>
      <x:c r="G124" s="40" t="str">
        <x:v>https://www.sec.gov/Archives/edgar/data/2016948/000201694824000029/exhibit103november2021.xml</x:v>
      </x:c>
      <x:c r="H124" s="40" t="str">
        <x:v>data/raw/CAOT-2024-2/0002016948-24-000029/exhibit103november2021.xml.gz</x:v>
      </x:c>
    </x:row>
    <x:row r="125">
      <x:c r="C125" s="40" t="str">
        <x:v>CAOT-2024-2 filing_directory 2024-10-31</x:v>
      </x:c>
      <x:c r="D125" s="40" t="str">
        <x:v>2024-10-31</x:v>
      </x:c>
      <x:c r="E125" s="40" t="str">
        <x:v>0002016948-24-000034</x:v>
      </x:c>
      <x:c r="F125" s="40" t="str">
        <x:v>c2cb6c2d2618815add5f1b38ba097175f8e092feacf45e17e601f20f11d02241</x:v>
      </x:c>
      <x:c r="G125" s="40" t="str">
        <x:v>https://www.sec.gov/Archives/edgar/data/2016948/000201694824000034/index.json</x:v>
      </x:c>
      <x:c r="H125" s="40" t="str">
        <x:v>data/raw/CAOT-2024-2/0002016948-24-000034/index.json.gz</x:v>
      </x:c>
    </x:row>
    <x:row r="126">
      <x:c r="C126" s="40" t="str">
        <x:v>CAOT-2024-2 loan_tape 2024-10-31</x:v>
      </x:c>
      <x:c r="D126" s="40" t="str">
        <x:v>2024-10-31</x:v>
      </x:c>
      <x:c r="E126" s="40" t="str">
        <x:v>0002016948-24-000034</x:v>
      </x:c>
      <x:c r="F126" s="40" t="str">
        <x:v>4f6c605ef6c08d83efc620a308c9588366900ac72b496dc1ca6d91c6334b7ec7</x:v>
      </x:c>
      <x:c r="G126" s="40" t="str">
        <x:v>https://www.sec.gov/Archives/edgar/data/2016948/000201694824000034/cart20242.xml</x:v>
      </x:c>
      <x:c r="H126" s="40" t="str">
        <x:v>data/raw/CAOT-2024-2/0002016948-24-000034/cart20242.xml.gz</x:v>
      </x:c>
    </x:row>
    <x:row r="127">
      <x:c r="C127" s="40" t="str">
        <x:v>CAOT-2024-2 asset_explanatory 2024-10-31</x:v>
      </x:c>
      <x:c r="D127" s="40" t="str">
        <x:v>2024-10-31</x:v>
      </x:c>
      <x:c r="E127" s="40" t="str">
        <x:v>0002016948-24-000034</x:v>
      </x:c>
      <x:c r="F127" s="40" t="str">
        <x:v>f627c94c8f12c3399f37f929f19d783a9a71a405432d3b8937821e2d497dc787</x:v>
      </x:c>
      <x:c r="G127" s="40" t="str">
        <x:v>https://www.sec.gov/Archives/edgar/data/2016948/000201694824000034/exhibit103november2021.xml</x:v>
      </x:c>
      <x:c r="H127" s="40" t="str">
        <x:v>data/raw/CAOT-2024-2/0002016948-24-000034/exhibit103november2021.xml.gz</x:v>
      </x:c>
    </x:row>
    <x:row r="128">
      <x:c r="C128" s="40" t="str">
        <x:v>CAOT-2024-2 filing_directory 2024-11-30</x:v>
      </x:c>
      <x:c r="D128" s="40" t="str">
        <x:v>2024-11-30</x:v>
      </x:c>
      <x:c r="E128" s="40" t="str">
        <x:v>0002016948-24-000039</x:v>
      </x:c>
      <x:c r="F128" s="40" t="str">
        <x:v>bc8dfac60ab85e2ebcf6541bb163b1bcabf67351ebfeb8f6a942b07ec7c3b3b6</x:v>
      </x:c>
      <x:c r="G128" s="40" t="str">
        <x:v>https://www.sec.gov/Archives/edgar/data/2016948/000201694824000039/index.json</x:v>
      </x:c>
      <x:c r="H128" s="40" t="str">
        <x:v>data/raw/CAOT-2024-2/0002016948-24-000039/index.json.gz</x:v>
      </x:c>
    </x:row>
    <x:row r="129">
      <x:c r="C129" s="40" t="str">
        <x:v>CAOT-2024-2 loan_tape 2024-11-30</x:v>
      </x:c>
      <x:c r="D129" s="40" t="str">
        <x:v>2024-11-30</x:v>
      </x:c>
      <x:c r="E129" s="40" t="str">
        <x:v>0002016948-24-000039</x:v>
      </x:c>
      <x:c r="F129" s="40" t="str">
        <x:v>7f54a35c4ef0ea92ae1723b6411003c1a25fffe607306f86301d779807166dd5</x:v>
      </x:c>
      <x:c r="G129" s="40" t="str">
        <x:v>https://www.sec.gov/Archives/edgar/data/2016948/000201694824000039/cart20242.xml</x:v>
      </x:c>
      <x:c r="H129" s="40" t="str">
        <x:v>data/raw/CAOT-2024-2/0002016948-24-000039/cart20242.xml.gz</x:v>
      </x:c>
    </x:row>
    <x:row r="130">
      <x:c r="C130" s="40" t="str">
        <x:v>CAOT-2024-2 asset_explanatory 2024-11-30</x:v>
      </x:c>
      <x:c r="D130" s="40" t="str">
        <x:v>2024-11-30</x:v>
      </x:c>
      <x:c r="E130" s="40" t="str">
        <x:v>0002016948-24-000039</x:v>
      </x:c>
      <x:c r="F130" s="40" t="str">
        <x:v>f627c94c8f12c3399f37f929f19d783a9a71a405432d3b8937821e2d497dc787</x:v>
      </x:c>
      <x:c r="G130" s="40" t="str">
        <x:v>https://www.sec.gov/Archives/edgar/data/2016948/000201694824000039/exhibit103november2021.xml</x:v>
      </x:c>
      <x:c r="H130" s="40" t="str">
        <x:v>data/raw/CAOT-2024-2/0002016948-24-000039/exhibit103november2021.xml.gz</x:v>
      </x:c>
    </x:row>
    <x:row r="131">
      <x:c r="C131" s="40" t="str">
        <x:v>CAOT-2024-2 filing_directory 2024-12-31</x:v>
      </x:c>
      <x:c r="D131" s="40" t="str">
        <x:v>2024-12-31</x:v>
      </x:c>
      <x:c r="E131" s="40" t="str">
        <x:v>0002016948-25-000003</x:v>
      </x:c>
      <x:c r="F131" s="40" t="str">
        <x:v>bfc0e5ea77b39032cac6a4d0f030453f738704442107564cdaa34cb9d43c7784</x:v>
      </x:c>
      <x:c r="G131" s="40" t="str">
        <x:v>https://www.sec.gov/Archives/edgar/data/2016948/000201694825000003/index.json</x:v>
      </x:c>
      <x:c r="H131" s="40" t="str">
        <x:v>data/raw/CAOT-2024-2/0002016948-25-000003/index.json.gz</x:v>
      </x:c>
    </x:row>
    <x:row r="132">
      <x:c r="C132" s="40" t="str">
        <x:v>CAOT-2024-2 loan_tape 2024-12-31</x:v>
      </x:c>
      <x:c r="D132" s="40" t="str">
        <x:v>2024-12-31</x:v>
      </x:c>
      <x:c r="E132" s="40" t="str">
        <x:v>0002016948-25-000003</x:v>
      </x:c>
      <x:c r="F132" s="40" t="str">
        <x:v>294632a25688bae712f32cca6e1ee715c431fdfbd409fd436a9dbfb1424fe96f</x:v>
      </x:c>
      <x:c r="G132" s="40" t="str">
        <x:v>https://www.sec.gov/Archives/edgar/data/2016948/000201694825000003/cart20242.xml</x:v>
      </x:c>
      <x:c r="H132" s="40" t="str">
        <x:v>data/raw/CAOT-2024-2/0002016948-25-000003/cart20242.xml.gz</x:v>
      </x:c>
    </x:row>
    <x:row r="133">
      <x:c r="C133" s="40" t="str">
        <x:v>CAOT-2024-2 asset_explanatory 2024-12-31</x:v>
      </x:c>
      <x:c r="D133" s="40" t="str">
        <x:v>2024-12-31</x:v>
      </x:c>
      <x:c r="E133" s="40" t="str">
        <x:v>0002016948-25-000003</x:v>
      </x:c>
      <x:c r="F133" s="40" t="str">
        <x:v>f627c94c8f12c3399f37f929f19d783a9a71a405432d3b8937821e2d497dc787</x:v>
      </x:c>
      <x:c r="G133" s="40" t="str">
        <x:v>https://www.sec.gov/Archives/edgar/data/2016948/000201694825000003/exhibit103november2021.xml</x:v>
      </x:c>
      <x:c r="H133" s="40" t="str">
        <x:v>data/raw/CAOT-2024-2/0002016948-25-000003/exhibit103november2021.xml.gz</x:v>
      </x:c>
    </x:row>
    <x:row r="134">
      <x:c r="C134" s="40" t="str">
        <x:v>CAOT-2024-2 filing_directory 2025-01-31</x:v>
      </x:c>
      <x:c r="D134" s="40" t="str">
        <x:v>2025-01-31</x:v>
      </x:c>
      <x:c r="E134" s="40" t="str">
        <x:v>0002016948-25-000008</x:v>
      </x:c>
      <x:c r="F134" s="40" t="str">
        <x:v>12328986463995590c54e38deb7e040e36a4febb706a5d3f5eb2e68e945bb99d</x:v>
      </x:c>
      <x:c r="G134" s="40" t="str">
        <x:v>https://www.sec.gov/Archives/edgar/data/2016948/000201694825000008/index.json</x:v>
      </x:c>
      <x:c r="H134" s="40" t="str">
        <x:v>data/raw/CAOT-2024-2/0002016948-25-000008/index.json.gz</x:v>
      </x:c>
    </x:row>
    <x:row r="135">
      <x:c r="C135" s="40" t="str">
        <x:v>CAOT-2024-2 loan_tape 2025-01-31</x:v>
      </x:c>
      <x:c r="D135" s="40" t="str">
        <x:v>2025-01-31</x:v>
      </x:c>
      <x:c r="E135" s="40" t="str">
        <x:v>0002016948-25-000008</x:v>
      </x:c>
      <x:c r="F135" s="40" t="str">
        <x:v>f71863c7f006371b945eede0849ad14eef629cae89ce8f1be5fa3f8257756ae3</x:v>
      </x:c>
      <x:c r="G135" s="40" t="str">
        <x:v>https://www.sec.gov/Archives/edgar/data/2016948/000201694825000008/cart20242.xml</x:v>
      </x:c>
      <x:c r="H135" s="40" t="str">
        <x:v>data/raw/CAOT-2024-2/0002016948-25-000008/cart20242.xml.gz</x:v>
      </x:c>
    </x:row>
    <x:row r="136">
      <x:c r="C136" s="40" t="str">
        <x:v>CAOT-2024-2 asset_explanatory 2025-01-31</x:v>
      </x:c>
      <x:c r="D136" s="40" t="str">
        <x:v>2025-01-31</x:v>
      </x:c>
      <x:c r="E136" s="40" t="str">
        <x:v>0002016948-25-000008</x:v>
      </x:c>
      <x:c r="F136" s="40" t="str">
        <x:v>f627c94c8f12c3399f37f929f19d783a9a71a405432d3b8937821e2d497dc787</x:v>
      </x:c>
      <x:c r="G136" s="40" t="str">
        <x:v>https://www.sec.gov/Archives/edgar/data/2016948/000201694825000008/exhibit103november2021.xml</x:v>
      </x:c>
      <x:c r="H136" s="40" t="str">
        <x:v>data/raw/CAOT-2024-2/0002016948-25-000008/exhibit103november2021.xml.gz</x:v>
      </x:c>
    </x:row>
    <x:row r="137">
      <x:c r="C137" s="40" t="str">
        <x:v>CAOT-2024-2 filing_directory 2025-02-28</x:v>
      </x:c>
      <x:c r="D137" s="40" t="str">
        <x:v>2025-02-28</x:v>
      </x:c>
      <x:c r="E137" s="40" t="str">
        <x:v>0002016948-25-000013</x:v>
      </x:c>
      <x:c r="F137" s="40" t="str">
        <x:v>e7193274852f6892c5c68266a6a3dd8493dbe476da1d7747486a0092a3ef797d</x:v>
      </x:c>
      <x:c r="G137" s="40" t="str">
        <x:v>https://www.sec.gov/Archives/edgar/data/2016948/000201694825000013/index.json</x:v>
      </x:c>
      <x:c r="H137" s="40" t="str">
        <x:v>data/raw/CAOT-2024-2/0002016948-25-000013/index.json.gz</x:v>
      </x:c>
    </x:row>
    <x:row r="138">
      <x:c r="C138" s="40" t="str">
        <x:v>CAOT-2024-2 loan_tape 2025-02-28</x:v>
      </x:c>
      <x:c r="D138" s="40" t="str">
        <x:v>2025-02-28</x:v>
      </x:c>
      <x:c r="E138" s="40" t="str">
        <x:v>0002016948-25-000013</x:v>
      </x:c>
      <x:c r="F138" s="40" t="str">
        <x:v>a382b480f0835b98be41bf4d0ee34a2cfc8f49eb6c3666516fc8a2915e5ac181</x:v>
      </x:c>
      <x:c r="G138" s="40" t="str">
        <x:v>https://www.sec.gov/Archives/edgar/data/2016948/000201694825000013/cart20242.xml</x:v>
      </x:c>
      <x:c r="H138" s="40" t="str">
        <x:v>data/raw/CAOT-2024-2/0002016948-25-000013/cart20242.xml.gz</x:v>
      </x:c>
    </x:row>
    <x:row r="139">
      <x:c r="C139" s="40" t="str">
        <x:v>CAOT-2024-2 asset_explanatory 2025-02-28</x:v>
      </x:c>
      <x:c r="D139" s="40" t="str">
        <x:v>2025-02-28</x:v>
      </x:c>
      <x:c r="E139" s="40" t="str">
        <x:v>0002016948-25-000013</x:v>
      </x:c>
      <x:c r="F139" s="40" t="str">
        <x:v>f627c94c8f12c3399f37f929f19d783a9a71a405432d3b8937821e2d497dc787</x:v>
      </x:c>
      <x:c r="G139" s="40" t="str">
        <x:v>https://www.sec.gov/Archives/edgar/data/2016948/000201694825000013/exhibit103november2021.xml</x:v>
      </x:c>
      <x:c r="H139" s="40" t="str">
        <x:v>data/raw/CAOT-2024-2/0002016948-25-000013/exhibit103november2021.xml.gz</x:v>
      </x:c>
    </x:row>
    <x:row r="140">
      <x:c r="C140" s="40" t="str">
        <x:v>CAOT-2024-2 filing_directory 2025-03-31</x:v>
      </x:c>
      <x:c r="D140" s="40" t="str">
        <x:v>2025-03-31</x:v>
      </x:c>
      <x:c r="E140" s="40" t="str">
        <x:v>0002016948-25-000018</x:v>
      </x:c>
      <x:c r="F140" s="40" t="str">
        <x:v>a88d33809fa6412b1762b379a1f9b223316ccf573eb990b5d93841cf4693b953</x:v>
      </x:c>
      <x:c r="G140" s="40" t="str">
        <x:v>https://www.sec.gov/Archives/edgar/data/2016948/000201694825000018/index.json</x:v>
      </x:c>
      <x:c r="H140" s="40" t="str">
        <x:v>data/raw/CAOT-2024-2/0002016948-25-000018/index.json.gz</x:v>
      </x:c>
    </x:row>
    <x:row r="141">
      <x:c r="C141" s="40" t="str">
        <x:v>CAOT-2024-2 loan_tape 2025-03-31</x:v>
      </x:c>
      <x:c r="D141" s="40" t="str">
        <x:v>2025-03-31</x:v>
      </x:c>
      <x:c r="E141" s="40" t="str">
        <x:v>0002016948-25-000018</x:v>
      </x:c>
      <x:c r="F141" s="40" t="str">
        <x:v>566eb4127adfcd2e275ced47970917199f2fb8a4b71fd3a00fc046371fd5f8e2</x:v>
      </x:c>
      <x:c r="G141" s="40" t="str">
        <x:v>https://www.sec.gov/Archives/edgar/data/2016948/000201694825000018/cart20242.xml</x:v>
      </x:c>
      <x:c r="H141" s="40" t="str">
        <x:v>data/raw/CAOT-2024-2/0002016948-25-000018/cart20242.xml.gz</x:v>
      </x:c>
    </x:row>
    <x:row r="142">
      <x:c r="C142" s="40" t="str">
        <x:v>CAOT-2024-2 asset_explanatory 2025-03-31</x:v>
      </x:c>
      <x:c r="D142" s="40" t="str">
        <x:v>2025-03-31</x:v>
      </x:c>
      <x:c r="E142" s="40" t="str">
        <x:v>0002016948-25-000018</x:v>
      </x:c>
      <x:c r="F142" s="40" t="str">
        <x:v>f627c94c8f12c3399f37f929f19d783a9a71a405432d3b8937821e2d497dc787</x:v>
      </x:c>
      <x:c r="G142" s="40" t="str">
        <x:v>https://www.sec.gov/Archives/edgar/data/2016948/000201694825000018/exhibit103november2021.xml</x:v>
      </x:c>
      <x:c r="H142" s="40" t="str">
        <x:v>data/raw/CAOT-2024-2/0002016948-25-000018/exhibit103november2021.xml.gz</x:v>
      </x:c>
    </x:row>
    <x:row r="143">
      <x:c r="C143" s="40" t="str">
        <x:v>CAOT-2024-2 filing_directory 2025-04-30</x:v>
      </x:c>
      <x:c r="D143" s="40" t="str">
        <x:v>2025-04-30</x:v>
      </x:c>
      <x:c r="E143" s="40" t="str">
        <x:v>0002016948-25-000023</x:v>
      </x:c>
      <x:c r="F143" s="40" t="str">
        <x:v>285c58db1d730a9cd9fb17eedcd9520f652e8616ef259ec647e52c752881310e</x:v>
      </x:c>
      <x:c r="G143" s="40" t="str">
        <x:v>https://www.sec.gov/Archives/edgar/data/2016948/000201694825000023/index.json</x:v>
      </x:c>
      <x:c r="H143" s="40" t="str">
        <x:v>data/raw/CAOT-2024-2/0002016948-25-000023/index.json.gz</x:v>
      </x:c>
    </x:row>
    <x:row r="144">
      <x:c r="C144" s="40" t="str">
        <x:v>CAOT-2024-2 loan_tape 2025-04-30</x:v>
      </x:c>
      <x:c r="D144" s="40" t="str">
        <x:v>2025-04-30</x:v>
      </x:c>
      <x:c r="E144" s="40" t="str">
        <x:v>0002016948-25-000023</x:v>
      </x:c>
      <x:c r="F144" s="40" t="str">
        <x:v>abf753014ceeb4238dcd3ea9bafbb515f67a1159620e3536d0e2f6dd6db0cae4</x:v>
      </x:c>
      <x:c r="G144" s="40" t="str">
        <x:v>https://www.sec.gov/Archives/edgar/data/2016948/000201694825000023/cart20242.xml</x:v>
      </x:c>
      <x:c r="H144" s="40" t="str">
        <x:v>data/raw/CAOT-2024-2/0002016948-25-000023/cart20242.xml.gz</x:v>
      </x:c>
    </x:row>
    <x:row r="145">
      <x:c r="C145" s="40" t="str">
        <x:v>CAOT-2024-2 asset_explanatory 2025-04-30</x:v>
      </x:c>
      <x:c r="D145" s="40" t="str">
        <x:v>2025-04-30</x:v>
      </x:c>
      <x:c r="E145" s="40" t="str">
        <x:v>0002016948-25-000023</x:v>
      </x:c>
      <x:c r="F145" s="40" t="str">
        <x:v>f627c94c8f12c3399f37f929f19d783a9a71a405432d3b8937821e2d497dc787</x:v>
      </x:c>
      <x:c r="G145" s="40" t="str">
        <x:v>https://www.sec.gov/Archives/edgar/data/2016948/000201694825000023/exhibit103november2021.xml</x:v>
      </x:c>
      <x:c r="H145" s="40" t="str">
        <x:v>data/raw/CAOT-2024-2/0002016948-25-000023/exhibit103november2021.xml.gz</x:v>
      </x:c>
    </x:row>
    <x:row r="146">
      <x:c r="C146" s="40" t="str">
        <x:v>CAOT-2024-2 filing_directory 2025-05-31</x:v>
      </x:c>
      <x:c r="D146" s="40" t="str">
        <x:v>2025-05-31</x:v>
      </x:c>
      <x:c r="E146" s="40" t="str">
        <x:v>0002016948-25-000030</x:v>
      </x:c>
      <x:c r="F146" s="40" t="str">
        <x:v>6c109ea1d6f524c4c675444089972114442e56c7644fea80a1bb483d42c9e07d</x:v>
      </x:c>
      <x:c r="G146" s="40" t="str">
        <x:v>https://www.sec.gov/Archives/edgar/data/2016948/000201694825000030/index.json</x:v>
      </x:c>
      <x:c r="H146" s="40" t="str">
        <x:v>data/raw/CAOT-2024-2/0002016948-25-000030/index.json.gz</x:v>
      </x:c>
    </x:row>
    <x:row r="147">
      <x:c r="C147" s="40" t="str">
        <x:v>CAOT-2024-2 loan_tape 2025-05-31</x:v>
      </x:c>
      <x:c r="D147" s="40" t="str">
        <x:v>2025-05-31</x:v>
      </x:c>
      <x:c r="E147" s="40" t="str">
        <x:v>0002016948-25-000030</x:v>
      </x:c>
      <x:c r="F147" s="40" t="str">
        <x:v>075261d66f7aa0c534d7e7205fccaa198a4d43fe9e281c50467ee7c7918c415a</x:v>
      </x:c>
      <x:c r="G147" s="40" t="str">
        <x:v>https://www.sec.gov/Archives/edgar/data/2016948/000201694825000030/cart20242.xml</x:v>
      </x:c>
      <x:c r="H147" s="40" t="str">
        <x:v>data/raw/CAOT-2024-2/0002016948-25-000030/cart20242.xml.gz</x:v>
      </x:c>
    </x:row>
    <x:row r="148">
      <x:c r="C148" s="40" t="str">
        <x:v>CAOT-2024-2 asset_explanatory 2025-05-31</x:v>
      </x:c>
      <x:c r="D148" s="40" t="str">
        <x:v>2025-05-31</x:v>
      </x:c>
      <x:c r="E148" s="40" t="str">
        <x:v>0002016948-25-000030</x:v>
      </x:c>
      <x:c r="F148" s="40" t="str">
        <x:v>f627c94c8f12c3399f37f929f19d783a9a71a405432d3b8937821e2d497dc787</x:v>
      </x:c>
      <x:c r="G148" s="40" t="str">
        <x:v>https://www.sec.gov/Archives/edgar/data/2016948/000201694825000030/exhibit103november2021.xml</x:v>
      </x:c>
      <x:c r="H148" s="40" t="str">
        <x:v>data/raw/CAOT-2024-2/0002016948-25-000030/exhibit103november2021.xml.gz</x:v>
      </x:c>
    </x:row>
    <x:row r="149">
      <x:c r="C149" s="40" t="str">
        <x:v>CAOT-2024-2 filing_directory 2025-06-30</x:v>
      </x:c>
      <x:c r="D149" s="40" t="str">
        <x:v>2025-06-30</x:v>
      </x:c>
      <x:c r="E149" s="40" t="str">
        <x:v>0002016948-25-000035</x:v>
      </x:c>
      <x:c r="F149" s="40" t="str">
        <x:v>4ee2d219b2000f1779a599159366aa222715b61599380a7cb7b691e6ffad1332</x:v>
      </x:c>
      <x:c r="G149" s="40" t="str">
        <x:v>https://www.sec.gov/Archives/edgar/data/2016948/000201694825000035/index.json</x:v>
      </x:c>
      <x:c r="H149" s="40" t="str">
        <x:v>data/raw/CAOT-2024-2/0002016948-25-000035/index.json.gz</x:v>
      </x:c>
    </x:row>
    <x:row r="150">
      <x:c r="C150" s="40" t="str">
        <x:v>CAOT-2024-2 loan_tape 2025-06-30</x:v>
      </x:c>
      <x:c r="D150" s="40" t="str">
        <x:v>2025-06-30</x:v>
      </x:c>
      <x:c r="E150" s="40" t="str">
        <x:v>0002016948-25-000035</x:v>
      </x:c>
      <x:c r="F150" s="40" t="str">
        <x:v>707d2e88a43c17e95fac782aa4a853af02fc28319273e18313cdb73ca44070e7</x:v>
      </x:c>
      <x:c r="G150" s="40" t="str">
        <x:v>https://www.sec.gov/Archives/edgar/data/2016948/000201694825000035/cart20242.xml</x:v>
      </x:c>
      <x:c r="H150" s="40" t="str">
        <x:v>data/raw/CAOT-2024-2/0002016948-25-000035/cart20242.xml.gz</x:v>
      </x:c>
    </x:row>
    <x:row r="151">
      <x:c r="C151" s="40" t="str">
        <x:v>CAOT-2024-2 asset_explanatory 2025-06-30</x:v>
      </x:c>
      <x:c r="D151" s="40" t="str">
        <x:v>2025-06-30</x:v>
      </x:c>
      <x:c r="E151" s="40" t="str">
        <x:v>0002016948-25-000035</x:v>
      </x:c>
      <x:c r="F151" s="40" t="str">
        <x:v>f627c94c8f12c3399f37f929f19d783a9a71a405432d3b8937821e2d497dc787</x:v>
      </x:c>
      <x:c r="G151" s="40" t="str">
        <x:v>https://www.sec.gov/Archives/edgar/data/2016948/000201694825000035/exhibit103november2021.xml</x:v>
      </x:c>
      <x:c r="H151" s="40" t="str">
        <x:v>data/raw/CAOT-2024-2/0002016948-25-000035/exhibit103november2021.xml.gz</x:v>
      </x:c>
    </x:row>
    <x:row r="152">
      <x:c r="C152" s="40" t="str">
        <x:v>CAOT-2024-2 filing_directory 2025-07-31</x:v>
      </x:c>
      <x:c r="D152" s="40" t="str">
        <x:v>2025-07-31</x:v>
      </x:c>
      <x:c r="E152" s="40" t="str">
        <x:v>0002016948-25-000041</x:v>
      </x:c>
      <x:c r="F152" s="40" t="str">
        <x:v>6eca1d168a4fe845b66cf149c74de79bbca70f6f9a01942f7a91a88a87205556</x:v>
      </x:c>
      <x:c r="G152" s="40" t="str">
        <x:v>https://www.sec.gov/Archives/edgar/data/2016948/000201694825000041/index.json</x:v>
      </x:c>
      <x:c r="H152" s="40" t="str">
        <x:v>data/raw/CAOT-2024-2/0002016948-25-000041/index.json.gz</x:v>
      </x:c>
    </x:row>
    <x:row r="153">
      <x:c r="C153" s="40" t="str">
        <x:v>CAOT-2024-2 loan_tape 2025-07-31</x:v>
      </x:c>
      <x:c r="D153" s="40" t="str">
        <x:v>2025-07-31</x:v>
      </x:c>
      <x:c r="E153" s="40" t="str">
        <x:v>0002016948-25-000041</x:v>
      </x:c>
      <x:c r="F153" s="40" t="str">
        <x:v>bfdf1a0c8372ca7233f09ef4c25e0ae15c9d602d4e63085b7f3e77fa5284e51b</x:v>
      </x:c>
      <x:c r="G153" s="40" t="str">
        <x:v>https://www.sec.gov/Archives/edgar/data/2016948/000201694825000041/cart20242.xml</x:v>
      </x:c>
      <x:c r="H153" s="40" t="str">
        <x:v>data/raw/CAOT-2024-2/0002016948-25-000041/cart20242.xml.gz</x:v>
      </x:c>
    </x:row>
    <x:row r="154">
      <x:c r="C154" s="40" t="str">
        <x:v>CAOT-2024-2 asset_explanatory 2025-07-31</x:v>
      </x:c>
      <x:c r="D154" s="40" t="str">
        <x:v>2025-07-31</x:v>
      </x:c>
      <x:c r="E154" s="40" t="str">
        <x:v>0002016948-25-000041</x:v>
      </x:c>
      <x:c r="F154" s="40" t="str">
        <x:v>f627c94c8f12c3399f37f929f19d783a9a71a405432d3b8937821e2d497dc787</x:v>
      </x:c>
      <x:c r="G154" s="40" t="str">
        <x:v>https://www.sec.gov/Archives/edgar/data/2016948/000201694825000041/exhibit103november2021.xml</x:v>
      </x:c>
      <x:c r="H154" s="40" t="str">
        <x:v>data/raw/CAOT-2024-2/0002016948-25-000041/exhibit103november2021.xml.gz</x:v>
      </x:c>
    </x:row>
    <x:row r="155">
      <x:c r="C155" s="40" t="str">
        <x:v>CAOT-2024-2 filing_directory 2025-08-31</x:v>
      </x:c>
      <x:c r="D155" s="40" t="str">
        <x:v>2025-08-31</x:v>
      </x:c>
      <x:c r="E155" s="40" t="str">
        <x:v>0002016948-25-000046</x:v>
      </x:c>
      <x:c r="F155" s="40" t="str">
        <x:v>485b34f8f2b1be6a00273049be87c601217ead699fd10bc3bd6b87ac92d45566</x:v>
      </x:c>
      <x:c r="G155" s="40" t="str">
        <x:v>https://www.sec.gov/Archives/edgar/data/2016948/000201694825000046/index.json</x:v>
      </x:c>
      <x:c r="H155" s="40" t="str">
        <x:v>data/raw/CAOT-2024-2/0002016948-25-000046/index.json.gz</x:v>
      </x:c>
    </x:row>
    <x:row r="156">
      <x:c r="C156" s="40" t="str">
        <x:v>CAOT-2024-2 loan_tape 2025-08-31</x:v>
      </x:c>
      <x:c r="D156" s="40" t="str">
        <x:v>2025-08-31</x:v>
      </x:c>
      <x:c r="E156" s="40" t="str">
        <x:v>0002016948-25-000046</x:v>
      </x:c>
      <x:c r="F156" s="40" t="str">
        <x:v>00abf3efdf535bbce0baf0ea279bffd418701d17e0efe603e65452c1939d0ed5</x:v>
      </x:c>
      <x:c r="G156" s="40" t="str">
        <x:v>https://www.sec.gov/Archives/edgar/data/2016948/000201694825000046/cart20242.xml</x:v>
      </x:c>
      <x:c r="H156" s="40" t="str">
        <x:v>data/raw/CAOT-2024-2/0002016948-25-000046/cart20242.xml.gz</x:v>
      </x:c>
    </x:row>
    <x:row r="157">
      <x:c r="C157" s="40" t="str">
        <x:v>CAOT-2024-2 asset_explanatory 2025-08-31</x:v>
      </x:c>
      <x:c r="D157" s="40" t="str">
        <x:v>2025-08-31</x:v>
      </x:c>
      <x:c r="E157" s="40" t="str">
        <x:v>0002016948-25-000046</x:v>
      </x:c>
      <x:c r="F157" s="40" t="str">
        <x:v>f627c94c8f12c3399f37f929f19d783a9a71a405432d3b8937821e2d497dc787</x:v>
      </x:c>
      <x:c r="G157" s="40" t="str">
        <x:v>https://www.sec.gov/Archives/edgar/data/2016948/000201694825000046/exhibit103november2021.xml</x:v>
      </x:c>
      <x:c r="H157" s="40" t="str">
        <x:v>data/raw/CAOT-2024-2/0002016948-25-000046/exhibit103november2021.xml.gz</x:v>
      </x:c>
    </x:row>
    <x:row r="158">
      <x:c r="C158" s="40" t="str">
        <x:v>CAOT-2024-2 filing_directory 2025-09-30</x:v>
      </x:c>
      <x:c r="D158" s="40" t="str">
        <x:v>2025-09-30</x:v>
      </x:c>
      <x:c r="E158" s="40" t="str">
        <x:v>0002016948-25-000051</x:v>
      </x:c>
      <x:c r="F158" s="40" t="str">
        <x:v>96069386e31b9be799f7a2bf4748d608c8739c7d519e9dfc064b80a295577042</x:v>
      </x:c>
      <x:c r="G158" s="40" t="str">
        <x:v>https://www.sec.gov/Archives/edgar/data/2016948/000201694825000051/index.json</x:v>
      </x:c>
      <x:c r="H158" s="40" t="str">
        <x:v>data/raw/CAOT-2024-2/0002016948-25-000051/index.json.gz</x:v>
      </x:c>
    </x:row>
    <x:row r="159">
      <x:c r="C159" s="40" t="str">
        <x:v>CAOT-2024-2 loan_tape 2025-09-30</x:v>
      </x:c>
      <x:c r="D159" s="40" t="str">
        <x:v>2025-09-30</x:v>
      </x:c>
      <x:c r="E159" s="40" t="str">
        <x:v>0002016948-25-000051</x:v>
      </x:c>
      <x:c r="F159" s="40" t="str">
        <x:v>6fbbfd9db7b832d210a7c74f761a811002e903c2bd4c4fd95c7f01dd0fafc573</x:v>
      </x:c>
      <x:c r="G159" s="40" t="str">
        <x:v>https://www.sec.gov/Archives/edgar/data/2016948/000201694825000051/cart20242.xml</x:v>
      </x:c>
      <x:c r="H159" s="40" t="str">
        <x:v>data/raw/CAOT-2024-2/0002016948-25-000051/cart20242.xml.gz</x:v>
      </x:c>
    </x:row>
    <x:row r="160">
      <x:c r="C160" s="40" t="str">
        <x:v>CAOT-2024-2 asset_explanatory 2025-09-30</x:v>
      </x:c>
      <x:c r="D160" s="40" t="str">
        <x:v>2025-09-30</x:v>
      </x:c>
      <x:c r="E160" s="40" t="str">
        <x:v>0002016948-25-000051</x:v>
      </x:c>
      <x:c r="F160" s="40" t="str">
        <x:v>f627c94c8f12c3399f37f929f19d783a9a71a405432d3b8937821e2d497dc787</x:v>
      </x:c>
      <x:c r="G160" s="40" t="str">
        <x:v>https://www.sec.gov/Archives/edgar/data/2016948/000201694825000051/exhibit103november2021.xml</x:v>
      </x:c>
      <x:c r="H160" s="40" t="str">
        <x:v>data/raw/CAOT-2024-2/0002016948-25-000051/exhibit103november2021.xml.gz</x:v>
      </x:c>
    </x:row>
    <x:row r="161">
      <x:c r="C161" s="40" t="str">
        <x:v>CAOT-2024-2 filing_directory 2025-10-31</x:v>
      </x:c>
      <x:c r="D161" s="40" t="str">
        <x:v>2025-10-31</x:v>
      </x:c>
      <x:c r="E161" s="40" t="str">
        <x:v>0002016948-25-000056</x:v>
      </x:c>
      <x:c r="F161" s="40" t="str">
        <x:v>c11bdd39e7ec80c79e67286da4da12644fc159257020fd529777046d7331514b</x:v>
      </x:c>
      <x:c r="G161" s="40" t="str">
        <x:v>https://www.sec.gov/Archives/edgar/data/2016948/000201694825000056/index.json</x:v>
      </x:c>
      <x:c r="H161" s="40" t="str">
        <x:v>data/raw/CAOT-2024-2/0002016948-25-000056/index.json.gz</x:v>
      </x:c>
    </x:row>
    <x:row r="162">
      <x:c r="C162" s="40" t="str">
        <x:v>CAOT-2024-2 loan_tape 2025-10-31</x:v>
      </x:c>
      <x:c r="D162" s="40" t="str">
        <x:v>2025-10-31</x:v>
      </x:c>
      <x:c r="E162" s="40" t="str">
        <x:v>0002016948-25-000056</x:v>
      </x:c>
      <x:c r="F162" s="40" t="str">
        <x:v>8792bd0eb1211aec2d7f5fdb297ad4cffbcb767815abcae3d4445f595fb29b09</x:v>
      </x:c>
      <x:c r="G162" s="40" t="str">
        <x:v>https://www.sec.gov/Archives/edgar/data/2016948/000201694825000056/cart20242.xml</x:v>
      </x:c>
      <x:c r="H162" s="40" t="str">
        <x:v>data/raw/CAOT-2024-2/0002016948-25-000056/cart20242.xml.gz</x:v>
      </x:c>
    </x:row>
    <x:row r="163">
      <x:c r="C163" s="40" t="str">
        <x:v>CAOT-2024-2 asset_explanatory 2025-10-31</x:v>
      </x:c>
      <x:c r="D163" s="40" t="str">
        <x:v>2025-10-31</x:v>
      </x:c>
      <x:c r="E163" s="40" t="str">
        <x:v>0002016948-25-000056</x:v>
      </x:c>
      <x:c r="F163" s="40" t="str">
        <x:v>f627c94c8f12c3399f37f929f19d783a9a71a405432d3b8937821e2d497dc787</x:v>
      </x:c>
      <x:c r="G163" s="40" t="str">
        <x:v>https://www.sec.gov/Archives/edgar/data/2016948/000201694825000056/exhibit103november2021.xml</x:v>
      </x:c>
      <x:c r="H163" s="40" t="str">
        <x:v>data/raw/CAOT-2024-2/0002016948-25-000056/exhibit103november2021.xml.gz</x:v>
      </x:c>
    </x:row>
    <x:row r="164">
      <x:c r="C164" s="40" t="str">
        <x:v>CAOT-2024-2 filing_directory 2025-11-30</x:v>
      </x:c>
      <x:c r="D164" s="40" t="str">
        <x:v>2025-11-30</x:v>
      </x:c>
      <x:c r="E164" s="40" t="str">
        <x:v>0002016948-25-000061</x:v>
      </x:c>
      <x:c r="F164" s="40" t="str">
        <x:v>356e07604a809ff8d3a2a38bc8a6da27c52ba4ccf06418e6ad6bda2ceb50e589</x:v>
      </x:c>
      <x:c r="G164" s="40" t="str">
        <x:v>https://www.sec.gov/Archives/edgar/data/2016948/000201694825000061/index.json</x:v>
      </x:c>
      <x:c r="H164" s="40" t="str">
        <x:v>data/raw/CAOT-2024-2/0002016948-25-000061/index.json.gz</x:v>
      </x:c>
    </x:row>
    <x:row r="165">
      <x:c r="C165" s="40" t="str">
        <x:v>CAOT-2024-2 loan_tape 2025-11-30</x:v>
      </x:c>
      <x:c r="D165" s="40" t="str">
        <x:v>2025-11-30</x:v>
      </x:c>
      <x:c r="E165" s="40" t="str">
        <x:v>0002016948-25-000061</x:v>
      </x:c>
      <x:c r="F165" s="40" t="str">
        <x:v>aa0b08bcc463cdb199f781a64e5796de8971a7b8db2b9fdc2b608db915284ecc</x:v>
      </x:c>
      <x:c r="G165" s="40" t="str">
        <x:v>https://www.sec.gov/Archives/edgar/data/2016948/000201694825000061/cart20242.xml</x:v>
      </x:c>
      <x:c r="H165" s="40" t="str">
        <x:v>data/raw/CAOT-2024-2/0002016948-25-000061/cart20242.xml.gz</x:v>
      </x:c>
    </x:row>
    <x:row r="166">
      <x:c r="C166" s="40" t="str">
        <x:v>CAOT-2024-2 asset_explanatory 2025-11-30</x:v>
      </x:c>
      <x:c r="D166" s="40" t="str">
        <x:v>2025-11-30</x:v>
      </x:c>
      <x:c r="E166" s="40" t="str">
        <x:v>0002016948-25-000061</x:v>
      </x:c>
      <x:c r="F166" s="40" t="str">
        <x:v>f627c94c8f12c3399f37f929f19d783a9a71a405432d3b8937821e2d497dc787</x:v>
      </x:c>
      <x:c r="G166" s="40" t="str">
        <x:v>https://www.sec.gov/Archives/edgar/data/2016948/000201694825000061/exhibit103november2021.xml</x:v>
      </x:c>
      <x:c r="H166" s="40" t="str">
        <x:v>data/raw/CAOT-2024-2/0002016948-25-000061/exhibit103november2021.xml.gz</x:v>
      </x:c>
    </x:row>
    <x:row r="167">
      <x:c r="C167" s="40" t="str">
        <x:v>CAOT-2024-2 filing_directory 2025-12-31</x:v>
      </x:c>
      <x:c r="D167" s="40" t="str">
        <x:v>2025-12-31</x:v>
      </x:c>
      <x:c r="E167" s="40" t="str">
        <x:v>0002016948-26-000003</x:v>
      </x:c>
      <x:c r="F167" s="40" t="str">
        <x:v>35590f8fe4649d8297c7935334a5164ec346262e8b24f058e72671ad8e0a9b0f</x:v>
      </x:c>
      <x:c r="G167" s="40" t="str">
        <x:v>https://www.sec.gov/Archives/edgar/data/2016948/000201694826000003/index.json</x:v>
      </x:c>
      <x:c r="H167" s="40" t="str">
        <x:v>data/raw/CAOT-2024-2/0002016948-26-000003/index.json.gz</x:v>
      </x:c>
    </x:row>
    <x:row r="168">
      <x:c r="C168" s="40" t="str">
        <x:v>CAOT-2024-2 loan_tape 2025-12-31</x:v>
      </x:c>
      <x:c r="D168" s="40" t="str">
        <x:v>2025-12-31</x:v>
      </x:c>
      <x:c r="E168" s="40" t="str">
        <x:v>0002016948-26-000003</x:v>
      </x:c>
      <x:c r="F168" s="40" t="str">
        <x:v>d1f761911af16d0de8f60c8b4f574b05f3d9a74a76a2926b5c3d2e39388a3cad</x:v>
      </x:c>
      <x:c r="G168" s="40" t="str">
        <x:v>https://www.sec.gov/Archives/edgar/data/2016948/000201694826000003/cart20242.xml</x:v>
      </x:c>
      <x:c r="H168" s="40" t="str">
        <x:v>data/raw/CAOT-2024-2/0002016948-26-000003/cart20242.xml.gz</x:v>
      </x:c>
    </x:row>
    <x:row r="169">
      <x:c r="C169" s="40" t="str">
        <x:v>CAOT-2024-2 asset_explanatory 2025-12-31</x:v>
      </x:c>
      <x:c r="D169" s="40" t="str">
        <x:v>2025-12-31</x:v>
      </x:c>
      <x:c r="E169" s="40" t="str">
        <x:v>0002016948-26-000003</x:v>
      </x:c>
      <x:c r="F169" s="40" t="str">
        <x:v>f627c94c8f12c3399f37f929f19d783a9a71a405432d3b8937821e2d497dc787</x:v>
      </x:c>
      <x:c r="G169" s="40" t="str">
        <x:v>https://www.sec.gov/Archives/edgar/data/2016948/000201694826000003/exhibit103november2021.xml</x:v>
      </x:c>
      <x:c r="H169" s="40" t="str">
        <x:v>data/raw/CAOT-2024-2/0002016948-26-000003/exhibit103november2021.xml.gz</x:v>
      </x:c>
    </x:row>
    <x:row r="170">
      <x:c r="C170" s="40" t="str">
        <x:v>CAOT-2024-2 filing_directory 2026-01-31</x:v>
      </x:c>
      <x:c r="D170" s="40" t="str">
        <x:v>2026-01-31</x:v>
      </x:c>
      <x:c r="E170" s="40" t="str">
        <x:v>0002016948-26-000008</x:v>
      </x:c>
      <x:c r="F170" s="40" t="str">
        <x:v>8cb1977d38146d8a7f81bd97fc0c6adfc9b055ea28b232e686d0c2f05874e689</x:v>
      </x:c>
      <x:c r="G170" s="40" t="str">
        <x:v>https://www.sec.gov/Archives/edgar/data/2016948/000201694826000008/index.json</x:v>
      </x:c>
      <x:c r="H170" s="40" t="str">
        <x:v>data/raw/CAOT-2024-2/0002016948-26-000008/index.json.gz</x:v>
      </x:c>
    </x:row>
    <x:row r="171">
      <x:c r="C171" s="40" t="str">
        <x:v>CAOT-2024-2 loan_tape 2026-01-31</x:v>
      </x:c>
      <x:c r="D171" s="40" t="str">
        <x:v>2026-01-31</x:v>
      </x:c>
      <x:c r="E171" s="40" t="str">
        <x:v>0002016948-26-000008</x:v>
      </x:c>
      <x:c r="F171" s="40" t="str">
        <x:v>bbc56577f4d797378df361f00f234452dcb60f8b5bee9684bf2e2040bfd97ffa</x:v>
      </x:c>
      <x:c r="G171" s="40" t="str">
        <x:v>https://www.sec.gov/Archives/edgar/data/2016948/000201694826000008/cart20242.xml</x:v>
      </x:c>
      <x:c r="H171" s="40" t="str">
        <x:v>data/raw/CAOT-2024-2/0002016948-26-000008/cart20242.xml.gz</x:v>
      </x:c>
    </x:row>
    <x:row r="172">
      <x:c r="C172" s="40" t="str">
        <x:v>CAOT-2024-2 asset_explanatory 2026-01-31</x:v>
      </x:c>
      <x:c r="D172" s="40" t="str">
        <x:v>2026-01-31</x:v>
      </x:c>
      <x:c r="E172" s="40" t="str">
        <x:v>0002016948-26-000008</x:v>
      </x:c>
      <x:c r="F172" s="40" t="str">
        <x:v>f627c94c8f12c3399f37f929f19d783a9a71a405432d3b8937821e2d497dc787</x:v>
      </x:c>
      <x:c r="G172" s="40" t="str">
        <x:v>https://www.sec.gov/Archives/edgar/data/2016948/000201694826000008/exhibit103november2021.xml</x:v>
      </x:c>
      <x:c r="H172" s="40" t="str">
        <x:v>data/raw/CAOT-2024-2/0002016948-26-000008/exhibit103november2021.xml.gz</x:v>
      </x:c>
    </x:row>
    <x:row r="173">
      <x:c r="C173" s="40" t="str">
        <x:v>CAOT-2024-2 filing_directory 2026-02-28</x:v>
      </x:c>
      <x:c r="D173" s="40" t="str">
        <x:v>2026-02-28</x:v>
      </x:c>
      <x:c r="E173" s="40" t="str">
        <x:v>0002016948-26-000015</x:v>
      </x:c>
      <x:c r="F173" s="40" t="str">
        <x:v>a2a7e314f11548afcd5190238b2a59d22c63ad5a02e6ddb2cc2bf3751bac49de</x:v>
      </x:c>
      <x:c r="G173" s="40" t="str">
        <x:v>https://www.sec.gov/Archives/edgar/data/2016948/000201694826000015/index.json</x:v>
      </x:c>
      <x:c r="H173" s="40" t="str">
        <x:v>data/raw/CAOT-2024-2/0002016948-26-000015/index.json.gz</x:v>
      </x:c>
    </x:row>
    <x:row r="174">
      <x:c r="C174" s="40" t="str">
        <x:v>CAOT-2024-2 loan_tape 2026-02-28</x:v>
      </x:c>
      <x:c r="D174" s="40" t="str">
        <x:v>2026-02-28</x:v>
      </x:c>
      <x:c r="E174" s="40" t="str">
        <x:v>0002016948-26-000015</x:v>
      </x:c>
      <x:c r="F174" s="40" t="str">
        <x:v>70476173e05f28d500134046654a2bf68a55aa8a3496c4e1fad31b4da3669319</x:v>
      </x:c>
      <x:c r="G174" s="40" t="str">
        <x:v>https://www.sec.gov/Archives/edgar/data/2016948/000201694826000015/cart20242.xml</x:v>
      </x:c>
      <x:c r="H174" s="40" t="str">
        <x:v>data/raw/CAOT-2024-2/0002016948-26-000015/cart20242.xml.gz</x:v>
      </x:c>
    </x:row>
    <x:row r="175">
      <x:c r="C175" s="40" t="str">
        <x:v>CAOT-2024-2 asset_explanatory 2026-02-28</x:v>
      </x:c>
      <x:c r="D175" s="40" t="str">
        <x:v>2026-02-28</x:v>
      </x:c>
      <x:c r="E175" s="40" t="str">
        <x:v>0002016948-26-000015</x:v>
      </x:c>
      <x:c r="F175" s="40" t="str">
        <x:v>f627c94c8f12c3399f37f929f19d783a9a71a405432d3b8937821e2d497dc787</x:v>
      </x:c>
      <x:c r="G175" s="40" t="str">
        <x:v>https://www.sec.gov/Archives/edgar/data/2016948/000201694826000015/exhibit103november2021.xml</x:v>
      </x:c>
      <x:c r="H175" s="40" t="str">
        <x:v>data/raw/CAOT-2024-2/0002016948-26-000015/exhibit103november2021.xml.gz</x:v>
      </x:c>
    </x:row>
    <x:row r="176">
      <x:c r="C176" s="40" t="str">
        <x:v>CAOT-2024-2 filing_directory 2026-03-31</x:v>
      </x:c>
      <x:c r="D176" s="40" t="str">
        <x:v>2026-03-31</x:v>
      </x:c>
      <x:c r="E176" s="40" t="str">
        <x:v>0002016948-26-000020</x:v>
      </x:c>
      <x:c r="F176" s="40" t="str">
        <x:v>05911b24274f4051549473b6313524cbb776636ed7f2df93d4e2a0bcea7870a2</x:v>
      </x:c>
      <x:c r="G176" s="40" t="str">
        <x:v>https://www.sec.gov/Archives/edgar/data/2016948/000201694826000020/index.json</x:v>
      </x:c>
      <x:c r="H176" s="40" t="str">
        <x:v>data/raw/CAOT-2024-2/0002016948-26-000020/index.json.gz</x:v>
      </x:c>
    </x:row>
    <x:row r="177">
      <x:c r="C177" s="40" t="str">
        <x:v>CAOT-2024-2 loan_tape 2026-03-31</x:v>
      </x:c>
      <x:c r="D177" s="40" t="str">
        <x:v>2026-03-31</x:v>
      </x:c>
      <x:c r="E177" s="40" t="str">
        <x:v>0002016948-26-000020</x:v>
      </x:c>
      <x:c r="F177" s="40" t="str">
        <x:v>4b533e0a5eb4e24242a9dce79e97e512d580fe2336c799d2f0848387975af50e</x:v>
      </x:c>
      <x:c r="G177" s="40" t="str">
        <x:v>https://www.sec.gov/Archives/edgar/data/2016948/000201694826000020/cart20242.xml</x:v>
      </x:c>
      <x:c r="H177" s="40" t="str">
        <x:v>data/raw/CAOT-2024-2/0002016948-26-000020/cart20242.xml.gz</x:v>
      </x:c>
    </x:row>
    <x:row r="178">
      <x:c r="C178" s="40" t="str">
        <x:v>CAOT-2024-2 asset_explanatory 2026-03-31</x:v>
      </x:c>
      <x:c r="D178" s="40" t="str">
        <x:v>2026-03-31</x:v>
      </x:c>
      <x:c r="E178" s="40" t="str">
        <x:v>0002016948-26-000020</x:v>
      </x:c>
      <x:c r="F178" s="40" t="str">
        <x:v>f627c94c8f12c3399f37f929f19d783a9a71a405432d3b8937821e2d497dc787</x:v>
      </x:c>
      <x:c r="G178" s="40" t="str">
        <x:v>https://www.sec.gov/Archives/edgar/data/2016948/000201694826000020/exhibit103november2021.xml</x:v>
      </x:c>
      <x:c r="H178" s="40" t="str">
        <x:v>data/raw/CAOT-2024-2/0002016948-26-000020/exhibit103november2021.xml.gz</x:v>
      </x:c>
    </x:row>
    <x:row r="179">
      <x:c r="C179" s="40" t="str">
        <x:v>CAOT-2024-2 filing_directory 2026-04-30</x:v>
      </x:c>
      <x:c r="D179" s="40" t="str">
        <x:v>2026-04-30</x:v>
      </x:c>
      <x:c r="E179" s="40" t="str">
        <x:v>0002016948-26-000025</x:v>
      </x:c>
      <x:c r="F179" s="40" t="str">
        <x:v>e6b0cdd895f59d6f3829fc0174c7c5fedd5980c8c1dcbcb5daa1a8e01b33378c</x:v>
      </x:c>
      <x:c r="G179" s="40" t="str">
        <x:v>https://www.sec.gov/Archives/edgar/data/2016948/000201694826000025/index.json</x:v>
      </x:c>
      <x:c r="H179" s="40" t="str">
        <x:v>data/raw/CAOT-2024-2/0002016948-26-000025/index.json.gz</x:v>
      </x:c>
    </x:row>
    <x:row r="180">
      <x:c r="C180" s="40" t="str">
        <x:v>CAOT-2024-2 loan_tape 2026-04-30</x:v>
      </x:c>
      <x:c r="D180" s="40" t="str">
        <x:v>2026-04-30</x:v>
      </x:c>
      <x:c r="E180" s="40" t="str">
        <x:v>0002016948-26-000025</x:v>
      </x:c>
      <x:c r="F180" s="40" t="str">
        <x:v>680f0c6b85abdd57facbbac748825a8a3592533694c86006a0cb750067f05b91</x:v>
      </x:c>
      <x:c r="G180" s="40" t="str">
        <x:v>https://www.sec.gov/Archives/edgar/data/2016948/000201694826000025/cart20242.xml</x:v>
      </x:c>
      <x:c r="H180" s="40" t="str">
        <x:v>data/raw/CAOT-2024-2/0002016948-26-000025/cart20242.xml.gz</x:v>
      </x:c>
    </x:row>
    <x:row r="181">
      <x:c r="C181" s="40" t="str">
        <x:v>CAOT-2024-2 asset_explanatory 2026-04-30</x:v>
      </x:c>
      <x:c r="D181" s="40" t="str">
        <x:v>2026-04-30</x:v>
      </x:c>
      <x:c r="E181" s="40" t="str">
        <x:v>0002016948-26-000025</x:v>
      </x:c>
      <x:c r="F181" s="40" t="str">
        <x:v>f627c94c8f12c3399f37f929f19d783a9a71a405432d3b8937821e2d497dc787</x:v>
      </x:c>
      <x:c r="G181" s="40" t="str">
        <x:v>https://www.sec.gov/Archives/edgar/data/2016948/000201694826000025/exhibit103november2021.xml</x:v>
      </x:c>
      <x:c r="H181" s="40" t="str">
        <x:v>data/raw/CAOT-2024-2/0002016948-26-000025/exhibit103november2021.xml.gz</x:v>
      </x:c>
    </x:row>
    <x:row r="182">
      <x:c r="C182" s="40" t="str">
        <x:v>CAOT-2024-2 filing_directory 2026-05-31</x:v>
      </x:c>
      <x:c r="D182" s="40" t="str">
        <x:v>2026-05-31</x:v>
      </x:c>
      <x:c r="E182" s="40" t="str">
        <x:v>0002016948-26-000032</x:v>
      </x:c>
      <x:c r="F182" s="40" t="str">
        <x:v>fe6091212280d01f30250a0eb79ab358601b441592448946d7747dd40a84e14c</x:v>
      </x:c>
      <x:c r="G182" s="40" t="str">
        <x:v>https://www.sec.gov/Archives/edgar/data/2016948/000201694826000032/index.json</x:v>
      </x:c>
      <x:c r="H182" s="40" t="str">
        <x:v>data/raw/CAOT-2024-2/0002016948-26-000032/index.json.gz</x:v>
      </x:c>
    </x:row>
    <x:row r="183">
      <x:c r="C183" s="40" t="str">
        <x:v>CAOT-2024-2 loan_tape 2026-05-31</x:v>
      </x:c>
      <x:c r="D183" s="40" t="str">
        <x:v>2026-05-31</x:v>
      </x:c>
      <x:c r="E183" s="40" t="str">
        <x:v>0002016948-26-000032</x:v>
      </x:c>
      <x:c r="F183" s="40" t="str">
        <x:v>fafeddbb9a3e75b387b065cc5e19affdb611b3c69f02cb140c00828a1d4a2e87</x:v>
      </x:c>
      <x:c r="G183" s="40" t="str">
        <x:v>https://www.sec.gov/Archives/edgar/data/2016948/000201694826000032/cart20242.xml</x:v>
      </x:c>
      <x:c r="H183" s="40" t="str">
        <x:v>data/raw/CAOT-2024-2/0002016948-26-000032/cart20242.xml.gz</x:v>
      </x:c>
    </x:row>
    <x:row r="184">
      <x:c r="C184" s="40" t="str">
        <x:v>CAOT-2024-2 asset_explanatory 2026-05-31</x:v>
      </x:c>
      <x:c r="D184" s="40" t="str">
        <x:v>2026-05-31</x:v>
      </x:c>
      <x:c r="E184" s="40" t="str">
        <x:v>0002016948-26-000032</x:v>
      </x:c>
      <x:c r="F184" s="40" t="str">
        <x:v>f627c94c8f12c3399f37f929f19d783a9a71a405432d3b8937821e2d497dc787</x:v>
      </x:c>
      <x:c r="G184" s="40" t="str">
        <x:v>https://www.sec.gov/Archives/edgar/data/2016948/000201694826000032/exhibit103november2021.xml</x:v>
      </x:c>
      <x:c r="H184" s="40" t="str">
        <x:v>data/raw/CAOT-2024-2/0002016948-26-000032/exhibit103november2021.xml.gz</x:v>
      </x:c>
    </x:row>
    <x:row r="185">
      <x:c r="C185" s="40" t="str">
        <x:v>CAOT-2024-2 filing_directory 2026-06-30</x:v>
      </x:c>
      <x:c r="D185" s="40" t="str">
        <x:v>2026-06-30</x:v>
      </x:c>
      <x:c r="E185" s="40" t="str">
        <x:v>0002016948-26-000037</x:v>
      </x:c>
      <x:c r="F185" s="40" t="str">
        <x:v>be5c5f670780a3269f282401b900e94f5931e293a1e571e965222430f1510c6d</x:v>
      </x:c>
      <x:c r="G185" s="40" t="str">
        <x:v>https://www.sec.gov/Archives/edgar/data/2016948/000201694826000037/index.json</x:v>
      </x:c>
      <x:c r="H185" s="40" t="str">
        <x:v>data/raw/CAOT-2024-2/0002016948-26-000037/index.json.gz</x:v>
      </x:c>
    </x:row>
    <x:row r="186">
      <x:c r="C186" s="40" t="str">
        <x:v>CAOT-2024-2 loan_tape 2026-06-30</x:v>
      </x:c>
      <x:c r="D186" s="40" t="str">
        <x:v>2026-06-30</x:v>
      </x:c>
      <x:c r="E186" s="40" t="str">
        <x:v>0002016948-26-000037</x:v>
      </x:c>
      <x:c r="F186" s="40" t="str">
        <x:v>8914df7c395cf6cbceefcb75bf1d2981f239ef6fd02aee6d6deddc7c8ba4f066</x:v>
      </x:c>
      <x:c r="G186" s="40" t="str">
        <x:v>https://www.sec.gov/Archives/edgar/data/2016948/000201694826000037/cart20242.xml</x:v>
      </x:c>
      <x:c r="H186" s="40" t="str">
        <x:v>data/raw/CAOT-2024-2/0002016948-26-000037/cart20242.xml.gz</x:v>
      </x:c>
    </x:row>
    <x:row r="187">
      <x:c r="C187" s="40" t="str">
        <x:v>CAOT-2024-2 asset_explanatory 2026-06-30</x:v>
      </x:c>
      <x:c r="D187" s="40" t="str">
        <x:v>2026-06-30</x:v>
      </x:c>
      <x:c r="E187" s="40" t="str">
        <x:v>0002016948-26-000037</x:v>
      </x:c>
      <x:c r="F187" s="40" t="str">
        <x:v>f627c94c8f12c3399f37f929f19d783a9a71a405432d3b8937821e2d497dc787</x:v>
      </x:c>
      <x:c r="G187" s="40" t="str">
        <x:v>https://www.sec.gov/Archives/edgar/data/2016948/000201694826000037/exhibit103november2021.xml</x:v>
      </x:c>
      <x:c r="H187" s="40" t="str">
        <x:v>data/raw/CAOT-2024-2/0002016948-26-000037/exhibit103november2021.xml.gz</x:v>
      </x:c>
    </x:row>
    <x:row r="188">
      <x:c r="C188" s="40" t="str">
        <x:v>CAOT-2024-2 filing_directory 2026-07-31</x:v>
      </x:c>
      <x:c r="D188" s="40" t="str">
        <x:v>2026-07-31</x:v>
      </x:c>
      <x:c r="E188" s="40" t="str">
        <x:v>0002016948-26-000042</x:v>
      </x:c>
      <x:c r="F188" s="40" t="str">
        <x:v>08053eddcbf5ea6bf173b54bda0b81b7942f1e95d9814cce59f904657a149604</x:v>
      </x:c>
      <x:c r="G188" s="40" t="str">
        <x:v>https://www.sec.gov/Archives/edgar/data/2016948/000201694826000042/index.json</x:v>
      </x:c>
      <x:c r="H188" s="40" t="str">
        <x:v>data/raw/CAOT-2024-2/0002016948-26-000042/index.json.gz</x:v>
      </x:c>
    </x:row>
    <x:row r="189">
      <x:c r="C189" s="40" t="str">
        <x:v>CAOT-2024-2 loan_tape 2026-07-31</x:v>
      </x:c>
      <x:c r="D189" s="40" t="str">
        <x:v>2026-07-31</x:v>
      </x:c>
      <x:c r="E189" s="40" t="str">
        <x:v>0002016948-26-000042</x:v>
      </x:c>
      <x:c r="F189" s="40" t="str">
        <x:v>411ff7ab4e95bbf5e855449fc47aaa61289bc6dac2dc03fd85fd47c1f41570ef</x:v>
      </x:c>
      <x:c r="G189" s="40" t="str">
        <x:v>https://www.sec.gov/Archives/edgar/data/2016948/000201694826000042/cart20242.xml</x:v>
      </x:c>
      <x:c r="H189" s="40" t="str">
        <x:v>data/raw/CAOT-2024-2/0002016948-26-000042/cart20242.xml.gz</x:v>
      </x:c>
    </x:row>
    <x:row r="190">
      <x:c r="C190" s="40" t="str">
        <x:v>CAOT-2024-2 asset_explanatory 2026-07-31</x:v>
      </x:c>
      <x:c r="D190" s="40" t="str">
        <x:v>2026-07-31</x:v>
      </x:c>
      <x:c r="E190" s="40" t="str">
        <x:v>0002016948-26-000042</x:v>
      </x:c>
      <x:c r="F190" s="40" t="str">
        <x:v>f627c94c8f12c3399f37f929f19d783a9a71a405432d3b8937821e2d497dc787</x:v>
      </x:c>
      <x:c r="G190" s="40" t="str">
        <x:v>https://www.sec.gov/Archives/edgar/data/2016948/000201694826000042/exhibit103november2021.xml</x:v>
      </x:c>
      <x:c r="H190" s="40" t="str">
        <x:v>data/raw/CAOT-2024-2/0002016948-26-000042/exhibit103november2021.xml.gz</x:v>
      </x:c>
    </x:row>
    <x:row r="191">
      <x:c r="C191" s="40" t="str">
        <x:v>CAOT-2024-2 filing_directory 2026-08-31</x:v>
      </x:c>
      <x:c r="D191" s="40" t="str">
        <x:v>2026-08-31</x:v>
      </x:c>
      <x:c r="E191" s="40" t="str">
        <x:v>0002016948-26-000047</x:v>
      </x:c>
      <x:c r="F191" s="40" t="str">
        <x:v>e3aa23ae6b4c09e773b80fa2ab42b2ada0249f9078e7a9d6bd6992df4895e60d</x:v>
      </x:c>
      <x:c r="G191" s="40" t="str">
        <x:v>https://www.sec.gov/Archives/edgar/data/2016948/000201694826000047/index.json</x:v>
      </x:c>
      <x:c r="H191" s="40" t="str">
        <x:v>data/raw/CAOT-2024-2/0002016948-26-000047/index.json.gz</x:v>
      </x:c>
    </x:row>
    <x:row r="192">
      <x:c r="C192" s="40" t="str">
        <x:v>CAOT-2024-2 loan_tape 2026-08-31</x:v>
      </x:c>
      <x:c r="D192" s="40" t="str">
        <x:v>2026-08-31</x:v>
      </x:c>
      <x:c r="E192" s="40" t="str">
        <x:v>0002016948-26-000047</x:v>
      </x:c>
      <x:c r="F192" s="40" t="str">
        <x:v>d6dd6c11e0a8054b9a9675ff02103c2931bc23ce6ee8c02e19351fb977538122</x:v>
      </x:c>
      <x:c r="G192" s="40" t="str">
        <x:v>https://www.sec.gov/Archives/edgar/data/2016948/000201694826000047/cart20242.xml</x:v>
      </x:c>
      <x:c r="H192" s="40" t="str">
        <x:v>data/raw/CAOT-2024-2/0002016948-26-000047/cart20242.xml.gz</x:v>
      </x:c>
    </x:row>
    <x:row r="193">
      <x:c r="C193" s="40" t="str">
        <x:v>CAOT-2024-2 asset_explanatory 2026-08-31</x:v>
      </x:c>
      <x:c r="D193" s="40" t="str">
        <x:v>2026-08-31</x:v>
      </x:c>
      <x:c r="E193" s="40" t="str">
        <x:v>0002016948-26-000047</x:v>
      </x:c>
      <x:c r="F193" s="40" t="str">
        <x:v>f627c94c8f12c3399f37f929f19d783a9a71a405432d3b8937821e2d497dc787</x:v>
      </x:c>
      <x:c r="G193" s="40" t="str">
        <x:v>https://www.sec.gov/Archives/edgar/data/2016948/000201694826000047/exhibit103november2021.xml</x:v>
      </x:c>
      <x:c r="H193" s="40" t="str">
        <x:v>data/raw/CAOT-2024-2/0002016948-26-000047/exhibit103november2021.xml.gz</x:v>
      </x:c>
    </x:row>
    <x:row r="194">
      <x:c r="C194" s="40" t="str">
        <x:v>CAOT-2025-2 filing_directory 2025-04-30</x:v>
      </x:c>
      <x:c r="D194" s="40" t="str">
        <x:v>2025-04-30</x:v>
      </x:c>
      <x:c r="E194" s="40" t="str">
        <x:v>0002063979-25-000003</x:v>
      </x:c>
      <x:c r="F194" s="40" t="str">
        <x:v>41cb976e09c6a57b2d507209ad44f5c59e1f161e5bfb3834025b05c1e5680839</x:v>
      </x:c>
      <x:c r="G194" s="40" t="str">
        <x:v>https://www.sec.gov/Archives/edgar/data/2063979/000206397925000003/index.json</x:v>
      </x:c>
      <x:c r="H194" s="40" t="str">
        <x:v>data/raw/CAOT-2025-2/0002063979-25-000003/index.json.gz</x:v>
      </x:c>
    </x:row>
    <x:row r="195">
      <x:c r="C195" s="40" t="str">
        <x:v>CAOT-2025-2 loan_tape 2025-04-30</x:v>
      </x:c>
      <x:c r="D195" s="40" t="str">
        <x:v>2025-04-30</x:v>
      </x:c>
      <x:c r="E195" s="40" t="str">
        <x:v>0002063979-25-000003</x:v>
      </x:c>
      <x:c r="F195" s="40" t="str">
        <x:v>e28eeec775f90872494af1056a9014aa2f0f9d6919b0642bf063f7279a5a0e73</x:v>
      </x:c>
      <x:c r="G195" s="40" t="str">
        <x:v>https://www.sec.gov/Archives/edgar/data/2063979/000206397925000003/cart20252.xml</x:v>
      </x:c>
      <x:c r="H195" s="40" t="str">
        <x:v>data/raw/CAOT-2025-2/0002063979-25-000003/cart20252.xml.gz</x:v>
      </x:c>
    </x:row>
    <x:row r="196">
      <x:c r="C196" s="40" t="str">
        <x:v>CAOT-2025-2 asset_explanatory 2025-04-30</x:v>
      </x:c>
      <x:c r="D196" s="40" t="str">
        <x:v>2025-04-30</x:v>
      </x:c>
      <x:c r="E196" s="40" t="str">
        <x:v>0002063979-25-000003</x:v>
      </x:c>
      <x:c r="F196" s="40" t="str">
        <x:v>f627c94c8f12c3399f37f929f19d783a9a71a405432d3b8937821e2d497dc787</x:v>
      </x:c>
      <x:c r="G196" s="40" t="str">
        <x:v>https://www.sec.gov/Archives/edgar/data/2063979/000206397925000003/exhibit103november2021.xml</x:v>
      </x:c>
      <x:c r="H196" s="40" t="str">
        <x:v>data/raw/CAOT-2025-2/0002063979-25-000003/exhibit103november2021.xml.gz</x:v>
      </x:c>
    </x:row>
    <x:row r="197">
      <x:c r="C197" s="40" t="str">
        <x:v>CAOT-2025-2 filing_directory 2025-05-31</x:v>
      </x:c>
      <x:c r="D197" s="40" t="str">
        <x:v>2025-05-31</x:v>
      </x:c>
      <x:c r="E197" s="40" t="str">
        <x:v>0002063979-25-000008</x:v>
      </x:c>
      <x:c r="F197" s="40" t="str">
        <x:v>20855c34059507fffdbcaf94087b5f357f77fc0ca9cbc88ee90e2c16bf9a3b00</x:v>
      </x:c>
      <x:c r="G197" s="40" t="str">
        <x:v>https://www.sec.gov/Archives/edgar/data/2063979/000206397925000008/index.json</x:v>
      </x:c>
      <x:c r="H197" s="40" t="str">
        <x:v>data/raw/CAOT-2025-2/0002063979-25-000008/index.json.gz</x:v>
      </x:c>
    </x:row>
    <x:row r="198">
      <x:c r="C198" s="40" t="str">
        <x:v>CAOT-2025-2 loan_tape 2025-05-31</x:v>
      </x:c>
      <x:c r="D198" s="40" t="str">
        <x:v>2025-05-31</x:v>
      </x:c>
      <x:c r="E198" s="40" t="str">
        <x:v>0002063979-25-000008</x:v>
      </x:c>
      <x:c r="F198" s="40" t="str">
        <x:v>906cd0e5b6ef47ceb28eca7db0a6b0a65df285656d3e62a49df84d1aa6df8ffd</x:v>
      </x:c>
      <x:c r="G198" s="40" t="str">
        <x:v>https://www.sec.gov/Archives/edgar/data/2063979/000206397925000008/cart20252.xml</x:v>
      </x:c>
      <x:c r="H198" s="40" t="str">
        <x:v>data/raw/CAOT-2025-2/0002063979-25-000008/cart20252.xml.gz</x:v>
      </x:c>
    </x:row>
    <x:row r="199">
      <x:c r="C199" s="40" t="str">
        <x:v>CAOT-2025-2 asset_explanatory 2025-05-31</x:v>
      </x:c>
      <x:c r="D199" s="40" t="str">
        <x:v>2025-05-31</x:v>
      </x:c>
      <x:c r="E199" s="40" t="str">
        <x:v>0002063979-25-000008</x:v>
      </x:c>
      <x:c r="F199" s="40" t="str">
        <x:v>f627c94c8f12c3399f37f929f19d783a9a71a405432d3b8937821e2d497dc787</x:v>
      </x:c>
      <x:c r="G199" s="40" t="str">
        <x:v>https://www.sec.gov/Archives/edgar/data/2063979/000206397925000008/exhibit103november2021.xml</x:v>
      </x:c>
      <x:c r="H199" s="40" t="str">
        <x:v>data/raw/CAOT-2025-2/0002063979-25-000008/exhibit103november2021.xml.gz</x:v>
      </x:c>
    </x:row>
    <x:row r="200">
      <x:c r="C200" s="40" t="str">
        <x:v>CAOT-2025-2 filing_directory 2025-06-30</x:v>
      </x:c>
      <x:c r="D200" s="40" t="str">
        <x:v>2025-06-30</x:v>
      </x:c>
      <x:c r="E200" s="40" t="str">
        <x:v>0002063979-25-000013</x:v>
      </x:c>
      <x:c r="F200" s="40" t="str">
        <x:v>08624d9d049fe0a7b83907e03710f8278ae17eb6e7cdba704db8f4dde8085d9c</x:v>
      </x:c>
      <x:c r="G200" s="40" t="str">
        <x:v>https://www.sec.gov/Archives/edgar/data/2063979/000206397925000013/index.json</x:v>
      </x:c>
      <x:c r="H200" s="40" t="str">
        <x:v>data/raw/CAOT-2025-2/0002063979-25-000013/index.json.gz</x:v>
      </x:c>
    </x:row>
    <x:row r="201">
      <x:c r="C201" s="40" t="str">
        <x:v>CAOT-2025-2 loan_tape 2025-06-30</x:v>
      </x:c>
      <x:c r="D201" s="40" t="str">
        <x:v>2025-06-30</x:v>
      </x:c>
      <x:c r="E201" s="40" t="str">
        <x:v>0002063979-25-000013</x:v>
      </x:c>
      <x:c r="F201" s="40" t="str">
        <x:v>06a1e048c4c50688d15cb90d60777693645f17b955d3ae2c1a4f464ce1f1154e</x:v>
      </x:c>
      <x:c r="G201" s="40" t="str">
        <x:v>https://www.sec.gov/Archives/edgar/data/2063979/000206397925000013/cart20252.xml</x:v>
      </x:c>
      <x:c r="H201" s="40" t="str">
        <x:v>data/raw/CAOT-2025-2/0002063979-25-000013/cart20252.xml.gz</x:v>
      </x:c>
    </x:row>
    <x:row r="202">
      <x:c r="C202" s="40" t="str">
        <x:v>CAOT-2025-2 asset_explanatory 2025-06-30</x:v>
      </x:c>
      <x:c r="D202" s="40" t="str">
        <x:v>2025-06-30</x:v>
      </x:c>
      <x:c r="E202" s="40" t="str">
        <x:v>0002063979-25-000013</x:v>
      </x:c>
      <x:c r="F202" s="40" t="str">
        <x:v>f627c94c8f12c3399f37f929f19d783a9a71a405432d3b8937821e2d497dc787</x:v>
      </x:c>
      <x:c r="G202" s="40" t="str">
        <x:v>https://www.sec.gov/Archives/edgar/data/2063979/000206397925000013/exhibit103november2021.xml</x:v>
      </x:c>
      <x:c r="H202" s="40" t="str">
        <x:v>data/raw/CAOT-2025-2/0002063979-25-000013/exhibit103november2021.xml.gz</x:v>
      </x:c>
    </x:row>
    <x:row r="203">
      <x:c r="C203" s="40" t="str">
        <x:v>CAOT-2025-2 filing_directory 2025-07-31</x:v>
      </x:c>
      <x:c r="D203" s="40" t="str">
        <x:v>2025-07-31</x:v>
      </x:c>
      <x:c r="E203" s="40" t="str">
        <x:v>0002063979-25-000018</x:v>
      </x:c>
      <x:c r="F203" s="40" t="str">
        <x:v>0b9ce9e617a485169056cf1d971cf0ff629731f8199bdf8dd107c8c17b51ed80</x:v>
      </x:c>
      <x:c r="G203" s="40" t="str">
        <x:v>https://www.sec.gov/Archives/edgar/data/2063979/000206397925000018/index.json</x:v>
      </x:c>
      <x:c r="H203" s="40" t="str">
        <x:v>data/raw/CAOT-2025-2/0002063979-25-000018/index.json.gz</x:v>
      </x:c>
    </x:row>
    <x:row r="204">
      <x:c r="C204" s="40" t="str">
        <x:v>CAOT-2025-2 loan_tape 2025-07-31</x:v>
      </x:c>
      <x:c r="D204" s="40" t="str">
        <x:v>2025-07-31</x:v>
      </x:c>
      <x:c r="E204" s="40" t="str">
        <x:v>0002063979-25-000018</x:v>
      </x:c>
      <x:c r="F204" s="40" t="str">
        <x:v>f741daaa1ab4209535c108c5cdffc6d5f3e7bee07d5e13ed7e8377557ef1dc97</x:v>
      </x:c>
      <x:c r="G204" s="40" t="str">
        <x:v>https://www.sec.gov/Archives/edgar/data/2063979/000206397925000018/cart20252.xml</x:v>
      </x:c>
      <x:c r="H204" s="40" t="str">
        <x:v>data/raw/CAOT-2025-2/0002063979-25-000018/cart20252.xml.gz</x:v>
      </x:c>
    </x:row>
    <x:row r="205">
      <x:c r="C205" s="40" t="str">
        <x:v>CAOT-2025-2 asset_explanatory 2025-07-31</x:v>
      </x:c>
      <x:c r="D205" s="40" t="str">
        <x:v>2025-07-31</x:v>
      </x:c>
      <x:c r="E205" s="40" t="str">
        <x:v>0002063979-25-000018</x:v>
      </x:c>
      <x:c r="F205" s="40" t="str">
        <x:v>f627c94c8f12c3399f37f929f19d783a9a71a405432d3b8937821e2d497dc787</x:v>
      </x:c>
      <x:c r="G205" s="40" t="str">
        <x:v>https://www.sec.gov/Archives/edgar/data/2063979/000206397925000018/exhibit103november2021.xml</x:v>
      </x:c>
      <x:c r="H205" s="40" t="str">
        <x:v>data/raw/CAOT-2025-2/0002063979-25-000018/exhibit103november2021.xml.gz</x:v>
      </x:c>
    </x:row>
    <x:row r="206">
      <x:c r="C206" s="40" t="str">
        <x:v>CAOT-2025-2 filing_directory 2025-08-31</x:v>
      </x:c>
      <x:c r="D206" s="40" t="str">
        <x:v>2025-08-31</x:v>
      </x:c>
      <x:c r="E206" s="40" t="str">
        <x:v>0002063979-25-000023</x:v>
      </x:c>
      <x:c r="F206" s="40" t="str">
        <x:v>8140db6f9605615f0e725155da816f1c63265561b10ce5b3269a941622281e4f</x:v>
      </x:c>
      <x:c r="G206" s="40" t="str">
        <x:v>https://www.sec.gov/Archives/edgar/data/2063979/000206397925000023/index.json</x:v>
      </x:c>
      <x:c r="H206" s="40" t="str">
        <x:v>data/raw/CAOT-2025-2/0002063979-25-000023/index.json.gz</x:v>
      </x:c>
    </x:row>
    <x:row r="207">
      <x:c r="C207" s="40" t="str">
        <x:v>CAOT-2025-2 loan_tape 2025-08-31</x:v>
      </x:c>
      <x:c r="D207" s="40" t="str">
        <x:v>2025-08-31</x:v>
      </x:c>
      <x:c r="E207" s="40" t="str">
        <x:v>0002063979-25-000023</x:v>
      </x:c>
      <x:c r="F207" s="40" t="str">
        <x:v>a62ddd9ea7ea91bec2b673a24606fa9df36a8630d85bb8e7b18ebaa22cc7d5a6</x:v>
      </x:c>
      <x:c r="G207" s="40" t="str">
        <x:v>https://www.sec.gov/Archives/edgar/data/2063979/000206397925000023/cart20252.xml</x:v>
      </x:c>
      <x:c r="H207" s="40" t="str">
        <x:v>data/raw/CAOT-2025-2/0002063979-25-000023/cart20252.xml.gz</x:v>
      </x:c>
    </x:row>
    <x:row r="208">
      <x:c r="C208" s="40" t="str">
        <x:v>CAOT-2025-2 asset_explanatory 2025-08-31</x:v>
      </x:c>
      <x:c r="D208" s="40" t="str">
        <x:v>2025-08-31</x:v>
      </x:c>
      <x:c r="E208" s="40" t="str">
        <x:v>0002063979-25-000023</x:v>
      </x:c>
      <x:c r="F208" s="40" t="str">
        <x:v>f627c94c8f12c3399f37f929f19d783a9a71a405432d3b8937821e2d497dc787</x:v>
      </x:c>
      <x:c r="G208" s="40" t="str">
        <x:v>https://www.sec.gov/Archives/edgar/data/2063979/000206397925000023/exhibit103november2021.xml</x:v>
      </x:c>
      <x:c r="H208" s="40" t="str">
        <x:v>data/raw/CAOT-2025-2/0002063979-25-000023/exhibit103november2021.xml.gz</x:v>
      </x:c>
    </x:row>
    <x:row r="209">
      <x:c r="C209" s="40" t="str">
        <x:v>CAOT-2025-2 filing_directory 2025-09-30</x:v>
      </x:c>
      <x:c r="D209" s="40" t="str">
        <x:v>2025-09-30</x:v>
      </x:c>
      <x:c r="E209" s="40" t="str">
        <x:v>0002063979-25-000028</x:v>
      </x:c>
      <x:c r="F209" s="40" t="str">
        <x:v>783fd6fe91f82c2d5994a153a98123387fec304585822417929655bb10710189</x:v>
      </x:c>
      <x:c r="G209" s="40" t="str">
        <x:v>https://www.sec.gov/Archives/edgar/data/2063979/000206397925000028/index.json</x:v>
      </x:c>
      <x:c r="H209" s="40" t="str">
        <x:v>data/raw/CAOT-2025-2/0002063979-25-000028/index.json.gz</x:v>
      </x:c>
    </x:row>
    <x:row r="210">
      <x:c r="C210" s="40" t="str">
        <x:v>CAOT-2025-2 loan_tape 2025-09-30</x:v>
      </x:c>
      <x:c r="D210" s="40" t="str">
        <x:v>2025-09-30</x:v>
      </x:c>
      <x:c r="E210" s="40" t="str">
        <x:v>0002063979-25-000028</x:v>
      </x:c>
      <x:c r="F210" s="40" t="str">
        <x:v>68b451d89a797278a22f317e736f7ec59ada952f932f29a0293a5aa01992556f</x:v>
      </x:c>
      <x:c r="G210" s="40" t="str">
        <x:v>https://www.sec.gov/Archives/edgar/data/2063979/000206397925000028/cart20252.xml</x:v>
      </x:c>
      <x:c r="H210" s="40" t="str">
        <x:v>data/raw/CAOT-2025-2/0002063979-25-000028/cart20252.xml.gz</x:v>
      </x:c>
    </x:row>
    <x:row r="211">
      <x:c r="C211" s="40" t="str">
        <x:v>CAOT-2025-2 asset_explanatory 2025-09-30</x:v>
      </x:c>
      <x:c r="D211" s="40" t="str">
        <x:v>2025-09-30</x:v>
      </x:c>
      <x:c r="E211" s="40" t="str">
        <x:v>0002063979-25-000028</x:v>
      </x:c>
      <x:c r="F211" s="40" t="str">
        <x:v>f627c94c8f12c3399f37f929f19d783a9a71a405432d3b8937821e2d497dc787</x:v>
      </x:c>
      <x:c r="G211" s="40" t="str">
        <x:v>https://www.sec.gov/Archives/edgar/data/2063979/000206397925000028/exhibit103november2021.xml</x:v>
      </x:c>
      <x:c r="H211" s="40" t="str">
        <x:v>data/raw/CAOT-2025-2/0002063979-25-000028/exhibit103november2021.xml.gz</x:v>
      </x:c>
    </x:row>
    <x:row r="212">
      <x:c r="C212" s="40" t="str">
        <x:v>CAOT-2025-2 filing_directory 2025-10-31</x:v>
      </x:c>
      <x:c r="D212" s="40" t="str">
        <x:v>2025-10-31</x:v>
      </x:c>
      <x:c r="E212" s="40" t="str">
        <x:v>0002063979-25-000033</x:v>
      </x:c>
      <x:c r="F212" s="40" t="str">
        <x:v>3da1e7b8467de6a7439466315de0ecf1ab0efe92604db640c7c7cf8107e2d3ee</x:v>
      </x:c>
      <x:c r="G212" s="40" t="str">
        <x:v>https://www.sec.gov/Archives/edgar/data/2063979/000206397925000033/index.json</x:v>
      </x:c>
      <x:c r="H212" s="40" t="str">
        <x:v>data/raw/CAOT-2025-2/0002063979-25-000033/index.json.gz</x:v>
      </x:c>
    </x:row>
    <x:row r="213">
      <x:c r="C213" s="40" t="str">
        <x:v>CAOT-2025-2 loan_tape 2025-10-31</x:v>
      </x:c>
      <x:c r="D213" s="40" t="str">
        <x:v>2025-10-31</x:v>
      </x:c>
      <x:c r="E213" s="40" t="str">
        <x:v>0002063979-25-000033</x:v>
      </x:c>
      <x:c r="F213" s="40" t="str">
        <x:v>7fe2e0df1fa99d7c95f20e3e9fa874820772778626bcc641022920ae5b3fa3be</x:v>
      </x:c>
      <x:c r="G213" s="40" t="str">
        <x:v>https://www.sec.gov/Archives/edgar/data/2063979/000206397925000033/cart20252.xml</x:v>
      </x:c>
      <x:c r="H213" s="40" t="str">
        <x:v>data/raw/CAOT-2025-2/0002063979-25-000033/cart20252.xml.gz</x:v>
      </x:c>
    </x:row>
    <x:row r="214">
      <x:c r="C214" s="40" t="str">
        <x:v>CAOT-2025-2 asset_explanatory 2025-10-31</x:v>
      </x:c>
      <x:c r="D214" s="40" t="str">
        <x:v>2025-10-31</x:v>
      </x:c>
      <x:c r="E214" s="40" t="str">
        <x:v>0002063979-25-000033</x:v>
      </x:c>
      <x:c r="F214" s="40" t="str">
        <x:v>f627c94c8f12c3399f37f929f19d783a9a71a405432d3b8937821e2d497dc787</x:v>
      </x:c>
      <x:c r="G214" s="40" t="str">
        <x:v>https://www.sec.gov/Archives/edgar/data/2063979/000206397925000033/exhibit103november2021.xml</x:v>
      </x:c>
      <x:c r="H214" s="40" t="str">
        <x:v>data/raw/CAOT-2025-2/0002063979-25-000033/exhibit103november2021.xml.gz</x:v>
      </x:c>
    </x:row>
    <x:row r="215">
      <x:c r="C215" s="40" t="str">
        <x:v>CAOT-2025-2 filing_directory 2025-11-30</x:v>
      </x:c>
      <x:c r="D215" s="40" t="str">
        <x:v>2025-11-30</x:v>
      </x:c>
      <x:c r="E215" s="40" t="str">
        <x:v>0002063979-25-000038</x:v>
      </x:c>
      <x:c r="F215" s="40" t="str">
        <x:v>12d90b4c8766d8ff39febfd60e6e7d2fdf915ec53092dcda02b5e5d67a8c9323</x:v>
      </x:c>
      <x:c r="G215" s="40" t="str">
        <x:v>https://www.sec.gov/Archives/edgar/data/2063979/000206397925000038/index.json</x:v>
      </x:c>
      <x:c r="H215" s="40" t="str">
        <x:v>data/raw/CAOT-2025-2/0002063979-25-000038/index.json.gz</x:v>
      </x:c>
    </x:row>
    <x:row r="216">
      <x:c r="C216" s="40" t="str">
        <x:v>CAOT-2025-2 loan_tape 2025-11-30</x:v>
      </x:c>
      <x:c r="D216" s="40" t="str">
        <x:v>2025-11-30</x:v>
      </x:c>
      <x:c r="E216" s="40" t="str">
        <x:v>0002063979-25-000038</x:v>
      </x:c>
      <x:c r="F216" s="40" t="str">
        <x:v>b0b50486278733a433b534afe3e30a6745bd4d8592c072b3153785612d469287</x:v>
      </x:c>
      <x:c r="G216" s="40" t="str">
        <x:v>https://www.sec.gov/Archives/edgar/data/2063979/000206397925000038/cart20252.xml</x:v>
      </x:c>
      <x:c r="H216" s="40" t="str">
        <x:v>data/raw/CAOT-2025-2/0002063979-25-000038/cart20252.xml.gz</x:v>
      </x:c>
    </x:row>
    <x:row r="217">
      <x:c r="C217" s="40" t="str">
        <x:v>CAOT-2025-2 asset_explanatory 2025-11-30</x:v>
      </x:c>
      <x:c r="D217" s="40" t="str">
        <x:v>2025-11-30</x:v>
      </x:c>
      <x:c r="E217" s="40" t="str">
        <x:v>0002063979-25-000038</x:v>
      </x:c>
      <x:c r="F217" s="40" t="str">
        <x:v>f627c94c8f12c3399f37f929f19d783a9a71a405432d3b8937821e2d497dc787</x:v>
      </x:c>
      <x:c r="G217" s="40" t="str">
        <x:v>https://www.sec.gov/Archives/edgar/data/2063979/000206397925000038/exhibit103november2021.xml</x:v>
      </x:c>
      <x:c r="H217" s="40" t="str">
        <x:v>data/raw/CAOT-2025-2/0002063979-25-000038/exhibit103november2021.xml.gz</x:v>
      </x:c>
    </x:row>
    <x:row r="218">
      <x:c r="C218" s="40" t="str">
        <x:v>CAOT-2025-2 filing_directory 2025-12-31</x:v>
      </x:c>
      <x:c r="D218" s="40" t="str">
        <x:v>2025-12-31</x:v>
      </x:c>
      <x:c r="E218" s="40" t="str">
        <x:v>0002063979-26-000003</x:v>
      </x:c>
      <x:c r="F218" s="40" t="str">
        <x:v>478f90597bf2f7d09b6156ecccc5b10f04a625d1617d666fe97c55f1385e5c7f</x:v>
      </x:c>
      <x:c r="G218" s="40" t="str">
        <x:v>https://www.sec.gov/Archives/edgar/data/2063979/000206397926000003/index.json</x:v>
      </x:c>
      <x:c r="H218" s="40" t="str">
        <x:v>data/raw/CAOT-2025-2/0002063979-26-000003/index.json.gz</x:v>
      </x:c>
    </x:row>
    <x:row r="219">
      <x:c r="C219" s="40" t="str">
        <x:v>CAOT-2025-2 loan_tape 2025-12-31</x:v>
      </x:c>
      <x:c r="D219" s="40" t="str">
        <x:v>2025-12-31</x:v>
      </x:c>
      <x:c r="E219" s="40" t="str">
        <x:v>0002063979-26-000003</x:v>
      </x:c>
      <x:c r="F219" s="40" t="str">
        <x:v>f47906f9ce27b4f148789f115ea2a126a37462d6e770a012ce4935780ed0a912</x:v>
      </x:c>
      <x:c r="G219" s="40" t="str">
        <x:v>https://www.sec.gov/Archives/edgar/data/2063979/000206397926000003/cart20252.xml</x:v>
      </x:c>
      <x:c r="H219" s="40" t="str">
        <x:v>data/raw/CAOT-2025-2/0002063979-26-000003/cart20252.xml.gz</x:v>
      </x:c>
    </x:row>
    <x:row r="220">
      <x:c r="C220" s="40" t="str">
        <x:v>CAOT-2025-2 asset_explanatory 2025-12-31</x:v>
      </x:c>
      <x:c r="D220" s="40" t="str">
        <x:v>2025-12-31</x:v>
      </x:c>
      <x:c r="E220" s="40" t="str">
        <x:v>0002063979-26-000003</x:v>
      </x:c>
      <x:c r="F220" s="40" t="str">
        <x:v>f627c94c8f12c3399f37f929f19d783a9a71a405432d3b8937821e2d497dc787</x:v>
      </x:c>
      <x:c r="G220" s="40" t="str">
        <x:v>https://www.sec.gov/Archives/edgar/data/2063979/000206397926000003/exhibit103november2021.xml</x:v>
      </x:c>
      <x:c r="H220" s="40" t="str">
        <x:v>data/raw/CAOT-2025-2/0002063979-26-000003/exhibit103november2021.xml.gz</x:v>
      </x:c>
    </x:row>
    <x:row r="221">
      <x:c r="C221" s="40" t="str">
        <x:v>CAOT-2025-2 filing_directory 2026-01-31</x:v>
      </x:c>
      <x:c r="D221" s="40" t="str">
        <x:v>2026-01-31</x:v>
      </x:c>
      <x:c r="E221" s="40" t="str">
        <x:v>0002063979-26-000008</x:v>
      </x:c>
      <x:c r="F221" s="40" t="str">
        <x:v>a3da1ef31716e1ee730bd38bb1de52bf6ef325d68d59c025e14210e5114c7a72</x:v>
      </x:c>
      <x:c r="G221" s="40" t="str">
        <x:v>https://www.sec.gov/Archives/edgar/data/2063979/000206397926000008/index.json</x:v>
      </x:c>
      <x:c r="H221" s="40" t="str">
        <x:v>data/raw/CAOT-2025-2/0002063979-26-000008/index.json.gz</x:v>
      </x:c>
    </x:row>
    <x:row r="222">
      <x:c r="C222" s="40" t="str">
        <x:v>CAOT-2025-2 loan_tape 2026-01-31</x:v>
      </x:c>
      <x:c r="D222" s="40" t="str">
        <x:v>2026-01-31</x:v>
      </x:c>
      <x:c r="E222" s="40" t="str">
        <x:v>0002063979-26-000008</x:v>
      </x:c>
      <x:c r="F222" s="40" t="str">
        <x:v>c7f2965c8d374f1c948bacdaa9d137d47e84bbca411caf0143fee0ea0b2dc1ac</x:v>
      </x:c>
      <x:c r="G222" s="40" t="str">
        <x:v>https://www.sec.gov/Archives/edgar/data/2063979/000206397926000008/cart20252.xml</x:v>
      </x:c>
      <x:c r="H222" s="40" t="str">
        <x:v>data/raw/CAOT-2025-2/0002063979-26-000008/cart20252.xml.gz</x:v>
      </x:c>
    </x:row>
    <x:row r="223">
      <x:c r="C223" s="40" t="str">
        <x:v>CAOT-2025-2 asset_explanatory 2026-01-31</x:v>
      </x:c>
      <x:c r="D223" s="40" t="str">
        <x:v>2026-01-31</x:v>
      </x:c>
      <x:c r="E223" s="40" t="str">
        <x:v>0002063979-26-000008</x:v>
      </x:c>
      <x:c r="F223" s="40" t="str">
        <x:v>f627c94c8f12c3399f37f929f19d783a9a71a405432d3b8937821e2d497dc787</x:v>
      </x:c>
      <x:c r="G223" s="40" t="str">
        <x:v>https://www.sec.gov/Archives/edgar/data/2063979/000206397926000008/exhibit103november2021.xml</x:v>
      </x:c>
      <x:c r="H223" s="40" t="str">
        <x:v>data/raw/CAOT-2025-2/0002063979-26-000008/exhibit103november2021.xml.gz</x:v>
      </x:c>
    </x:row>
    <x:row r="224">
      <x:c r="C224" s="40" t="str">
        <x:v>CAOT-2025-2 filing_directory 2026-02-28</x:v>
      </x:c>
      <x:c r="D224" s="40" t="str">
        <x:v>2026-02-28</x:v>
      </x:c>
      <x:c r="E224" s="40" t="str">
        <x:v>0002063979-26-000013</x:v>
      </x:c>
      <x:c r="F224" s="40" t="str">
        <x:v>845b21c23184b6380cc35e2e90b5578b1b906788c584e4832665de0b7d80b46f</x:v>
      </x:c>
      <x:c r="G224" s="40" t="str">
        <x:v>https://www.sec.gov/Archives/edgar/data/2063979/000206397926000013/index.json</x:v>
      </x:c>
      <x:c r="H224" s="40" t="str">
        <x:v>data/raw/CAOT-2025-2/0002063979-26-000013/index.json.gz</x:v>
      </x:c>
    </x:row>
    <x:row r="225">
      <x:c r="C225" s="40" t="str">
        <x:v>CAOT-2025-2 loan_tape 2026-02-28</x:v>
      </x:c>
      <x:c r="D225" s="40" t="str">
        <x:v>2026-02-28</x:v>
      </x:c>
      <x:c r="E225" s="40" t="str">
        <x:v>0002063979-26-000013</x:v>
      </x:c>
      <x:c r="F225" s="40" t="str">
        <x:v>e106ed164ee1f155ece8c40755e05db92e8e17b4b90e6554346a3baa121762fe</x:v>
      </x:c>
      <x:c r="G225" s="40" t="str">
        <x:v>https://www.sec.gov/Archives/edgar/data/2063979/000206397926000013/cart20252.xml</x:v>
      </x:c>
      <x:c r="H225" s="40" t="str">
        <x:v>data/raw/CAOT-2025-2/0002063979-26-000013/cart20252.xml.gz</x:v>
      </x:c>
    </x:row>
    <x:row r="226">
      <x:c r="C226" s="40" t="str">
        <x:v>CAOT-2025-2 asset_explanatory 2026-02-28</x:v>
      </x:c>
      <x:c r="D226" s="40" t="str">
        <x:v>2026-02-28</x:v>
      </x:c>
      <x:c r="E226" s="40" t="str">
        <x:v>0002063979-26-000013</x:v>
      </x:c>
      <x:c r="F226" s="40" t="str">
        <x:v>f627c94c8f12c3399f37f929f19d783a9a71a405432d3b8937821e2d497dc787</x:v>
      </x:c>
      <x:c r="G226" s="40" t="str">
        <x:v>https://www.sec.gov/Archives/edgar/data/2063979/000206397926000013/exhibit103november2021.xml</x:v>
      </x:c>
      <x:c r="H226" s="40" t="str">
        <x:v>data/raw/CAOT-2025-2/0002063979-26-000013/exhibit103november2021.xml.gz</x:v>
      </x:c>
    </x:row>
    <x:row r="227">
      <x:c r="C227" s="40" t="str">
        <x:v>CAOT-2025-2 filing_directory 2026-03-31</x:v>
      </x:c>
      <x:c r="D227" s="40" t="str">
        <x:v>2026-03-31</x:v>
      </x:c>
      <x:c r="E227" s="40" t="str">
        <x:v>0002063979-26-000018</x:v>
      </x:c>
      <x:c r="F227" s="40" t="str">
        <x:v>bdb74f0b1e18bad65d15455d0b9d5f0cb31b04c4ee9203ab1a8fe2d5aecbb851</x:v>
      </x:c>
      <x:c r="G227" s="40" t="str">
        <x:v>https://www.sec.gov/Archives/edgar/data/2063979/000206397926000018/index.json</x:v>
      </x:c>
      <x:c r="H227" s="40" t="str">
        <x:v>data/raw/CAOT-2025-2/0002063979-26-000018/index.json.gz</x:v>
      </x:c>
    </x:row>
    <x:row r="228">
      <x:c r="C228" s="40" t="str">
        <x:v>CAOT-2025-2 loan_tape 2026-03-31</x:v>
      </x:c>
      <x:c r="D228" s="40" t="str">
        <x:v>2026-03-31</x:v>
      </x:c>
      <x:c r="E228" s="40" t="str">
        <x:v>0002063979-26-000018</x:v>
      </x:c>
      <x:c r="F228" s="40" t="str">
        <x:v>3bae67b3b4b29fdd3d90df8291e561de3c99cb8ab7e622d06bdd30d28ed57ef5</x:v>
      </x:c>
      <x:c r="G228" s="40" t="str">
        <x:v>https://www.sec.gov/Archives/edgar/data/2063979/000206397926000018/cart20252.xml</x:v>
      </x:c>
      <x:c r="H228" s="40" t="str">
        <x:v>data/raw/CAOT-2025-2/0002063979-26-000018/cart20252.xml.gz</x:v>
      </x:c>
    </x:row>
    <x:row r="229">
      <x:c r="C229" s="40" t="str">
        <x:v>CAOT-2025-2 asset_explanatory 2026-03-31</x:v>
      </x:c>
      <x:c r="D229" s="40" t="str">
        <x:v>2026-03-31</x:v>
      </x:c>
      <x:c r="E229" s="40" t="str">
        <x:v>0002063979-26-000018</x:v>
      </x:c>
      <x:c r="F229" s="40" t="str">
        <x:v>f627c94c8f12c3399f37f929f19d783a9a71a405432d3b8937821e2d497dc787</x:v>
      </x:c>
      <x:c r="G229" s="40" t="str">
        <x:v>https://www.sec.gov/Archives/edgar/data/2063979/000206397926000018/exhibit103november2021.xml</x:v>
      </x:c>
      <x:c r="H229" s="40" t="str">
        <x:v>data/raw/CAOT-2025-2/0002063979-26-000018/exhibit103november2021.xml.gz</x:v>
      </x:c>
    </x:row>
    <x:row r="230">
      <x:c r="C230" s="40" t="str">
        <x:v>CAOT-2025-2 filing_directory 2026-04-30</x:v>
      </x:c>
      <x:c r="D230" s="40" t="str">
        <x:v>2026-04-30</x:v>
      </x:c>
      <x:c r="E230" s="40" t="str">
        <x:v>0002063979-26-000023</x:v>
      </x:c>
      <x:c r="F230" s="40" t="str">
        <x:v>d465038b0f37749f1a93611bf7a32e93341062020ee1c9d435b08bd9ed3a7b9f</x:v>
      </x:c>
      <x:c r="G230" s="40" t="str">
        <x:v>https://www.sec.gov/Archives/edgar/data/2063979/000206397926000023/index.json</x:v>
      </x:c>
      <x:c r="H230" s="40" t="str">
        <x:v>data/raw/CAOT-2025-2/0002063979-26-000023/index.json.gz</x:v>
      </x:c>
    </x:row>
    <x:row r="231">
      <x:c r="C231" s="40" t="str">
        <x:v>CAOT-2025-2 loan_tape 2026-04-30</x:v>
      </x:c>
      <x:c r="D231" s="40" t="str">
        <x:v>2026-04-30</x:v>
      </x:c>
      <x:c r="E231" s="40" t="str">
        <x:v>0002063979-26-000023</x:v>
      </x:c>
      <x:c r="F231" s="40" t="str">
        <x:v>f42f37279a1a2b03c7f918627ba19bc60f0e61942cb356e247795e6a7e645534</x:v>
      </x:c>
      <x:c r="G231" s="40" t="str">
        <x:v>https://www.sec.gov/Archives/edgar/data/2063979/000206397926000023/cart20252.xml</x:v>
      </x:c>
      <x:c r="H231" s="40" t="str">
        <x:v>data/raw/CAOT-2025-2/0002063979-26-000023/cart20252.xml.gz</x:v>
      </x:c>
    </x:row>
    <x:row r="232">
      <x:c r="C232" s="40" t="str">
        <x:v>CAOT-2025-2 asset_explanatory 2026-04-30</x:v>
      </x:c>
      <x:c r="D232" s="40" t="str">
        <x:v>2026-04-30</x:v>
      </x:c>
      <x:c r="E232" s="40" t="str">
        <x:v>0002063979-26-000023</x:v>
      </x:c>
      <x:c r="F232" s="40" t="str">
        <x:v>f627c94c8f12c3399f37f929f19d783a9a71a405432d3b8937821e2d497dc787</x:v>
      </x:c>
      <x:c r="G232" s="40" t="str">
        <x:v>https://www.sec.gov/Archives/edgar/data/2063979/000206397926000023/exhibit103november2021.xml</x:v>
      </x:c>
      <x:c r="H232" s="40" t="str">
        <x:v>data/raw/CAOT-2025-2/0002063979-26-000023/exhibit103november2021.xml.gz</x:v>
      </x:c>
    </x:row>
    <x:row r="233">
      <x:c r="C233" s="40" t="str">
        <x:v>CAOT-2025-2 filing_directory 2026-05-31</x:v>
      </x:c>
      <x:c r="D233" s="40" t="str">
        <x:v>2026-05-31</x:v>
      </x:c>
      <x:c r="E233" s="40" t="str">
        <x:v>0002063979-26-000030</x:v>
      </x:c>
      <x:c r="F233" s="40" t="str">
        <x:v>6743d75d35e812b35c10570c387862868f837978554e43b2c3f00d671009be4f</x:v>
      </x:c>
      <x:c r="G233" s="40" t="str">
        <x:v>https://www.sec.gov/Archives/edgar/data/2063979/000206397926000030/index.json</x:v>
      </x:c>
      <x:c r="H233" s="40" t="str">
        <x:v>data/raw/CAOT-2025-2/0002063979-26-000030/index.json.gz</x:v>
      </x:c>
    </x:row>
    <x:row r="234">
      <x:c r="C234" s="40" t="str">
        <x:v>CAOT-2025-2 loan_tape 2026-05-31</x:v>
      </x:c>
      <x:c r="D234" s="40" t="str">
        <x:v>2026-05-31</x:v>
      </x:c>
      <x:c r="E234" s="40" t="str">
        <x:v>0002063979-26-000030</x:v>
      </x:c>
      <x:c r="F234" s="40" t="str">
        <x:v>ef8f4693dd8489b0f6361f1f711660217922b7b88783945b874b874b9ec57c1c</x:v>
      </x:c>
      <x:c r="G234" s="40" t="str">
        <x:v>https://www.sec.gov/Archives/edgar/data/2063979/000206397926000030/cart20252.xml</x:v>
      </x:c>
      <x:c r="H234" s="40" t="str">
        <x:v>data/raw/CAOT-2025-2/0002063979-26-000030/cart20252.xml.gz</x:v>
      </x:c>
    </x:row>
    <x:row r="235">
      <x:c r="C235" s="40" t="str">
        <x:v>CAOT-2025-2 asset_explanatory 2026-05-31</x:v>
      </x:c>
      <x:c r="D235" s="40" t="str">
        <x:v>2026-05-31</x:v>
      </x:c>
      <x:c r="E235" s="40" t="str">
        <x:v>0002063979-26-000030</x:v>
      </x:c>
      <x:c r="F235" s="40" t="str">
        <x:v>f627c94c8f12c3399f37f929f19d783a9a71a405432d3b8937821e2d497dc787</x:v>
      </x:c>
      <x:c r="G235" s="40" t="str">
        <x:v>https://www.sec.gov/Archives/edgar/data/2063979/000206397926000030/exhibit103november2021.xml</x:v>
      </x:c>
      <x:c r="H235" s="40" t="str">
        <x:v>data/raw/CAOT-2025-2/0002063979-26-000030/exhibit103november2021.xml.gz</x:v>
      </x:c>
    </x:row>
    <x:row r="236">
      <x:c r="C236" s="40" t="str">
        <x:v>CAOT-2025-2 filing_directory 2026-06-30</x:v>
      </x:c>
      <x:c r="D236" s="40" t="str">
        <x:v>2026-06-30</x:v>
      </x:c>
      <x:c r="E236" s="40" t="str">
        <x:v>0002063979-26-000035</x:v>
      </x:c>
      <x:c r="F236" s="40" t="str">
        <x:v>0602d941503a3d4b0cec3a75447ea68e63fb2db5365701cbab979d00f1724b80</x:v>
      </x:c>
      <x:c r="G236" s="40" t="str">
        <x:v>https://www.sec.gov/Archives/edgar/data/2063979/000206397926000035/index.json</x:v>
      </x:c>
      <x:c r="H236" s="40" t="str">
        <x:v>data/raw/CAOT-2025-2/0002063979-26-000035/index.json.gz</x:v>
      </x:c>
    </x:row>
    <x:row r="237">
      <x:c r="C237" s="40" t="str">
        <x:v>CAOT-2025-2 loan_tape 2026-06-30</x:v>
      </x:c>
      <x:c r="D237" s="40" t="str">
        <x:v>2026-06-30</x:v>
      </x:c>
      <x:c r="E237" s="40" t="str">
        <x:v>0002063979-26-000035</x:v>
      </x:c>
      <x:c r="F237" s="40" t="str">
        <x:v>55d6183f3f4e314b478d40714b4df125ee744eeba33ea040828585e793e4bd3b</x:v>
      </x:c>
      <x:c r="G237" s="40" t="str">
        <x:v>https://www.sec.gov/Archives/edgar/data/2063979/000206397926000035/cart20252.xml</x:v>
      </x:c>
      <x:c r="H237" s="40" t="str">
        <x:v>data/raw/CAOT-2025-2/0002063979-26-000035/cart20252.xml.gz</x:v>
      </x:c>
    </x:row>
    <x:row r="238">
      <x:c r="C238" s="40" t="str">
        <x:v>CAOT-2025-2 asset_explanatory 2026-06-30</x:v>
      </x:c>
      <x:c r="D238" s="40" t="str">
        <x:v>2026-06-30</x:v>
      </x:c>
      <x:c r="E238" s="40" t="str">
        <x:v>0002063979-26-000035</x:v>
      </x:c>
      <x:c r="F238" s="40" t="str">
        <x:v>f627c94c8f12c3399f37f929f19d783a9a71a405432d3b8937821e2d497dc787</x:v>
      </x:c>
      <x:c r="G238" s="40" t="str">
        <x:v>https://www.sec.gov/Archives/edgar/data/2063979/000206397926000035/exhibit103november2021.xml</x:v>
      </x:c>
      <x:c r="H238" s="40" t="str">
        <x:v>data/raw/CAOT-2025-2/0002063979-26-000035/exhibit103november2021.xml.gz</x:v>
      </x:c>
    </x:row>
    <x:row r="239">
      <x:c r="C239" s="40" t="str">
        <x:v>CAOT-2025-2 filing_directory 2026-07-31</x:v>
      </x:c>
      <x:c r="D239" s="40" t="str">
        <x:v>2026-07-31</x:v>
      </x:c>
      <x:c r="E239" s="40" t="str">
        <x:v>0002063979-26-000040</x:v>
      </x:c>
      <x:c r="F239" s="40" t="str">
        <x:v>066b825fd4257ec735ba40e2550cdedd864cbc0699f86c3689cdcc79eec9c5de</x:v>
      </x:c>
      <x:c r="G239" s="40" t="str">
        <x:v>https://www.sec.gov/Archives/edgar/data/2063979/000206397926000040/index.json</x:v>
      </x:c>
      <x:c r="H239" s="40" t="str">
        <x:v>data/raw/CAOT-2025-2/0002063979-26-000040/index.json.gz</x:v>
      </x:c>
    </x:row>
    <x:row r="240">
      <x:c r="C240" s="40" t="str">
        <x:v>CAOT-2025-2 loan_tape 2026-07-31</x:v>
      </x:c>
      <x:c r="D240" s="40" t="str">
        <x:v>2026-07-31</x:v>
      </x:c>
      <x:c r="E240" s="40" t="str">
        <x:v>0002063979-26-000040</x:v>
      </x:c>
      <x:c r="F240" s="40" t="str">
        <x:v>96febe1344e37a3f3c72a993375e9cd4cbfc5e9001b1f1a0af002c2f983339ff</x:v>
      </x:c>
      <x:c r="G240" s="40" t="str">
        <x:v>https://www.sec.gov/Archives/edgar/data/2063979/000206397926000040/cart20252.xml</x:v>
      </x:c>
      <x:c r="H240" s="40" t="str">
        <x:v>data/raw/CAOT-2025-2/0002063979-26-000040/cart20252.xml.gz</x:v>
      </x:c>
    </x:row>
    <x:row r="241">
      <x:c r="C241" s="40" t="str">
        <x:v>CAOT-2025-2 asset_explanatory 2026-07-31</x:v>
      </x:c>
      <x:c r="D241" s="40" t="str">
        <x:v>2026-07-31</x:v>
      </x:c>
      <x:c r="E241" s="40" t="str">
        <x:v>0002063979-26-000040</x:v>
      </x:c>
      <x:c r="F241" s="40" t="str">
        <x:v>f627c94c8f12c3399f37f929f19d783a9a71a405432d3b8937821e2d497dc787</x:v>
      </x:c>
      <x:c r="G241" s="40" t="str">
        <x:v>https://www.sec.gov/Archives/edgar/data/2063979/000206397926000040/exhibit103november2021.xml</x:v>
      </x:c>
      <x:c r="H241" s="40" t="str">
        <x:v>data/raw/CAOT-2025-2/0002063979-26-000040/exhibit103november2021.xml.gz</x:v>
      </x:c>
    </x:row>
    <x:row r="242">
      <x:c r="C242" s="40" t="str">
        <x:v>CAOT-2025-2 filing_directory 2026-08-31</x:v>
      </x:c>
      <x:c r="D242" s="40" t="str">
        <x:v>2026-08-31</x:v>
      </x:c>
      <x:c r="E242" s="40" t="str">
        <x:v>0002063979-26-000045</x:v>
      </x:c>
      <x:c r="F242" s="40" t="str">
        <x:v>42088edffe46d4c5dacd7c141dc23399460c73cdbd204cbf7c5b6687aadaa02f</x:v>
      </x:c>
      <x:c r="G242" s="40" t="str">
        <x:v>https://www.sec.gov/Archives/edgar/data/2063979/000206397926000045/index.json</x:v>
      </x:c>
      <x:c r="H242" s="40" t="str">
        <x:v>data/raw/CAOT-2025-2/0002063979-26-000045/index.json.gz</x:v>
      </x:c>
    </x:row>
    <x:row r="243">
      <x:c r="C243" s="40" t="str">
        <x:v>CAOT-2025-2 loan_tape 2026-08-31</x:v>
      </x:c>
      <x:c r="D243" s="40" t="str">
        <x:v>2026-08-31</x:v>
      </x:c>
      <x:c r="E243" s="40" t="str">
        <x:v>0002063979-26-000045</x:v>
      </x:c>
      <x:c r="F243" s="40" t="str">
        <x:v>61c380e6a4588a09fb9740f5ea5c0734349eaaa6ff1d59f6a78d78a09b0677fe</x:v>
      </x:c>
      <x:c r="G243" s="40" t="str">
        <x:v>https://www.sec.gov/Archives/edgar/data/2063979/000206397926000045/cart20252.xml</x:v>
      </x:c>
      <x:c r="H243" s="40" t="str">
        <x:v>data/raw/CAOT-2025-2/0002063979-26-000045/cart20252.xml.gz</x:v>
      </x:c>
    </x:row>
    <x:row r="244">
      <x:c r="C244" s="40" t="str">
        <x:v>CAOT-2025-2 asset_explanatory 2026-08-31</x:v>
      </x:c>
      <x:c r="D244" s="40" t="str">
        <x:v>2026-08-31</x:v>
      </x:c>
      <x:c r="E244" s="40" t="str">
        <x:v>0002063979-26-000045</x:v>
      </x:c>
      <x:c r="F244" s="40" t="str">
        <x:v>f627c94c8f12c3399f37f929f19d783a9a71a405432d3b8937821e2d497dc787</x:v>
      </x:c>
      <x:c r="G244" s="40" t="str">
        <x:v>https://www.sec.gov/Archives/edgar/data/2063979/000206397926000045/exhibit103november2021.xml</x:v>
      </x:c>
      <x:c r="H244" s="40" t="str">
        <x:v>data/raw/CAOT-2025-2/0002063979-26-000045/exhibit103november2021.xml.gz</x:v>
      </x:c>
    </x:row>
    <x:row r="245">
      <x:c r="C245" s="40" t="str">
        <x:v>SEC official_xml_schema </x:v>
      </x:c>
      <x:c r="D245" s="40" t="str"/>
      <x:c r="E245" s="40" t="str"/>
      <x:c r="F245" s="40" t="str">
        <x:v>c8ab149e69440aa691979e85c1669e0d04e91471cf06505c9a8c78f4fcbcb865</x:v>
      </x:c>
      <x:c r="G245" s="40" t="str">
        <x:v>https://www.sec.gov/info/edgar/specifications/absxml-1.9.zip</x:v>
      </x:c>
      <x:c r="H245" s="40" t="str">
        <x:v>data/raw/schema/absxml-1.9.zip.gz</x:v>
      </x:c>
    </x:row>
    <x:row r="246">
      <x:c r="C246" s="40" t="str">
        <x:v>CAOT-2025-2 final_prospectus </x:v>
      </x:c>
      <x:c r="D246" s="40" t="str"/>
      <x:c r="E246" s="40" t="str">
        <x:v>0001193125-25-099841</x:v>
      </x:c>
      <x:c r="F246" s="40" t="str">
        <x:v>549cb640f0b590d3be4dc38879a0aea4337243190eb82f1b6ed586b071a70ea1</x:v>
      </x:c>
      <x:c r="G246" s="40" t="str">
        <x:v>https://www.sec.gov/Archives/edgar/data/2063979/000119312525099841/d30805d424b5.htm</x:v>
      </x:c>
      <x:c r="H246" s="40" t="str">
        <x:v>data/raw/legal/d30805d424b5.htm.gz</x:v>
      </x:c>
    </x:row>
    <x:row r="247">
      <x:c r="C247" s="40" t="str">
        <x:v>CAOT-2024-2 executed_legal </x:v>
      </x:c>
      <x:c r="D247" s="40" t="str"/>
      <x:c r="E247" s="40" t="str">
        <x:v>0001193125-24-109815</x:v>
      </x:c>
      <x:c r="F247" s="40" t="str">
        <x:v>6941b64f95a35d9670a3992ff9df631cb21a0a8e7d928bd467c5e296e6f3d12f</x:v>
      </x:c>
      <x:c r="G247" s="40" t="str">
        <x:v>https://www.sec.gov/Archives/edgar/data/1259380/000119312524109815/d801955dex991.htm</x:v>
      </x:c>
      <x:c r="H247" s="40" t="str">
        <x:v>data/raw/legal/d801955dex991.htm.gz</x:v>
      </x:c>
    </x:row>
    <x:row r="248">
      <x:c r="C248" s="40" t="str">
        <x:v>CAOT-2024-2 final_prospectus </x:v>
      </x:c>
      <x:c r="D248" s="40" t="str"/>
      <x:c r="E248" s="40" t="str">
        <x:v>0001193125-24-102541</x:v>
      </x:c>
      <x:c r="F248" s="40" t="str">
        <x:v>04f475a85c48c4da7fce28cae7c9ca54af3dd16b9ba4e772365f178824c663ea</x:v>
      </x:c>
      <x:c r="G248" s="40" t="str">
        <x:v>https://www.sec.gov/Archives/edgar/data/2016948/000119312524102541/d814307d424b5.htm</x:v>
      </x:c>
      <x:c r="H248" s="40" t="str">
        <x:v>data/raw/legal/d814307d424b5.htm.gz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1" hidden="0" customWidth="1"/>
    <x:col min="4" max="4" width="27" hidden="0" customWidth="1"/>
    <x:col min="5" max="5" width="9" hidden="0" customWidth="1"/>
    <x:col min="6" max="6" width="22" hidden="0" customWidth="1"/>
    <x:col min="7" max="7" width="22" hidden="0" customWidth="1"/>
    <x:col min="8" max="8" width="22" hidden="0" customWidth="1"/>
    <x:col min="9" max="9" width="19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Withheld servicing cash: forecast diagnostics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2"/>
      <x:c r="B5" s="2"/>
      <x:c r="C5" s="19" t="str">
        <x:v>Deal</x:v>
      </x:c>
      <x:c r="D5" s="20" t="str">
        <x:v>Cash quantity</x:v>
      </x:c>
      <x:c r="E5" s="20" t="str">
        <x:v>Months</x:v>
      </x:c>
      <x:c r="F5" s="20" t="str">
        <x:v>Baseline MAE</x:v>
      </x:c>
      <x:c r="G5" s="20" t="str">
        <x:v>Model MAE</x:v>
      </x:c>
      <x:c r="H5" s="20" t="str">
        <x:v>Model minus baseline</x:v>
      </x:c>
      <x:c r="I5" s="21" t="str">
        <x:v>MAE improvement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0" customHeight="1">
      <x:c r="A6" s="2"/>
      <x:c r="B6" s="2"/>
      <x:c r="C6" s="2" t="str">
        <x:v>CAOT-2024-2</x:v>
      </x:c>
      <x:c r="D6" s="2" t="str">
        <x:v>gross defaults</x:v>
      </x:c>
      <x:c r="E6" s="2" t="n">
        <x:v>7</x:v>
      </x:c>
      <x:c r="F6" s="42" t="n">
        <x:v>1103932.2442857143</x:v>
      </x:c>
      <x:c r="G6" s="42" t="n">
        <x:v>831886.0157142857</x:v>
      </x:c>
      <x:c r="H6" s="43" t="n">
        <x:f>G6-F6</x:f>
        <x:v>-272046.2285714287</x:v>
      </x:c>
      <x:c r="I6" s="44" t="n">
        <x:f>IF(F6&gt;0,(F6-G6)/F6,"n.a.")</x:f>
        <x:v>0.2464338096650604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0" customHeight="1">
      <x:c r="A7" s="2"/>
      <x:c r="B7" s="2"/>
      <x:c r="C7" s="2" t="str">
        <x:v>CAOT-2024-2</x:v>
      </x:c>
      <x:c r="D7" s="2" t="str">
        <x:v>principal collections</x:v>
      </x:c>
      <x:c r="E7" s="2" t="n">
        <x:v>7</x:v>
      </x:c>
      <x:c r="F7" s="42" t="n">
        <x:v>882334.9</x:v>
      </x:c>
      <x:c r="G7" s="42" t="n">
        <x:v>4028681.684285714</x:v>
      </x:c>
      <x:c r="H7" s="43" t="n">
        <x:f>G7-F7</x:f>
        <x:v>3146346.784285714</x:v>
      </x:c>
      <x:c r="I7" s="44" t="n">
        <x:f>IF(F7&gt;0,(F7-G7)/F7,"n.a.")</x:f>
        <x:v>-3.5659326002923764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0" customHeight="1">
      <x:c r="A8" s="2"/>
      <x:c r="B8" s="2"/>
      <x:c r="C8" s="2" t="str">
        <x:v>CAOT-2024-2</x:v>
      </x:c>
      <x:c r="D8" s="2" t="str">
        <x:v>interest collections</x:v>
      </x:c>
      <x:c r="E8" s="2" t="n">
        <x:v>7</x:v>
      </x:c>
      <x:c r="F8" s="42" t="n">
        <x:v>96595.80285714286</x:v>
      </x:c>
      <x:c r="G8" s="42" t="n">
        <x:v>89489.82</x:v>
      </x:c>
      <x:c r="H8" s="43" t="n">
        <x:f>G8-F8</x:f>
        <x:v>-7105.982857142852</x:v>
      </x:c>
      <x:c r="I8" s="44" t="n">
        <x:f>IF(F8&gt;0,(F8-G8)/F8,"n.a.")</x:f>
        <x:v>0.07356409540538741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0" customHeight="1">
      <x:c r="A9" s="2"/>
      <x:c r="B9" s="2"/>
      <x:c r="C9" s="2" t="str">
        <x:v>CAOT-2024-2</x:v>
      </x:c>
      <x:c r="D9" s="2" t="str">
        <x:v>ending pool</x:v>
      </x:c>
      <x:c r="E9" s="2" t="n">
        <x:v>7</x:v>
      </x:c>
      <x:c r="F9" s="42" t="n">
        <x:v>2261213.952857143</x:v>
      </x:c>
      <x:c r="G9" s="42" t="n">
        <x:v>6414071.284285715</x:v>
      </x:c>
      <x:c r="H9" s="43" t="n">
        <x:f>G9-F9</x:f>
        <x:v>4152857.331428572</x:v>
      </x:c>
      <x:c r="I9" s="44" t="n">
        <x:f>IF(F9&gt;0,(F9-G9)/F9,"n.a.")</x:f>
        <x:v>-1.8365609880397453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0" customHeight="1">
      <x:c r="A10" s="2"/>
      <x:c r="B10" s="2"/>
      <x:c r="C10" s="2" t="str">
        <x:v>CAOT-2025-2</x:v>
      </x:c>
      <x:c r="D10" s="2" t="str">
        <x:v>gross defaults</x:v>
      </x:c>
      <x:c r="E10" s="2" t="n">
        <x:v>7</x:v>
      </x:c>
      <x:c r="F10" s="42" t="n">
        <x:v>607571.74</x:v>
      </x:c>
      <x:c r="G10" s="42" t="n">
        <x:v>463350.52571428573</x:v>
      </x:c>
      <x:c r="H10" s="43" t="n">
        <x:f>G10-F10</x:f>
        <x:v>-144221.21428571426</x:v>
      </x:c>
      <x:c r="I10" s="44" t="n">
        <x:f>IF(F10&gt;0,(F10-G10)/F10,"n.a.")</x:f>
        <x:v>0.23737314425735842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0" customHeight="1">
      <x:c r="A11" s="2"/>
      <x:c r="B11" s="2"/>
      <x:c r="C11" s="2" t="str">
        <x:v>CAOT-2025-2</x:v>
      </x:c>
      <x:c r="D11" s="2" t="str">
        <x:v>principal collections</x:v>
      </x:c>
      <x:c r="E11" s="2" t="n">
        <x:v>7</x:v>
      </x:c>
      <x:c r="F11" s="42" t="n">
        <x:v>1209562.6285714286</x:v>
      </x:c>
      <x:c r="G11" s="42" t="n">
        <x:v>4505433.617142857</x:v>
      </x:c>
      <x:c r="H11" s="43" t="n">
        <x:f>G11-F11</x:f>
        <x:v>3295870.9885714287</x:v>
      </x:c>
      <x:c r="I11" s="44" t="n">
        <x:f>IF(F11&gt;0,(F11-G11)/F11,"n.a.")</x:f>
        <x:v>-2.7248452545727746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0" customHeight="1">
      <x:c r="A12" s="2"/>
      <x:c r="B12" s="2"/>
      <x:c r="C12" s="2" t="str">
        <x:v>CAOT-2025-2</x:v>
      </x:c>
      <x:c r="D12" s="2" t="str">
        <x:v>interest collections</x:v>
      </x:c>
      <x:c r="E12" s="2" t="n">
        <x:v>7</x:v>
      </x:c>
      <x:c r="F12" s="42" t="n">
        <x:v>153077.96857142856</x:v>
      </x:c>
      <x:c r="G12" s="42" t="n">
        <x:v>121736.91142857143</x:v>
      </x:c>
      <x:c r="H12" s="43" t="n">
        <x:f>G12-F12</x:f>
        <x:v>-31341.057142857127</x:v>
      </x:c>
      <x:c r="I12" s="44" t="n">
        <x:f>IF(F12&gt;0,(F12-G12)/F12,"n.a.")</x:f>
        <x:v>0.20473917595942556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0" customHeight="1">
      <x:c r="A13" s="2"/>
      <x:c r="B13" s="2"/>
      <x:c r="C13" s="2" t="str">
        <x:v>CAOT-2025-2</x:v>
      </x:c>
      <x:c r="D13" s="2" t="str">
        <x:v>ending pool</x:v>
      </x:c>
      <x:c r="E13" s="2" t="n">
        <x:v>7</x:v>
      </x:c>
      <x:c r="F13" s="42" t="n">
        <x:v>1617794.3114285714</x:v>
      </x:c>
      <x:c r="G13" s="42" t="n">
        <x:v>8221059.982857143</x:v>
      </x:c>
      <x:c r="H13" s="43" t="n">
        <x:f>G13-F13</x:f>
        <x:v>6603265.671428571</x:v>
      </x:c>
      <x:c r="I13" s="44" t="n">
        <x:f>IF(F13&gt;0,(F13-G13)/F13,"n.a.")</x:f>
        <x:v>-4.0816472309125915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0" customHeight="1">
      <x:c r="A17" s="2"/>
      <x:c r="B17" s="2"/>
      <x:c r="C17" s="26" t="str">
        <x:v>USD MAE versus future certificate cash; lower is better.</x:v>
      </x:c>
      <x:c r="D17" s="26"/>
      <x:c r="E17" s="26"/>
      <x:c r="F17" s="26"/>
      <x:c r="G17" s="26"/>
      <x:c r="H17" s="26"/>
      <x:c r="I17" s="26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0" customHeight="1">
      <x:c r="A18" s="2"/>
      <x:c r="B18" s="2"/>
      <x:c r="C18" s="26" t="str">
        <x:v>Positive improvement means lower model error. Negative means worse.</x:v>
      </x:c>
      <x:c r="D18" s="26"/>
      <x:c r="E18" s="26"/>
      <x:c r="F18" s="26"/>
      <x:c r="G18" s="26"/>
      <x:c r="H18" s="26"/>
      <x:c r="I18" s="26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0" customHeight="1">
      <x:c r="A19" s="2"/>
      <x:c r="B19" s="2"/>
      <x:c r="C19" s="26" t="str">
        <x:v>The fitted model improves unseen-deal defaults and interest,</x:v>
      </x:c>
      <x:c r="D19" s="26"/>
      <x:c r="E19" s="26"/>
      <x:c r="F19" s="26"/>
      <x:c r="G19" s="26"/>
      <x:c r="H19" s="26"/>
      <x:c r="I19" s="26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0" customHeight="1">
      <x:c r="A20" s="2"/>
      <x:c r="B20" s="2"/>
      <x:c r="C20" s="26" t="str">
        <x:v>but materially worsens principal collections and pool runoff.</x:v>
      </x:c>
      <x:c r="D20" s="26"/>
      <x:c r="E20" s="26"/>
      <x:c r="F20" s="26"/>
      <x:c r="G20" s="26"/>
      <x:c r="H20" s="26"/>
      <x:c r="I20" s="26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0" customHeight="1">
      <x:c r="A21" s="2"/>
      <x:c r="B21" s="2"/>
      <x:c r="C21" s="26" t="str">
        <x:v>Scenarios remain illustrative assumptions, not validated investment forecasts.</x:v>
      </x:c>
      <x:c r="D21" s="26"/>
      <x:c r="E21" s="26"/>
      <x:c r="F21" s="26"/>
      <x:c r="G21" s="26"/>
      <x:c r="H21" s="26"/>
      <x:c r="I21" s="26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0" customHeight="1">
      <x:c r="A22" s="2"/>
      <x:c r="B22" s="2"/>
      <x:c r="C22" s="26" t="str">
        <x:v>MAE inputs are exported Python diagnostics; Excel calculates comparisons.</x:v>
      </x:c>
      <x:c r="D22" s="26"/>
      <x:c r="E22" s="26"/>
      <x:c r="F22" s="26"/>
      <x:c r="G22" s="26"/>
      <x:c r="H22" s="26"/>
      <x:c r="I22" s="26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0" customHeight="1">
      <x:c r="A23" s="2"/>
      <x:c r="B23" s="2"/>
      <x:c r="C23" s="26" t="str">
        <x:v>The borrower event target is first-observed default disclosure.</x:v>
      </x:c>
      <x:c r="D23" s="26"/>
      <x:c r="E23" s="26"/>
      <x:c r="F23" s="26"/>
      <x:c r="G23" s="26"/>
      <x:c r="H23" s="26"/>
      <x:c r="I23" s="26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0" customHeight="1">
      <x:c r="A24" s="2"/>
      <x:c r="B24" s="2"/>
      <x:c r="C24" s="26" t="str">
        <x:v>Effective default dates can precede first public observation.</x:v>
      </x:c>
      <x:c r="D24" s="26"/>
      <x:c r="E24" s="26"/>
      <x:c r="F24" s="26"/>
      <x:c r="G24" s="26"/>
      <x:c r="H24" s="26"/>
      <x:c r="I24" s="26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0" customHeight="1">
      <x:c r="A25" s="2"/>
      <x:c r="B25" s="2"/>
      <x:c r="C25" s="26" t="str">
        <x:v>Source-taxonomy differences remain included in measured cash error.</x:v>
      </x:c>
      <x:c r="D25" s="26"/>
      <x:c r="E25" s="26"/>
      <x:c r="F25" s="26"/>
      <x:c r="G25" s="26"/>
      <x:c r="H25" s="26"/>
      <x:c r="I25" s="26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0" customHeight="1">
      <x:c r="A26" s="2"/>
      <x:c r="B26" s="2"/>
      <x:c r="C26" s="26" t="str">
        <x:v>Monthly predictions, public origin dates and assumptions: platform_results.json.</x:v>
      </x:c>
      <x:c r="D26" s="26"/>
      <x:c r="E26" s="26"/>
      <x:c r="F26" s="26"/>
      <x:c r="G26" s="26"/>
      <x:c r="H26" s="26"/>
      <x:c r="I26" s="26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0" customHeight="1">
      <x:c r="A28" s="2"/>
      <x:c r="B28" s="2"/>
      <x:c r="C28" s="26" t="str">
        <x:v>Supplemental after-inspection study: see the dashboard Validation section.</x:v>
      </x:c>
      <x:c r="D28" s="26"/>
      <x:c r="E28" s="26"/>
      <x:c r="F28" s="26"/>
      <x:c r="G28" s="26"/>
      <x:c r="H28" s="26"/>
      <x:c r="I28" s="26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</x:sheetData>
  <x:conditionalFormatting sqref="H6:H13">
    <x:cfRule type="expression" dxfId="0" priority="1">
      <x:formula>H6&gt;0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3" hidden="0" customWidth="1"/>
    <x:col min="4" max="4" width="35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2"/>
      <x:c r="B2" s="2"/>
      <x:c r="C2" s="4" t="str">
        <x:v>Independent financial reconciliation (USD)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 t="str">
        <x:v>Case selected:</x:v>
      </x:c>
      <x:c r="D4" s="30" t="str">
        <x:f>Controls!D6</x:f>
        <x:v>Central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8" customHeight="1">
      <x:c r="A7" s="2"/>
      <x:c r="B7" s="2"/>
      <x:c r="C7" s="19" t="str">
        <x:v>Review item</x:v>
      </x:c>
      <x:c r="D7" s="20" t="str">
        <x:v>Calculated</x:v>
      </x:c>
      <x:c r="E7" s="20" t="str">
        <x:v>Observed / control</x:v>
      </x:c>
      <x:c r="F7" s="21" t="str">
        <x:v>Difference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0" customHeight="1">
      <x:c r="A8" s="2"/>
      <x:c r="B8" s="2"/>
      <x:c r="C8" s="2" t="str">
        <x:v>Note opening equals paid principal + losses + closing</x:v>
      </x:c>
      <x:c r="D8" s="63" t="n">
        <x:f>SUM(Cashflow!G8:G74)+SUM(Cashflow!H8:H74)+Cashflow!I74</x:f>
        <x:v>14110000</x:v>
      </x:c>
      <x:c r="E8" s="63" t="n">
        <x:f>Cashflow!E8</x:f>
        <x:v>14110000</x:v>
      </x:c>
      <x:c r="F8" s="63" t="n">
        <x:f>D8-E8</x:f>
        <x:v>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0" customHeight="1">
      <x:c r="A9" s="2"/>
      <x:c r="B9" s="2"/>
      <x:c r="C9" s="2" t="str">
        <x:v>Maximum monthly roll-forward residual</x:v>
      </x:c>
      <x:c r="D9" s="63" t="n">
        <x:f>MAX(Cashflow!P8:P74)</x:f>
        <x:v>0</x:v>
      </x:c>
      <x:c r="E9" s="63" t="n">
        <x:f>MIN(Cashflow!P8:P74)</x:f>
        <x:v>0</x:v>
      </x:c>
      <x:c r="F9" s="63" t="n">
        <x:f>MAX(ABS(D9),ABS(E9))</x:f>
        <x:v>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0" customHeight="1">
      <x:c r="A10" s="2"/>
      <x:c r="B10" s="2"/>
      <x:c r="C10" s="2" t="str">
        <x:v>Total modeled source rows</x:v>
      </x:c>
      <x:c r="D10" s="63" t="n">
        <x:f>SUM(Cashflow!S8:S74)</x:f>
        <x:v>61</x:v>
      </x:c>
      <x:c r="E10" s="63" t="n">
        <x:f>Controls!D12</x:f>
        <x:v>61</x:v>
      </x:c>
      <x:c r="F10" s="63" t="n">
        <x:f>D10-E10</x:f>
        <x:v>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0" customHeight="1">
      <x:c r="A11" s="2"/>
      <x:c r="B11" s="2"/>
      <x:c r="C11" s="2" t="str">
        <x:v>Maximum source rows per month</x:v>
      </x:c>
      <x:c r="D11" s="63" t="n">
        <x:f>MAX(Cashflow!S8:S74)</x:f>
        <x:v>1</x:v>
      </x:c>
      <x:c r="E11" s="63" t="n">
        <x:v>1</x:v>
      </x:c>
      <x:c r="F11" s="63" t="n">
        <x:f>D11-E11</x:f>
        <x:v>0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8" customHeight="1">
      <x:c r="A14" s="2"/>
      <x:c r="B14" s="2"/>
      <x:c r="C14" s="19" t="str">
        <x:v>Period</x:v>
      </x:c>
      <x:c r="D14" s="20" t="str">
        <x:v>Replayed quantity</x:v>
      </x:c>
      <x:c r="E14" s="20" t="str">
        <x:v>Calculated replay</x:v>
      </x:c>
      <x:c r="F14" s="20" t="str">
        <x:v>Servicer-reported</x:v>
      </x:c>
      <x:c r="G14" s="21" t="str">
        <x:v>Difference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0" customHeight="1">
      <x:c r="A15" s="2"/>
      <x:c r="B15" s="2"/>
      <x:c r="C15" s="31" t="n">
        <x:v>45808</x:v>
      </x:c>
      <x:c r="D15" s="2" t="str">
        <x:v>servicing_fee</x:v>
      </x:c>
      <x:c r="E15" s="64" t="n">
        <x:v>1133885.77</x:v>
      </x:c>
      <x:c r="F15" s="64" t="n">
        <x:f>Actuals!E6</x:f>
        <x:v>1133885.77</x:v>
      </x:c>
      <x:c r="G15" s="43" t="n">
        <x:f>E15-F15</x:f>
        <x:v>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0" customHeight="1">
      <x:c r="A16" s="2"/>
      <x:c r="B16" s="2"/>
      <x:c r="C16" s="31" t="n">
        <x:v>45808</x:v>
      </x:c>
      <x:c r="D16" s="2" t="str">
        <x:v>total_note_interest</x:v>
      </x:c>
      <x:c r="E16" s="64" t="n">
        <x:v>5297001.06</x:v>
      </x:c>
      <x:c r="F16" s="64" t="n">
        <x:f>Actuals!E7</x:f>
        <x:v>5297001.06</x:v>
      </x:c>
      <x:c r="G16" s="43" t="n">
        <x:f>E16-F16</x:f>
        <x:v>0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0" customHeight="1">
      <x:c r="A17" s="2"/>
      <x:c r="B17" s="2"/>
      <x:c r="C17" s="31" t="n">
        <x:v>45808</x:v>
      </x:c>
      <x:c r="D17" s="2" t="str">
        <x:v>total_note_principal</x:v>
      </x:c>
      <x:c r="E17" s="64" t="n">
        <x:v>46427656.36</x:v>
      </x:c>
      <x:c r="F17" s="64" t="n">
        <x:f>Actuals!E8</x:f>
        <x:v>46427732.44</x:v>
      </x:c>
      <x:c r="G17" s="43" t="n">
        <x:f>E17-F17</x:f>
        <x:v>-76.07999999821186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0" customHeight="1">
      <x:c r="A18" s="2"/>
      <x:c r="B18" s="2"/>
      <x:c r="C18" s="31" t="n">
        <x:v>45808</x:v>
      </x:c>
      <x:c r="D18" s="2" t="str">
        <x:v>residual_distribution</x:v>
      </x:c>
      <x:c r="E18" s="64" t="n">
        <x:v>4226358.63</x:v>
      </x:c>
      <x:c r="F18" s="64" t="n">
        <x:f>Actuals!E9</x:f>
        <x:v>4226282.55</x:v>
      </x:c>
      <x:c r="G18" s="43" t="n">
        <x:f>E18-F18</x:f>
        <x:v>76.0800000000745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0" customHeight="1">
      <x:c r="A19" s="2"/>
      <x:c r="B19" s="2"/>
      <x:c r="C19" s="31" t="n">
        <x:v>45808</x:v>
      </x:c>
      <x:c r="D19" s="2" t="str">
        <x:v>reserve_deposit</x:v>
      </x:c>
      <x:c r="E19" s="64" t="n">
        <x:v>0</x:v>
      </x:c>
      <x:c r="F19" s="64" t="n">
        <x:f>Actuals!E10</x:f>
        <x:v>0</x:v>
      </x:c>
      <x:c r="G19" s="43" t="n">
        <x:f>E19-F19</x:f>
        <x:v>0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0" customHeight="1">
      <x:c r="A20" s="2"/>
      <x:c r="B20" s="2"/>
      <x:c r="C20" s="31" t="n">
        <x:v>45808</x:v>
      </x:c>
      <x:c r="D20" s="2" t="str">
        <x:v>reserve_end</x:v>
      </x:c>
      <x:c r="E20" s="64" t="n">
        <x:v>3526448.55</x:v>
      </x:c>
      <x:c r="F20" s="64" t="n">
        <x:f>Actuals!E11</x:f>
        <x:v>3526448.55</x:v>
      </x:c>
      <x:c r="G20" s="43" t="n">
        <x:f>E20-F20</x:f>
        <x:v>0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0" customHeight="1">
      <x:c r="A21" s="2"/>
      <x:c r="B21" s="2"/>
      <x:c r="C21" s="31" t="n">
        <x:v>45808</x:v>
      </x:c>
      <x:c r="D21" s="2" t="str">
        <x:v>reserve_release</x:v>
      </x:c>
      <x:c r="E21" s="64" t="n">
        <x:v>12211.26</x:v>
      </x:c>
      <x:c r="F21" s="64" t="n">
        <x:f>Actuals!E12</x:f>
        <x:v>12211.26</x:v>
      </x:c>
      <x:c r="G21" s="43" t="n">
        <x:f>E21-F21</x:f>
        <x:v>0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0" customHeight="1">
      <x:c r="A22" s="2"/>
      <x:c r="B22" s="2"/>
      <x:c r="C22" s="31" t="n">
        <x:v>45808</x:v>
      </x:c>
      <x:c r="D22" s="2" t="str">
        <x:v>interest.A1</x:v>
      </x:c>
      <x:c r="E22" s="64" t="n">
        <x:v>926498.39</x:v>
      </x:c>
      <x:c r="F22" s="64" t="n">
        <x:f>Actuals!E13</x:f>
        <x:v>926498.39</x:v>
      </x:c>
      <x:c r="G22" s="43" t="n">
        <x:f>E22-F22</x:f>
        <x:v>0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0" customHeight="1">
      <x:c r="A23" s="2"/>
      <x:c r="B23" s="2"/>
      <x:c r="C23" s="31" t="n">
        <x:v>45808</x:v>
      </x:c>
      <x:c r="D23" s="2" t="str">
        <x:v>interest.A2a</x:v>
      </x:c>
      <x:c r="E23" s="64" t="n">
        <x:v>1338750</x:v>
      </x:c>
      <x:c r="F23" s="64" t="n">
        <x:f>Actuals!E14</x:f>
        <x:v>1338750</x:v>
      </x:c>
      <x:c r="G23" s="43" t="n">
        <x:f>E23-F23</x:f>
        <x:v>0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0" customHeight="1">
      <x:c r="A24" s="2"/>
      <x:c r="B24" s="2"/>
      <x:c r="C24" s="31" t="n">
        <x:v>45808</x:v>
      </x:c>
      <x:c r="D24" s="2" t="str">
        <x:v>interest.A2b</x:v>
      </x:c>
      <x:c r="E24" s="64" t="n">
        <x:v>721020.84</x:v>
      </x:c>
      <x:c r="F24" s="64" t="n">
        <x:f>Actuals!E15</x:f>
        <x:v>721020.84</x:v>
      </x:c>
      <x:c r="G24" s="43" t="n">
        <x:f>E24-F24</x:f>
        <x:v>0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0" customHeight="1">
      <x:c r="A25" s="2"/>
      <x:c r="B25" s="2"/>
      <x:c r="C25" s="31" t="n">
        <x:v>45808</x:v>
      </x:c>
      <x:c r="D25" s="2" t="str">
        <x:v>interest.A3</x:v>
      </x:c>
      <x:c r="E25" s="64" t="n">
        <x:v>1687840</x:v>
      </x:c>
      <x:c r="F25" s="64" t="n">
        <x:f>Actuals!E16</x:f>
        <x:v>1687840</x:v>
      </x:c>
      <x:c r="G25" s="43" t="n">
        <x:f>E25-F25</x:f>
        <x:v>0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0" customHeight="1">
      <x:c r="A26" s="2"/>
      <x:c r="B26" s="2"/>
      <x:c r="C26" s="31" t="n">
        <x:v>45808</x:v>
      </x:c>
      <x:c r="D26" s="2" t="str">
        <x:v>interest.A4</x:v>
      </x:c>
      <x:c r="E26" s="64" t="n">
        <x:v>344875</x:v>
      </x:c>
      <x:c r="F26" s="64" t="n">
        <x:f>Actuals!E17</x:f>
        <x:v>344875</x:v>
      </x:c>
      <x:c r="G26" s="43" t="n">
        <x:f>E26-F26</x:f>
        <x:v>0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0" customHeight="1">
      <x:c r="A27" s="2"/>
      <x:c r="B27" s="2"/>
      <x:c r="C27" s="31" t="n">
        <x:v>45808</x:v>
      </x:c>
      <x:c r="D27" s="2" t="str">
        <x:v>interest.B</x:v>
      </x:c>
      <x:c r="E27" s="64" t="n">
        <x:v>119536</x:v>
      </x:c>
      <x:c r="F27" s="64" t="n">
        <x:f>Actuals!E18</x:f>
        <x:v>119536</x:v>
      </x:c>
      <x:c r="G27" s="43" t="n">
        <x:f>E27-F27</x:f>
        <x:v>0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0" customHeight="1">
      <x:c r="A28" s="2"/>
      <x:c r="B28" s="2"/>
      <x:c r="C28" s="31" t="n">
        <x:v>45808</x:v>
      </x:c>
      <x:c r="D28" s="2" t="str">
        <x:v>interest.C</x:v>
      </x:c>
      <x:c r="E28" s="64" t="n">
        <x:v>90988</x:v>
      </x:c>
      <x:c r="F28" s="64" t="n">
        <x:f>Actuals!E19</x:f>
        <x:v>90988</x:v>
      </x:c>
      <x:c r="G28" s="43" t="n">
        <x:f>E28-F28</x:f>
        <x:v>0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0" customHeight="1">
      <x:c r="A29" s="2"/>
      <x:c r="B29" s="2"/>
      <x:c r="C29" s="31" t="n">
        <x:v>45808</x:v>
      </x:c>
      <x:c r="D29" s="2" t="str">
        <x:v>interest.D</x:v>
      </x:c>
      <x:c r="E29" s="64" t="n">
        <x:v>67492.83</x:v>
      </x:c>
      <x:c r="F29" s="64" t="n">
        <x:f>Actuals!E20</x:f>
        <x:v>67492.83</x:v>
      </x:c>
      <x:c r="G29" s="43" t="n">
        <x:f>E29-F29</x:f>
        <x:v>0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0" customHeight="1">
      <x:c r="A30" s="2"/>
      <x:c r="B30" s="2"/>
      <x:c r="C30" s="31" t="n">
        <x:v>45808</x:v>
      </x:c>
      <x:c r="D30" s="2" t="str">
        <x:v>principal.A1</x:v>
      </x:c>
      <x:c r="E30" s="64" t="n">
        <x:v>46427656.36</x:v>
      </x:c>
      <x:c r="F30" s="64" t="n">
        <x:f>Actuals!E21</x:f>
        <x:v>46427732.44</x:v>
      </x:c>
      <x:c r="G30" s="43" t="n">
        <x:f>E30-F30</x:f>
        <x:v>-76.07999999821186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0" customHeight="1">
      <x:c r="A31" s="2"/>
      <x:c r="B31" s="2"/>
      <x:c r="C31" s="31" t="n">
        <x:v>45808</x:v>
      </x:c>
      <x:c r="D31" s="2" t="str">
        <x:v>principal.A2a</x:v>
      </x:c>
      <x:c r="E31" s="64" t="n">
        <x:v>0</x:v>
      </x:c>
      <x:c r="F31" s="64" t="n">
        <x:f>Actuals!E22</x:f>
        <x:v>0</x:v>
      </x:c>
      <x:c r="G31" s="43" t="n">
        <x:f>E31-F31</x:f>
        <x:v>0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0" customHeight="1">
      <x:c r="A32" s="2"/>
      <x:c r="B32" s="2"/>
      <x:c r="C32" s="31" t="n">
        <x:v>45808</x:v>
      </x:c>
      <x:c r="D32" s="2" t="str">
        <x:v>principal.A2b</x:v>
      </x:c>
      <x:c r="E32" s="64" t="n">
        <x:v>0</x:v>
      </x:c>
      <x:c r="F32" s="64" t="n">
        <x:f>Actuals!E23</x:f>
        <x:v>0</x:v>
      </x:c>
      <x:c r="G32" s="43" t="n">
        <x:f>E32-F32</x:f>
        <x:v>0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0" customHeight="1">
      <x:c r="A33" s="2"/>
      <x:c r="B33" s="2"/>
      <x:c r="C33" s="31" t="n">
        <x:v>45808</x:v>
      </x:c>
      <x:c r="D33" s="2" t="str">
        <x:v>principal.A3</x:v>
      </x:c>
      <x:c r="E33" s="64" t="n">
        <x:v>0</x:v>
      </x:c>
      <x:c r="F33" s="64" t="n">
        <x:f>Actuals!E24</x:f>
        <x:v>0</x:v>
      </x:c>
      <x:c r="G33" s="43" t="n">
        <x:f>E33-F33</x:f>
        <x:v>0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0" customHeight="1">
      <x:c r="A34" s="2"/>
      <x:c r="B34" s="2"/>
      <x:c r="C34" s="31" t="n">
        <x:v>45808</x:v>
      </x:c>
      <x:c r="D34" s="2" t="str">
        <x:v>principal.A4</x:v>
      </x:c>
      <x:c r="E34" s="64" t="n">
        <x:v>0</x:v>
      </x:c>
      <x:c r="F34" s="64" t="n">
        <x:f>Actuals!E25</x:f>
        <x:v>0</x:v>
      </x:c>
      <x:c r="G34" s="43" t="n">
        <x:f>E34-F34</x:f>
        <x:v>0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0" customHeight="1">
      <x:c r="A35" s="2"/>
      <x:c r="B35" s="2"/>
      <x:c r="C35" s="31" t="n">
        <x:v>45808</x:v>
      </x:c>
      <x:c r="D35" s="2" t="str">
        <x:v>principal.B</x:v>
      </x:c>
      <x:c r="E35" s="64" t="n">
        <x:v>0</x:v>
      </x:c>
      <x:c r="F35" s="64" t="n">
        <x:f>Actuals!E26</x:f>
        <x:v>0</x:v>
      </x:c>
      <x:c r="G35" s="43" t="n">
        <x:f>E35-F35</x:f>
        <x:v>0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0" customHeight="1">
      <x:c r="A36" s="2"/>
      <x:c r="B36" s="2"/>
      <x:c r="C36" s="31" t="n">
        <x:v>45808</x:v>
      </x:c>
      <x:c r="D36" s="2" t="str">
        <x:v>principal.C</x:v>
      </x:c>
      <x:c r="E36" s="64" t="n">
        <x:v>0</x:v>
      </x:c>
      <x:c r="F36" s="64" t="n">
        <x:f>Actuals!E27</x:f>
        <x:v>0</x:v>
      </x:c>
      <x:c r="G36" s="43" t="n">
        <x:f>E36-F36</x:f>
        <x:v>0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0" customHeight="1">
      <x:c r="A37" s="2"/>
      <x:c r="B37" s="2"/>
      <x:c r="C37" s="31" t="n">
        <x:v>45808</x:v>
      </x:c>
      <x:c r="D37" s="2" t="str">
        <x:v>principal.D</x:v>
      </x:c>
      <x:c r="E37" s="64" t="n">
        <x:v>0</x:v>
      </x:c>
      <x:c r="F37" s="64" t="n">
        <x:f>Actuals!E28</x:f>
        <x:v>0</x:v>
      </x:c>
      <x:c r="G37" s="43" t="n">
        <x:f>E37-F37</x:f>
        <x:v>0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0" customHeight="1">
      <x:c r="A38" s="2"/>
      <x:c r="B38" s="2"/>
      <x:c r="C38" s="31" t="n">
        <x:v>45808</x:v>
      </x:c>
      <x:c r="D38" s="2" t="str">
        <x:v>note_end.A1</x:v>
      </x:c>
      <x:c r="E38" s="64" t="n">
        <x:v>186855845.81</x:v>
      </x:c>
      <x:c r="F38" s="64" t="n">
        <x:f>Actuals!E29</x:f>
        <x:v>186855769.73</x:v>
      </x:c>
      <x:c r="G38" s="43" t="n">
        <x:f>E38-F38</x:f>
        <x:v>76.08000001311302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0" customHeight="1">
      <x:c r="A39" s="2"/>
      <x:c r="B39" s="2"/>
      <x:c r="C39" s="31" t="n">
        <x:v>45808</x:v>
      </x:c>
      <x:c r="D39" s="2" t="str">
        <x:v>note_end.A2a</x:v>
      </x:c>
      <x:c r="E39" s="64" t="n">
        <x:v>350000000</x:v>
      </x:c>
      <x:c r="F39" s="64" t="n">
        <x:f>Actuals!E30</x:f>
        <x:v>350000000</x:v>
      </x:c>
      <x:c r="G39" s="43" t="n">
        <x:f>E39-F39</x:f>
        <x:v>0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0" customHeight="1">
      <x:c r="A40" s="2"/>
      <x:c r="B40" s="2"/>
      <x:c r="C40" s="31" t="n">
        <x:v>45808</x:v>
      </x:c>
      <x:c r="D40" s="2" t="str">
        <x:v>note_end.A2b</x:v>
      </x:c>
      <x:c r="E40" s="64" t="n">
        <x:v>161510000</x:v>
      </x:c>
      <x:c r="F40" s="64" t="n">
        <x:f>Actuals!E31</x:f>
        <x:v>161510000</x:v>
      </x:c>
      <x:c r="G40" s="43" t="n">
        <x:f>E40-F40</x:f>
        <x:v>0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0" customHeight="1">
      <x:c r="A41" s="2"/>
      <x:c r="B41" s="2"/>
      <x:c r="C41" s="31" t="n">
        <x:v>45808</x:v>
      </x:c>
      <x:c r="D41" s="2" t="str">
        <x:v>note_end.A3</x:v>
      </x:c>
      <x:c r="E41" s="64" t="n">
        <x:v>452100000</x:v>
      </x:c>
      <x:c r="F41" s="64" t="n">
        <x:f>Actuals!E32</x:f>
        <x:v>452100000</x:v>
      </x:c>
      <x:c r="G41" s="43" t="n">
        <x:f>E41-F41</x:f>
        <x:v>0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0" customHeight="1">
      <x:c r="A42" s="2"/>
      <x:c r="B42" s="2"/>
      <x:c r="C42" s="31" t="n">
        <x:v>45808</x:v>
      </x:c>
      <x:c r="D42" s="2" t="str">
        <x:v>note_end.A4</x:v>
      </x:c>
      <x:c r="E42" s="64" t="n">
        <x:v>89000000</x:v>
      </x:c>
      <x:c r="F42" s="64" t="n">
        <x:f>Actuals!E33</x:f>
        <x:v>89000000</x:v>
      </x:c>
      <x:c r="G42" s="43" t="n">
        <x:f>E42-F42</x:f>
        <x:v>0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0" customHeight="1">
      <x:c r="A43" s="2"/>
      <x:c r="B43" s="2"/>
      <x:c r="C43" s="31" t="n">
        <x:v>45808</x:v>
      </x:c>
      <x:c r="D43" s="2" t="str">
        <x:v>note_end.B</x:v>
      </x:c>
      <x:c r="E43" s="64" t="n">
        <x:v>28920000</x:v>
      </x:c>
      <x:c r="F43" s="64" t="n">
        <x:f>Actuals!E34</x:f>
        <x:v>28920000</x:v>
      </x:c>
      <x:c r="G43" s="43" t="n">
        <x:f>E43-F43</x:f>
        <x:v>0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0" customHeight="1">
      <x:c r="A44" s="2"/>
      <x:c r="B44" s="2"/>
      <x:c r="C44" s="31" t="n">
        <x:v>45808</x:v>
      </x:c>
      <x:c r="D44" s="2" t="str">
        <x:v>note_end.C</x:v>
      </x:c>
      <x:c r="E44" s="64" t="n">
        <x:v>21160000</x:v>
      </x:c>
      <x:c r="F44" s="64" t="n">
        <x:f>Actuals!E35</x:f>
        <x:v>21160000</x:v>
      </x:c>
      <x:c r="G44" s="43" t="n">
        <x:f>E44-F44</x:f>
        <x:v>0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0" customHeight="1">
      <x:c r="A45" s="2"/>
      <x:c r="B45" s="2"/>
      <x:c r="C45" s="31" t="n">
        <x:v>45808</x:v>
      </x:c>
      <x:c r="D45" s="2" t="str">
        <x:v>note_end.D</x:v>
      </x:c>
      <x:c r="E45" s="64" t="n">
        <x:v>14110000</x:v>
      </x:c>
      <x:c r="F45" s="64" t="n">
        <x:f>Actuals!E36</x:f>
        <x:v>14110000</x:v>
      </x:c>
      <x:c r="G45" s="43" t="n">
        <x:f>E45-F45</x:f>
        <x:v>0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0" customHeight="1">
      <x:c r="A46" s="2"/>
      <x:c r="B46" s="2"/>
      <x:c r="C46" s="31" t="n">
        <x:v>45808</x:v>
      </x:c>
      <x:c r="D46" s="2" t="str">
        <x:v>priority_principal</x:v>
      </x:c>
      <x:c r="E46" s="64" t="n">
        <x:v>0</x:v>
      </x:c>
      <x:c r="F46" s="64" t="n">
        <x:f>Actuals!E37</x:f>
        <x:v>0</x:v>
      </x:c>
      <x:c r="G46" s="43" t="n">
        <x:f>E46-F46</x:f>
        <x:v>0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0" customHeight="1">
      <x:c r="A47" s="2"/>
      <x:c r="B47" s="2"/>
      <x:c r="C47" s="31" t="n">
        <x:v>45808</x:v>
      </x:c>
      <x:c r="D47" s="2" t="str">
        <x:v>secondary_principal</x:v>
      </x:c>
      <x:c r="E47" s="64" t="n">
        <x:v>578310.7</x:v>
      </x:c>
      <x:c r="F47" s="64" t="n">
        <x:f>Actuals!E38</x:f>
        <x:v>578310.7</x:v>
      </x:c>
      <x:c r="G47" s="43" t="n">
        <x:f>E47-F47</x:f>
        <x:v>0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0" customHeight="1">
      <x:c r="A48" s="2"/>
      <x:c r="B48" s="2"/>
      <x:c r="C48" s="31" t="n">
        <x:v>45808</x:v>
      </x:c>
      <x:c r="D48" s="2" t="str">
        <x:v>tertiary_principal</x:v>
      </x:c>
      <x:c r="E48" s="64" t="n">
        <x:v>21160000</x:v>
      </x:c>
      <x:c r="F48" s="64" t="n">
        <x:f>Actuals!E39</x:f>
        <x:v>21160000</x:v>
      </x:c>
      <x:c r="G48" s="43" t="n">
        <x:f>E48-F48</x:f>
        <x:v>0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0" customHeight="1">
      <x:c r="A49" s="2"/>
      <x:c r="B49" s="2"/>
      <x:c r="C49" s="31" t="n">
        <x:v>45808</x:v>
      </x:c>
      <x:c r="D49" s="2" t="str">
        <x:v>quaternary_principal</x:v>
      </x:c>
      <x:c r="E49" s="64" t="n">
        <x:v>14110000</x:v>
      </x:c>
      <x:c r="F49" s="64" t="n">
        <x:f>Actuals!E40</x:f>
        <x:v>14110000</x:v>
      </x:c>
      <x:c r="G49" s="43" t="n">
        <x:f>E49-F49</x:f>
        <x:v>0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0" customHeight="1">
      <x:c r="A50" s="2"/>
      <x:c r="B50" s="2"/>
      <x:c r="C50" s="31" t="n">
        <x:v>45808</x:v>
      </x:c>
      <x:c r="D50" s="2" t="str">
        <x:v>regular_principal</x:v>
      </x:c>
      <x:c r="E50" s="64" t="n">
        <x:v>10579345.66</x:v>
      </x:c>
      <x:c r="F50" s="64" t="n">
        <x:f>Actuals!E41</x:f>
        <x:v>10579421.74</x:v>
      </x:c>
      <x:c r="G50" s="43" t="n">
        <x:f>E50-F50</x:f>
        <x:v>-76.0800000000745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0" customHeight="1">
      <x:c r="A51" s="2"/>
      <x:c r="B51" s="2"/>
      <x:c r="C51" s="31" t="n">
        <x:v>45808</x:v>
      </x:c>
      <x:c r="D51" s="2" t="str">
        <x:v>oc_target</x:v>
      </x:c>
      <x:c r="E51" s="64" t="n">
        <x:v>10579345.66</x:v>
      </x:c>
      <x:c r="F51" s="64" t="n">
        <x:f>Actuals!E42</x:f>
        <x:v>10579421.74</x:v>
      </x:c>
      <x:c r="G51" s="43" t="n">
        <x:f>E51-F51</x:f>
        <x:v>-76.0800000000745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0" customHeight="1">
      <x:c r="A52" s="2"/>
      <x:c r="B52" s="2"/>
      <x:c r="C52" s="31" t="n">
        <x:v>45838</x:v>
      </x:c>
      <x:c r="D52" s="2" t="str">
        <x:v>servicing_fee</x:v>
      </x:c>
      <x:c r="E52" s="64" t="n">
        <x:v>1095195.99</x:v>
      </x:c>
      <x:c r="F52" s="64" t="n">
        <x:f>Actuals!E43</x:f>
        <x:v>1095195.99</x:v>
      </x:c>
      <x:c r="G52" s="43" t="n">
        <x:f>E52-F52</x:f>
        <x:v>0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0" customHeight="1">
      <x:c r="A53" s="2"/>
      <x:c r="B53" s="2"/>
      <x:c r="C53" s="31" t="n">
        <x:v>45838</x:v>
      </x:c>
      <x:c r="D53" s="2" t="str">
        <x:v>total_note_interest</x:v>
      </x:c>
      <x:c r="E53" s="64" t="n">
        <x:v>4971743.51</x:v>
      </x:c>
      <x:c r="F53" s="64" t="n">
        <x:f>Actuals!E44</x:f>
        <x:v>4971743.51</x:v>
      </x:c>
      <x:c r="G53" s="43" t="n">
        <x:f>E53-F53</x:f>
        <x:v>0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0" customHeight="1">
      <x:c r="A54" s="2"/>
      <x:c r="B54" s="2"/>
      <x:c r="C54" s="31" t="n">
        <x:v>45838</x:v>
      </x:c>
      <x:c r="D54" s="2" t="str">
        <x:v>total_note_principal</x:v>
      </x:c>
      <x:c r="E54" s="64" t="n">
        <x:v>43714827.11</x:v>
      </x:c>
      <x:c r="F54" s="64" t="n">
        <x:f>Actuals!E45</x:f>
        <x:v>43714903.19</x:v>
      </x:c>
      <x:c r="G54" s="43" t="n">
        <x:f>E54-F54</x:f>
        <x:v>-76.07999999821186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0" customHeight="1">
      <x:c r="A55" s="2"/>
      <x:c r="B55" s="2"/>
      <x:c r="C55" s="31" t="n">
        <x:v>45838</x:v>
      </x:c>
      <x:c r="D55" s="2" t="str">
        <x:v>residual_distribution</x:v>
      </x:c>
      <x:c r="E55" s="64" t="n">
        <x:v>4174467.19</x:v>
      </x:c>
      <x:c r="F55" s="64" t="n">
        <x:f>Actuals!E46</x:f>
        <x:v>4174391.11</x:v>
      </x:c>
      <x:c r="G55" s="43" t="n">
        <x:f>E55-F55</x:f>
        <x:v>76.0800000000745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0" customHeight="1">
      <x:c r="A56" s="2"/>
      <x:c r="B56" s="2"/>
      <x:c r="C56" s="31" t="n">
        <x:v>45838</x:v>
      </x:c>
      <x:c r="D56" s="2" t="str">
        <x:v>reserve_deposit</x:v>
      </x:c>
      <x:c r="E56" s="64" t="n">
        <x:v>0</x:v>
      </x:c>
      <x:c r="F56" s="64" t="n">
        <x:f>Actuals!E47</x:f>
        <x:v>0</x:v>
      </x:c>
      <x:c r="G56" s="43" t="n">
        <x:f>E56-F56</x:f>
        <x:v>0</x:v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0" customHeight="1">
      <x:c r="A57" s="2"/>
      <x:c r="B57" s="2"/>
      <x:c r="C57" s="31" t="n">
        <x:v>45838</x:v>
      </x:c>
      <x:c r="D57" s="2" t="str">
        <x:v>reserve_end</x:v>
      </x:c>
      <x:c r="E57" s="64" t="n">
        <x:v>3526448.55</x:v>
      </x:c>
      <x:c r="F57" s="64" t="n">
        <x:f>Actuals!E48</x:f>
        <x:v>3526448.55</x:v>
      </x:c>
      <x:c r="G57" s="43" t="n">
        <x:f>E57-F57</x:f>
        <x:v>0</x:v>
      </x:c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0" customHeight="1">
      <x:c r="A58" s="2"/>
      <x:c r="B58" s="2"/>
      <x:c r="C58" s="31" t="n">
        <x:v>45838</x:v>
      </x:c>
      <x:c r="D58" s="2" t="str">
        <x:v>reserve_release</x:v>
      </x:c>
      <x:c r="E58" s="64" t="n">
        <x:v>12196.83</x:v>
      </x:c>
      <x:c r="F58" s="64" t="n">
        <x:f>Actuals!E49</x:f>
        <x:v>12196.83</x:v>
      </x:c>
      <x:c r="G58" s="43" t="n">
        <x:f>E58-F58</x:f>
        <x:v>0</x:v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0" customHeight="1">
      <x:c r="A59" s="2"/>
      <x:c r="B59" s="2"/>
      <x:c r="C59" s="31" t="n">
        <x:v>45838</x:v>
      </x:c>
      <x:c r="D59" s="2" t="str">
        <x:v>interest.A1</x:v>
      </x:c>
      <x:c r="E59" s="64" t="n">
        <x:v>672535.44</x:v>
      </x:c>
      <x:c r="F59" s="64" t="n">
        <x:f>Actuals!E50</x:f>
        <x:v>672535.44</x:v>
      </x:c>
      <x:c r="G59" s="43" t="n">
        <x:f>E59-F59</x:f>
        <x:v>0</x:v>
      </x:c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0" customHeight="1">
      <x:c r="A60" s="2"/>
      <x:c r="B60" s="2"/>
      <x:c r="C60" s="31" t="n">
        <x:v>45838</x:v>
      </x:c>
      <x:c r="D60" s="2" t="str">
        <x:v>interest.A2a</x:v>
      </x:c>
      <x:c r="E60" s="64" t="n">
        <x:v>1338750</x:v>
      </x:c>
      <x:c r="F60" s="64" t="n">
        <x:f>Actuals!E51</x:f>
        <x:v>1338750</x:v>
      </x:c>
      <x:c r="G60" s="43" t="n">
        <x:f>E60-F60</x:f>
        <x:v>0</x:v>
      </x:c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0" customHeight="1">
      <x:c r="A61" s="2"/>
      <x:c r="B61" s="2"/>
      <x:c r="C61" s="31" t="n">
        <x:v>45838</x:v>
      </x:c>
      <x:c r="D61" s="2" t="str">
        <x:v>interest.A2b</x:v>
      </x:c>
      <x:c r="E61" s="64" t="n">
        <x:v>649726.24</x:v>
      </x:c>
      <x:c r="F61" s="64" t="n">
        <x:f>Actuals!E52</x:f>
        <x:v>649726.24</x:v>
      </x:c>
      <x:c r="G61" s="43" t="n">
        <x:f>E61-F61</x:f>
        <x:v>0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0" customHeight="1">
      <x:c r="A62" s="2"/>
      <x:c r="B62" s="2"/>
      <x:c r="C62" s="31" t="n">
        <x:v>45838</x:v>
      </x:c>
      <x:c r="D62" s="2" t="str">
        <x:v>interest.A3</x:v>
      </x:c>
      <x:c r="E62" s="64" t="n">
        <x:v>1687840</x:v>
      </x:c>
      <x:c r="F62" s="64" t="n">
        <x:f>Actuals!E53</x:f>
        <x:v>1687840</x:v>
      </x:c>
      <x:c r="G62" s="43" t="n">
        <x:f>E62-F62</x:f>
        <x:v>0</x:v>
      </x:c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0" customHeight="1">
      <x:c r="A63" s="2"/>
      <x:c r="B63" s="2"/>
      <x:c r="C63" s="31" t="n">
        <x:v>45838</x:v>
      </x:c>
      <x:c r="D63" s="2" t="str">
        <x:v>interest.A4</x:v>
      </x:c>
      <x:c r="E63" s="64" t="n">
        <x:v>344875</x:v>
      </x:c>
      <x:c r="F63" s="64" t="n">
        <x:f>Actuals!E54</x:f>
        <x:v>344875</x:v>
      </x:c>
      <x:c r="G63" s="43" t="n">
        <x:f>E63-F63</x:f>
        <x:v>0</x:v>
      </x:c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0" customHeight="1">
      <x:c r="A64" s="2"/>
      <x:c r="B64" s="2"/>
      <x:c r="C64" s="31" t="n">
        <x:v>45838</x:v>
      </x:c>
      <x:c r="D64" s="2" t="str">
        <x:v>interest.B</x:v>
      </x:c>
      <x:c r="E64" s="64" t="n">
        <x:v>119536</x:v>
      </x:c>
      <x:c r="F64" s="64" t="n">
        <x:f>Actuals!E55</x:f>
        <x:v>119536</x:v>
      </x:c>
      <x:c r="G64" s="43" t="n">
        <x:f>E64-F64</x:f>
        <x:v>0</x:v>
      </x:c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0" customHeight="1">
      <x:c r="A65" s="2"/>
      <x:c r="B65" s="2"/>
      <x:c r="C65" s="31" t="n">
        <x:v>45838</x:v>
      </x:c>
      <x:c r="D65" s="2" t="str">
        <x:v>interest.C</x:v>
      </x:c>
      <x:c r="E65" s="64" t="n">
        <x:v>90988</x:v>
      </x:c>
      <x:c r="F65" s="64" t="n">
        <x:f>Actuals!E56</x:f>
        <x:v>90988</x:v>
      </x:c>
      <x:c r="G65" s="43" t="n">
        <x:f>E65-F65</x:f>
        <x:v>0</x:v>
      </x:c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0" customHeight="1">
      <x:c r="A66" s="2"/>
      <x:c r="B66" s="2"/>
      <x:c r="C66" s="31" t="n">
        <x:v>45838</x:v>
      </x:c>
      <x:c r="D66" s="2" t="str">
        <x:v>interest.D</x:v>
      </x:c>
      <x:c r="E66" s="64" t="n">
        <x:v>67492.83</x:v>
      </x:c>
      <x:c r="F66" s="64" t="n">
        <x:f>Actuals!E57</x:f>
        <x:v>67492.83</x:v>
      </x:c>
      <x:c r="G66" s="43" t="n">
        <x:f>E66-F66</x:f>
        <x:v>0</x:v>
      </x:c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0" customHeight="1">
      <x:c r="A67" s="2"/>
      <x:c r="B67" s="2"/>
      <x:c r="C67" s="31" t="n">
        <x:v>45838</x:v>
      </x:c>
      <x:c r="D67" s="2" t="str">
        <x:v>principal.A1</x:v>
      </x:c>
      <x:c r="E67" s="64" t="n">
        <x:v>43714827.11</x:v>
      </x:c>
      <x:c r="F67" s="64" t="n">
        <x:f>Actuals!E58</x:f>
        <x:v>43714903.19</x:v>
      </x:c>
      <x:c r="G67" s="43" t="n">
        <x:f>E67-F67</x:f>
        <x:v>-76.07999999821186</x:v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0" customHeight="1">
      <x:c r="A68" s="2"/>
      <x:c r="B68" s="2"/>
      <x:c r="C68" s="31" t="n">
        <x:v>45838</x:v>
      </x:c>
      <x:c r="D68" s="2" t="str">
        <x:v>principal.A2a</x:v>
      </x:c>
      <x:c r="E68" s="64" t="n">
        <x:v>0</x:v>
      </x:c>
      <x:c r="F68" s="64" t="n">
        <x:f>Actuals!E59</x:f>
        <x:v>0</x:v>
      </x:c>
      <x:c r="G68" s="43" t="n">
        <x:f>E68-F68</x:f>
        <x:v>0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0" customHeight="1">
      <x:c r="A69" s="2"/>
      <x:c r="B69" s="2"/>
      <x:c r="C69" s="31" t="n">
        <x:v>45838</x:v>
      </x:c>
      <x:c r="D69" s="2" t="str">
        <x:v>principal.A2b</x:v>
      </x:c>
      <x:c r="E69" s="64" t="n">
        <x:v>0</x:v>
      </x:c>
      <x:c r="F69" s="64" t="n">
        <x:f>Actuals!E60</x:f>
        <x:v>0</x:v>
      </x:c>
      <x:c r="G69" s="43" t="n">
        <x:f>E69-F69</x:f>
        <x:v>0</x:v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0" customHeight="1">
      <x:c r="A70" s="2"/>
      <x:c r="B70" s="2"/>
      <x:c r="C70" s="31" t="n">
        <x:v>45838</x:v>
      </x:c>
      <x:c r="D70" s="2" t="str">
        <x:v>principal.A3</x:v>
      </x:c>
      <x:c r="E70" s="64" t="n">
        <x:v>0</x:v>
      </x:c>
      <x:c r="F70" s="64" t="n">
        <x:f>Actuals!E61</x:f>
        <x:v>0</x:v>
      </x:c>
      <x:c r="G70" s="43" t="n">
        <x:f>E70-F70</x:f>
        <x:v>0</x:v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0" customHeight="1">
      <x:c r="A71" s="2"/>
      <x:c r="B71" s="2"/>
      <x:c r="C71" s="31" t="n">
        <x:v>45838</x:v>
      </x:c>
      <x:c r="D71" s="2" t="str">
        <x:v>principal.A4</x:v>
      </x:c>
      <x:c r="E71" s="64" t="n">
        <x:v>0</x:v>
      </x:c>
      <x:c r="F71" s="64" t="n">
        <x:f>Actuals!E62</x:f>
        <x:v>0</x:v>
      </x:c>
      <x:c r="G71" s="43" t="n">
        <x:f>E71-F71</x:f>
        <x:v>0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0" customHeight="1">
      <x:c r="A72" s="2"/>
      <x:c r="B72" s="2"/>
      <x:c r="C72" s="31" t="n">
        <x:v>45838</x:v>
      </x:c>
      <x:c r="D72" s="2" t="str">
        <x:v>principal.B</x:v>
      </x:c>
      <x:c r="E72" s="64" t="n">
        <x:v>0</x:v>
      </x:c>
      <x:c r="F72" s="64" t="n">
        <x:f>Actuals!E63</x:f>
        <x:v>0</x:v>
      </x:c>
      <x:c r="G72" s="43" t="n">
        <x:f>E72-F72</x:f>
        <x:v>0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0" customHeight="1">
      <x:c r="A73" s="2"/>
      <x:c r="B73" s="2"/>
      <x:c r="C73" s="31" t="n">
        <x:v>45838</x:v>
      </x:c>
      <x:c r="D73" s="2" t="str">
        <x:v>principal.C</x:v>
      </x:c>
      <x:c r="E73" s="64" t="n">
        <x:v>0</x:v>
      </x:c>
      <x:c r="F73" s="64" t="n">
        <x:f>Actuals!E64</x:f>
        <x:v>0</x:v>
      </x:c>
      <x:c r="G73" s="43" t="n">
        <x:f>E73-F73</x:f>
        <x:v>0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0" customHeight="1">
      <x:c r="A74" s="2"/>
      <x:c r="B74" s="2"/>
      <x:c r="C74" s="31" t="n">
        <x:v>45838</x:v>
      </x:c>
      <x:c r="D74" s="2" t="str">
        <x:v>principal.D</x:v>
      </x:c>
      <x:c r="E74" s="64" t="n">
        <x:v>0</x:v>
      </x:c>
      <x:c r="F74" s="64" t="n">
        <x:f>Actuals!E65</x:f>
        <x:v>0</x:v>
      </x:c>
      <x:c r="G74" s="43" t="n">
        <x:f>E74-F74</x:f>
        <x:v>0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0" customHeight="1">
      <x:c r="A75" s="2"/>
      <x:c r="B75" s="2"/>
      <x:c r="C75" s="31" t="n">
        <x:v>45838</x:v>
      </x:c>
      <x:c r="D75" s="2" t="str">
        <x:v>note_end.A1</x:v>
      </x:c>
      <x:c r="E75" s="64" t="n">
        <x:v>143140942.62</x:v>
      </x:c>
      <x:c r="F75" s="64" t="n">
        <x:f>Actuals!E66</x:f>
        <x:v>143140866.54</x:v>
      </x:c>
      <x:c r="G75" s="43" t="n">
        <x:f>E75-F75</x:f>
        <x:v>76.08000001311302</x:v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0" customHeight="1">
      <x:c r="A76" s="2"/>
      <x:c r="B76" s="2"/>
      <x:c r="C76" s="31" t="n">
        <x:v>45838</x:v>
      </x:c>
      <x:c r="D76" s="2" t="str">
        <x:v>note_end.A2a</x:v>
      </x:c>
      <x:c r="E76" s="64" t="n">
        <x:v>350000000</x:v>
      </x:c>
      <x:c r="F76" s="64" t="n">
        <x:f>Actuals!E67</x:f>
        <x:v>350000000</x:v>
      </x:c>
      <x:c r="G76" s="43" t="n">
        <x:f>E76-F76</x:f>
        <x:v>0</x:v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0" customHeight="1">
      <x:c r="A77" s="2"/>
      <x:c r="B77" s="2"/>
      <x:c r="C77" s="31" t="n">
        <x:v>45838</x:v>
      </x:c>
      <x:c r="D77" s="2" t="str">
        <x:v>note_end.A2b</x:v>
      </x:c>
      <x:c r="E77" s="64" t="n">
        <x:v>161510000</x:v>
      </x:c>
      <x:c r="F77" s="64" t="n">
        <x:f>Actuals!E68</x:f>
        <x:v>161510000</x:v>
      </x:c>
      <x:c r="G77" s="43" t="n">
        <x:f>E77-F77</x:f>
        <x:v>0</x:v>
      </x:c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0" customHeight="1">
      <x:c r="A78" s="2"/>
      <x:c r="B78" s="2"/>
      <x:c r="C78" s="31" t="n">
        <x:v>45838</x:v>
      </x:c>
      <x:c r="D78" s="2" t="str">
        <x:v>note_end.A3</x:v>
      </x:c>
      <x:c r="E78" s="64" t="n">
        <x:v>452100000</x:v>
      </x:c>
      <x:c r="F78" s="64" t="n">
        <x:f>Actuals!E69</x:f>
        <x:v>452100000</x:v>
      </x:c>
      <x:c r="G78" s="43" t="n">
        <x:f>E78-F78</x:f>
        <x:v>0</x:v>
      </x:c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0" customHeight="1">
      <x:c r="A79" s="2"/>
      <x:c r="B79" s="2"/>
      <x:c r="C79" s="31" t="n">
        <x:v>45838</x:v>
      </x:c>
      <x:c r="D79" s="2" t="str">
        <x:v>note_end.A4</x:v>
      </x:c>
      <x:c r="E79" s="64" t="n">
        <x:v>89000000</x:v>
      </x:c>
      <x:c r="F79" s="64" t="n">
        <x:f>Actuals!E70</x:f>
        <x:v>89000000</x:v>
      </x:c>
      <x:c r="G79" s="43" t="n">
        <x:f>E79-F79</x:f>
        <x:v>0</x:v>
      </x:c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0" customHeight="1">
      <x:c r="A80" s="2"/>
      <x:c r="B80" s="2"/>
      <x:c r="C80" s="31" t="n">
        <x:v>45838</x:v>
      </x:c>
      <x:c r="D80" s="2" t="str">
        <x:v>note_end.B</x:v>
      </x:c>
      <x:c r="E80" s="64" t="n">
        <x:v>28920000</x:v>
      </x:c>
      <x:c r="F80" s="64" t="n">
        <x:f>Actuals!E71</x:f>
        <x:v>28920000</x:v>
      </x:c>
      <x:c r="G80" s="43" t="n">
        <x:f>E80-F80</x:f>
        <x:v>0</x:v>
      </x:c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0" customHeight="1">
      <x:c r="A81" s="2"/>
      <x:c r="B81" s="2"/>
      <x:c r="C81" s="31" t="n">
        <x:v>45838</x:v>
      </x:c>
      <x:c r="D81" s="2" t="str">
        <x:v>note_end.C</x:v>
      </x:c>
      <x:c r="E81" s="64" t="n">
        <x:v>21160000</x:v>
      </x:c>
      <x:c r="F81" s="64" t="n">
        <x:f>Actuals!E72</x:f>
        <x:v>21160000</x:v>
      </x:c>
      <x:c r="G81" s="43" t="n">
        <x:f>E81-F81</x:f>
        <x:v>0</x:v>
      </x:c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0" customHeight="1">
      <x:c r="A82" s="2"/>
      <x:c r="B82" s="2"/>
      <x:c r="C82" s="31" t="n">
        <x:v>45838</x:v>
      </x:c>
      <x:c r="D82" s="2" t="str">
        <x:v>note_end.D</x:v>
      </x:c>
      <x:c r="E82" s="64" t="n">
        <x:v>14110000</x:v>
      </x:c>
      <x:c r="F82" s="64" t="n">
        <x:f>Actuals!E73</x:f>
        <x:v>14110000</x:v>
      </x:c>
      <x:c r="G82" s="43" t="n">
        <x:f>E82-F82</x:f>
        <x:v>0</x:v>
      </x:c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0" customHeight="1">
      <x:c r="A83" s="2"/>
      <x:c r="B83" s="2"/>
      <x:c r="C83" s="31" t="n">
        <x:v>45838</x:v>
      </x:c>
      <x:c r="D83" s="2" t="str">
        <x:v>priority_principal</x:v>
      </x:c>
      <x:c r="E83" s="64" t="n">
        <x:v>0</x:v>
      </x:c>
      <x:c r="F83" s="64" t="n">
        <x:f>Actuals!E74</x:f>
        <x:v>0</x:v>
      </x:c>
      <x:c r="G83" s="43" t="n">
        <x:f>E83-F83</x:f>
        <x:v>0</x:v>
      </x:c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0" customHeight="1">
      <x:c r="A84" s="2"/>
      <x:c r="B84" s="2"/>
      <x:c r="C84" s="31" t="n">
        <x:v>45838</x:v>
      </x:c>
      <x:c r="D84" s="2" t="str">
        <x:v>secondary_principal</x:v>
      </x:c>
      <x:c r="E84" s="64" t="n">
        <x:v>0</x:v>
      </x:c>
      <x:c r="F84" s="64" t="n">
        <x:f>Actuals!E75</x:f>
        <x:v>0</x:v>
      </x:c>
      <x:c r="G84" s="43" t="n">
        <x:f>E84-F84</x:f>
        <x:v>0</x:v>
      </x:c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0" customHeight="1">
      <x:c r="A85" s="2"/>
      <x:c r="B85" s="2"/>
      <x:c r="C85" s="31" t="n">
        <x:v>45838</x:v>
      </x:c>
      <x:c r="D85" s="2" t="str">
        <x:v>tertiary_principal</x:v>
      </x:c>
      <x:c r="E85" s="64" t="n">
        <x:v>19025481.45</x:v>
      </x:c>
      <x:c r="F85" s="64" t="n">
        <x:f>Actuals!E76</x:f>
        <x:v>19025481.45</x:v>
      </x:c>
      <x:c r="G85" s="43" t="n">
        <x:f>E85-F85</x:f>
        <x:v>0</x:v>
      </x:c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0" customHeight="1">
      <x:c r="A86" s="2"/>
      <x:c r="B86" s="2"/>
      <x:c r="C86" s="31" t="n">
        <x:v>45838</x:v>
      </x:c>
      <x:c r="D86" s="2" t="str">
        <x:v>quaternary_principal</x:v>
      </x:c>
      <x:c r="E86" s="64" t="n">
        <x:v>14110000</x:v>
      </x:c>
      <x:c r="F86" s="64" t="n">
        <x:f>Actuals!E77</x:f>
        <x:v>14110000</x:v>
      </x:c>
      <x:c r="G86" s="43" t="n">
        <x:f>E86-F86</x:f>
        <x:v>0</x:v>
      </x:c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0" customHeight="1">
      <x:c r="A87" s="2"/>
      <x:c r="B87" s="2"/>
      <x:c r="C87" s="31" t="n">
        <x:v>45838</x:v>
      </x:c>
      <x:c r="D87" s="2" t="str">
        <x:v>regular_principal</x:v>
      </x:c>
      <x:c r="E87" s="64" t="n">
        <x:v>10579345.66</x:v>
      </x:c>
      <x:c r="F87" s="64" t="n">
        <x:f>Actuals!E78</x:f>
        <x:v>10579421.74</x:v>
      </x:c>
      <x:c r="G87" s="43" t="n">
        <x:f>E87-F87</x:f>
        <x:v>-76.0800000000745</x:v>
      </x:c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0" customHeight="1">
      <x:c r="A88" s="2"/>
      <x:c r="B88" s="2"/>
      <x:c r="C88" s="31" t="n">
        <x:v>45838</x:v>
      </x:c>
      <x:c r="D88" s="2" t="str">
        <x:v>oc_target</x:v>
      </x:c>
      <x:c r="E88" s="64" t="n">
        <x:v>10579345.66</x:v>
      </x:c>
      <x:c r="F88" s="64" t="n">
        <x:f>Actuals!E79</x:f>
        <x:v>10579421.74</x:v>
      </x:c>
      <x:c r="G88" s="43" t="n">
        <x:f>E88-F88</x:f>
        <x:v>-76.0800000000745</x:v>
      </x:c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0" customHeight="1">
      <x:c r="A89" s="2"/>
      <x:c r="B89" s="2"/>
      <x:c r="C89" s="31" t="n">
        <x:v>45869</x:v>
      </x:c>
      <x:c r="D89" s="2" t="str">
        <x:v>servicing_fee</x:v>
      </x:c>
      <x:c r="E89" s="64" t="n">
        <x:v>1058766.91</x:v>
      </x:c>
      <x:c r="F89" s="64" t="n">
        <x:f>Actuals!E80</x:f>
        <x:v>1058766.91</x:v>
      </x:c>
      <x:c r="G89" s="43" t="n">
        <x:f>E89-F89</x:f>
        <x:v>0</x:v>
      </x:c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0" customHeight="1">
      <x:c r="A90" s="2"/>
      <x:c r="B90" s="2"/>
      <x:c r="C90" s="31" t="n">
        <x:v>45869</x:v>
      </x:c>
      <x:c r="D90" s="2" t="str">
        <x:v>total_note_interest</x:v>
      </x:c>
      <x:c r="E90" s="64" t="n">
        <x:v>4899718.13</x:v>
      </x:c>
      <x:c r="F90" s="64" t="n">
        <x:f>Actuals!E81</x:f>
        <x:v>4899718.13</x:v>
      </x:c>
      <x:c r="G90" s="43" t="n">
        <x:f>E90-F90</x:f>
        <x:v>0</x:v>
      </x:c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0" customHeight="1">
      <x:c r="A91" s="2"/>
      <x:c r="B91" s="2"/>
      <x:c r="C91" s="31" t="n">
        <x:v>45869</x:v>
      </x:c>
      <x:c r="D91" s="2" t="str">
        <x:v>total_note_principal</x:v>
      </x:c>
      <x:c r="E91" s="64" t="n">
        <x:v>49475006.96</x:v>
      </x:c>
      <x:c r="F91" s="64" t="n">
        <x:f>Actuals!E82</x:f>
        <x:v>49475083.04</x:v>
      </x:c>
      <x:c r="G91" s="43" t="n">
        <x:f>E91-F91</x:f>
        <x:v>-76.07999999821186</x:v>
      </x:c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0" customHeight="1">
      <x:c r="A92" s="2"/>
      <x:c r="B92" s="2"/>
      <x:c r="C92" s="31" t="n">
        <x:v>45869</x:v>
      </x:c>
      <x:c r="D92" s="2" t="str">
        <x:v>residual_distribution</x:v>
      </x:c>
      <x:c r="E92" s="64" t="n">
        <x:v>3362804.59</x:v>
      </x:c>
      <x:c r="F92" s="64" t="n">
        <x:f>Actuals!E83</x:f>
        <x:v>3362728.51</x:v>
      </x:c>
      <x:c r="G92" s="43" t="n">
        <x:f>E92-F92</x:f>
        <x:v>76.0800000000745</x:v>
      </x:c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0" customHeight="1">
      <x:c r="A93" s="2"/>
      <x:c r="B93" s="2"/>
      <x:c r="C93" s="31" t="n">
        <x:v>45869</x:v>
      </x:c>
      <x:c r="D93" s="2" t="str">
        <x:v>reserve_deposit</x:v>
      </x:c>
      <x:c r="E93" s="64" t="n">
        <x:v>0</x:v>
      </x:c>
      <x:c r="F93" s="64" t="n">
        <x:f>Actuals!E84</x:f>
        <x:v>0</x:v>
      </x:c>
      <x:c r="G93" s="43" t="n">
        <x:f>E93-F93</x:f>
        <x:v>0</x:v>
      </x:c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0" customHeight="1">
      <x:c r="A94" s="2"/>
      <x:c r="B94" s="2"/>
      <x:c r="C94" s="31" t="n">
        <x:v>45869</x:v>
      </x:c>
      <x:c r="D94" s="2" t="str">
        <x:v>reserve_end</x:v>
      </x:c>
      <x:c r="E94" s="64" t="n">
        <x:v>3526448.55</x:v>
      </x:c>
      <x:c r="F94" s="64" t="n">
        <x:f>Actuals!E85</x:f>
        <x:v>3526448.55</x:v>
      </x:c>
      <x:c r="G94" s="43" t="n">
        <x:f>E94-F94</x:f>
        <x:v>0</x:v>
      </x:c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0" customHeight="1">
      <x:c r="A95" s="2"/>
      <x:c r="B95" s="2"/>
      <x:c r="C95" s="31" t="n">
        <x:v>45869</x:v>
      </x:c>
      <x:c r="D95" s="2" t="str">
        <x:v>reserve_release</x:v>
      </x:c>
      <x:c r="E95" s="64" t="n">
        <x:v>12637.3</x:v>
      </x:c>
      <x:c r="F95" s="64" t="n">
        <x:f>Actuals!E86</x:f>
        <x:v>12637.3</x:v>
      </x:c>
      <x:c r="G95" s="43" t="n">
        <x:f>E95-F95</x:f>
        <x:v>0</x:v>
      </x:c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0" customHeight="1">
      <x:c r="A96" s="2"/>
      <x:c r="B96" s="2"/>
      <x:c r="C96" s="31" t="n">
        <x:v>45869</x:v>
      </x:c>
      <x:c r="D96" s="2" t="str">
        <x:v>interest.A1</x:v>
      </x:c>
      <x:c r="E96" s="64" t="n">
        <x:v>550726.53</x:v>
      </x:c>
      <x:c r="F96" s="64" t="n">
        <x:f>Actuals!E87</x:f>
        <x:v>550726.53</x:v>
      </x:c>
      <x:c r="G96" s="43" t="n">
        <x:f>E96-F96</x:f>
        <x:v>0</x:v>
      </x:c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0" customHeight="1">
      <x:c r="A97" s="2"/>
      <x:c r="B97" s="2"/>
      <x:c r="C97" s="31" t="n">
        <x:v>45869</x:v>
      </x:c>
      <x:c r="D97" s="2" t="str">
        <x:v>interest.A2a</x:v>
      </x:c>
      <x:c r="E97" s="64" t="n">
        <x:v>1338750</x:v>
      </x:c>
      <x:c r="F97" s="64" t="n">
        <x:f>Actuals!E88</x:f>
        <x:v>1338750</x:v>
      </x:c>
      <x:c r="G97" s="43" t="n">
        <x:f>E97-F97</x:f>
        <x:v>0</x:v>
      </x:c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0" customHeight="1">
      <x:c r="A98" s="2"/>
      <x:c r="B98" s="2"/>
      <x:c r="C98" s="31" t="n">
        <x:v>45869</x:v>
      </x:c>
      <x:c r="D98" s="2" t="str">
        <x:v>interest.A2b</x:v>
      </x:c>
      <x:c r="E98" s="64" t="n">
        <x:v>699509.77</x:v>
      </x:c>
      <x:c r="F98" s="64" t="n">
        <x:f>Actuals!E89</x:f>
        <x:v>699509.77</x:v>
      </x:c>
      <x:c r="G98" s="43" t="n">
        <x:f>E98-F98</x:f>
        <x:v>0</x:v>
      </x:c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0" customHeight="1">
      <x:c r="A99" s="2"/>
      <x:c r="B99" s="2"/>
      <x:c r="C99" s="31" t="n">
        <x:v>45869</x:v>
      </x:c>
      <x:c r="D99" s="2" t="str">
        <x:v>interest.A3</x:v>
      </x:c>
      <x:c r="E99" s="64" t="n">
        <x:v>1687840</x:v>
      </x:c>
      <x:c r="F99" s="64" t="n">
        <x:f>Actuals!E90</x:f>
        <x:v>1687840</x:v>
      </x:c>
      <x:c r="G99" s="43" t="n">
        <x:f>E99-F99</x:f>
        <x:v>0</x:v>
      </x:c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0" customHeight="1">
      <x:c r="A100" s="2"/>
      <x:c r="B100" s="2"/>
      <x:c r="C100" s="31" t="n">
        <x:v>45869</x:v>
      </x:c>
      <x:c r="D100" s="2" t="str">
        <x:v>interest.A4</x:v>
      </x:c>
      <x:c r="E100" s="64" t="n">
        <x:v>344875</x:v>
      </x:c>
      <x:c r="F100" s="64" t="n">
        <x:f>Actuals!E91</x:f>
        <x:v>344875</x:v>
      </x:c>
      <x:c r="G100" s="43" t="n">
        <x:f>E100-F100</x:f>
        <x:v>0</x:v>
      </x:c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>
      <x:c r="C101" s="45" t="n">
        <x:v>45869</x:v>
      </x:c>
      <x:c r="D101" t="str">
        <x:v>interest.B</x:v>
      </x:c>
      <x:c r="E101" s="69" t="n">
        <x:v>119536</x:v>
      </x:c>
      <x:c r="F101" s="69" t="n">
        <x:f>Actuals!E92</x:f>
        <x:v>119536</x:v>
      </x:c>
      <x:c r="G101" s="70" t="n">
        <x:f>E101-F101</x:f>
        <x:v>0</x:v>
      </x:c>
    </x:row>
    <x:row r="102">
      <x:c r="C102" s="45" t="n">
        <x:v>45869</x:v>
      </x:c>
      <x:c r="D102" t="str">
        <x:v>interest.C</x:v>
      </x:c>
      <x:c r="E102" s="69" t="n">
        <x:v>90988</x:v>
      </x:c>
      <x:c r="F102" s="69" t="n">
        <x:f>Actuals!E93</x:f>
        <x:v>90988</x:v>
      </x:c>
      <x:c r="G102" s="70" t="n">
        <x:f>E102-F102</x:f>
        <x:v>0</x:v>
      </x:c>
    </x:row>
    <x:row r="103">
      <x:c r="C103" s="45" t="n">
        <x:v>45869</x:v>
      </x:c>
      <x:c r="D103" t="str">
        <x:v>interest.D</x:v>
      </x:c>
      <x:c r="E103" s="69" t="n">
        <x:v>67492.83</x:v>
      </x:c>
      <x:c r="F103" s="69" t="n">
        <x:f>Actuals!E94</x:f>
        <x:v>67492.83</x:v>
      </x:c>
      <x:c r="G103" s="70" t="n">
        <x:f>E103-F103</x:f>
        <x:v>0</x:v>
      </x:c>
    </x:row>
    <x:row r="104">
      <x:c r="C104" s="45" t="n">
        <x:v>45869</x:v>
      </x:c>
      <x:c r="D104" t="str">
        <x:v>principal.A1</x:v>
      </x:c>
      <x:c r="E104" s="69" t="n">
        <x:v>49475006.96</x:v>
      </x:c>
      <x:c r="F104" s="69" t="n">
        <x:f>Actuals!E95</x:f>
        <x:v>49475083.04</x:v>
      </x:c>
      <x:c r="G104" s="70" t="n">
        <x:f>E104-F104</x:f>
        <x:v>-76.07999999821186</x:v>
      </x:c>
    </x:row>
    <x:row r="105">
      <x:c r="C105" s="45" t="n">
        <x:v>45869</x:v>
      </x:c>
      <x:c r="D105" t="str">
        <x:v>principal.A2a</x:v>
      </x:c>
      <x:c r="E105" s="69" t="n">
        <x:v>0</x:v>
      </x:c>
      <x:c r="F105" s="69" t="n">
        <x:f>Actuals!E96</x:f>
        <x:v>0</x:v>
      </x:c>
      <x:c r="G105" s="70" t="n">
        <x:f>E105-F105</x:f>
        <x:v>0</x:v>
      </x:c>
    </x:row>
    <x:row r="106">
      <x:c r="C106" s="45" t="n">
        <x:v>45869</x:v>
      </x:c>
      <x:c r="D106" t="str">
        <x:v>principal.A2b</x:v>
      </x:c>
      <x:c r="E106" s="69" t="n">
        <x:v>0</x:v>
      </x:c>
      <x:c r="F106" s="69" t="n">
        <x:f>Actuals!E97</x:f>
        <x:v>0</x:v>
      </x:c>
      <x:c r="G106" s="70" t="n">
        <x:f>E106-F106</x:f>
        <x:v>0</x:v>
      </x:c>
    </x:row>
    <x:row r="107">
      <x:c r="C107" s="45" t="n">
        <x:v>45869</x:v>
      </x:c>
      <x:c r="D107" t="str">
        <x:v>principal.A3</x:v>
      </x:c>
      <x:c r="E107" s="69" t="n">
        <x:v>0</x:v>
      </x:c>
      <x:c r="F107" s="69" t="n">
        <x:f>Actuals!E98</x:f>
        <x:v>0</x:v>
      </x:c>
      <x:c r="G107" s="70" t="n">
        <x:f>E107-F107</x:f>
        <x:v>0</x:v>
      </x:c>
    </x:row>
    <x:row r="108">
      <x:c r="C108" s="45" t="n">
        <x:v>45869</x:v>
      </x:c>
      <x:c r="D108" t="str">
        <x:v>principal.A4</x:v>
      </x:c>
      <x:c r="E108" s="69" t="n">
        <x:v>0</x:v>
      </x:c>
      <x:c r="F108" s="69" t="n">
        <x:f>Actuals!E99</x:f>
        <x:v>0</x:v>
      </x:c>
      <x:c r="G108" s="70" t="n">
        <x:f>E108-F108</x:f>
        <x:v>0</x:v>
      </x:c>
    </x:row>
    <x:row r="109">
      <x:c r="C109" s="45" t="n">
        <x:v>45869</x:v>
      </x:c>
      <x:c r="D109" t="str">
        <x:v>principal.B</x:v>
      </x:c>
      <x:c r="E109" s="69" t="n">
        <x:v>0</x:v>
      </x:c>
      <x:c r="F109" s="69" t="n">
        <x:f>Actuals!E100</x:f>
        <x:v>0</x:v>
      </x:c>
      <x:c r="G109" s="70" t="n">
        <x:f>E109-F109</x:f>
        <x:v>0</x:v>
      </x:c>
    </x:row>
    <x:row r="110">
      <x:c r="C110" s="45" t="n">
        <x:v>45869</x:v>
      </x:c>
      <x:c r="D110" t="str">
        <x:v>principal.C</x:v>
      </x:c>
      <x:c r="E110" s="69" t="n">
        <x:v>0</x:v>
      </x:c>
      <x:c r="F110" s="69" t="n">
        <x:f>Actuals!E101</x:f>
        <x:v>0</x:v>
      </x:c>
      <x:c r="G110" s="70" t="n">
        <x:f>E110-F110</x:f>
        <x:v>0</x:v>
      </x:c>
    </x:row>
    <x:row r="111">
      <x:c r="C111" s="45" t="n">
        <x:v>45869</x:v>
      </x:c>
      <x:c r="D111" t="str">
        <x:v>principal.D</x:v>
      </x:c>
      <x:c r="E111" s="69" t="n">
        <x:v>0</x:v>
      </x:c>
      <x:c r="F111" s="69" t="n">
        <x:f>Actuals!E102</x:f>
        <x:v>0</x:v>
      </x:c>
      <x:c r="G111" s="70" t="n">
        <x:f>E111-F111</x:f>
        <x:v>0</x:v>
      </x:c>
    </x:row>
    <x:row r="112">
      <x:c r="C112" s="45" t="n">
        <x:v>45869</x:v>
      </x:c>
      <x:c r="D112" t="str">
        <x:v>note_end.A1</x:v>
      </x:c>
      <x:c r="E112" s="69" t="n">
        <x:v>93665859.58</x:v>
      </x:c>
      <x:c r="F112" s="69" t="n">
        <x:f>Actuals!E103</x:f>
        <x:v>93665783.5</x:v>
      </x:c>
      <x:c r="G112" s="70" t="n">
        <x:f>E112-F112</x:f>
        <x:v>76.07999999821186</x:v>
      </x:c>
    </x:row>
    <x:row r="113">
      <x:c r="C113" s="45" t="n">
        <x:v>45869</x:v>
      </x:c>
      <x:c r="D113" t="str">
        <x:v>note_end.A2a</x:v>
      </x:c>
      <x:c r="E113" s="69" t="n">
        <x:v>350000000</x:v>
      </x:c>
      <x:c r="F113" s="69" t="n">
        <x:f>Actuals!E104</x:f>
        <x:v>350000000</x:v>
      </x:c>
      <x:c r="G113" s="70" t="n">
        <x:f>E113-F113</x:f>
        <x:v>0</x:v>
      </x:c>
    </x:row>
    <x:row r="114">
      <x:c r="C114" s="45" t="n">
        <x:v>45869</x:v>
      </x:c>
      <x:c r="D114" t="str">
        <x:v>note_end.A2b</x:v>
      </x:c>
      <x:c r="E114" s="69" t="n">
        <x:v>161510000</x:v>
      </x:c>
      <x:c r="F114" s="69" t="n">
        <x:f>Actuals!E105</x:f>
        <x:v>161510000</x:v>
      </x:c>
      <x:c r="G114" s="70" t="n">
        <x:f>E114-F114</x:f>
        <x:v>0</x:v>
      </x:c>
    </x:row>
    <x:row r="115">
      <x:c r="C115" s="45" t="n">
        <x:v>45869</x:v>
      </x:c>
      <x:c r="D115" t="str">
        <x:v>note_end.A3</x:v>
      </x:c>
      <x:c r="E115" s="69" t="n">
        <x:v>452100000</x:v>
      </x:c>
      <x:c r="F115" s="69" t="n">
        <x:f>Actuals!E106</x:f>
        <x:v>452100000</x:v>
      </x:c>
      <x:c r="G115" s="70" t="n">
        <x:f>E115-F115</x:f>
        <x:v>0</x:v>
      </x:c>
    </x:row>
    <x:row r="116">
      <x:c r="C116" s="45" t="n">
        <x:v>45869</x:v>
      </x:c>
      <x:c r="D116" t="str">
        <x:v>note_end.A4</x:v>
      </x:c>
      <x:c r="E116" s="69" t="n">
        <x:v>89000000</x:v>
      </x:c>
      <x:c r="F116" s="69" t="n">
        <x:f>Actuals!E107</x:f>
        <x:v>89000000</x:v>
      </x:c>
      <x:c r="G116" s="70" t="n">
        <x:f>E116-F116</x:f>
        <x:v>0</x:v>
      </x:c>
    </x:row>
    <x:row r="117">
      <x:c r="C117" s="45" t="n">
        <x:v>45869</x:v>
      </x:c>
      <x:c r="D117" t="str">
        <x:v>note_end.B</x:v>
      </x:c>
      <x:c r="E117" s="69" t="n">
        <x:v>28920000</x:v>
      </x:c>
      <x:c r="F117" s="69" t="n">
        <x:f>Actuals!E108</x:f>
        <x:v>28920000</x:v>
      </x:c>
      <x:c r="G117" s="70" t="n">
        <x:f>E117-F117</x:f>
        <x:v>0</x:v>
      </x:c>
    </x:row>
    <x:row r="118">
      <x:c r="C118" s="45" t="n">
        <x:v>45869</x:v>
      </x:c>
      <x:c r="D118" t="str">
        <x:v>note_end.C</x:v>
      </x:c>
      <x:c r="E118" s="69" t="n">
        <x:v>21160000</x:v>
      </x:c>
      <x:c r="F118" s="69" t="n">
        <x:f>Actuals!E109</x:f>
        <x:v>21160000</x:v>
      </x:c>
      <x:c r="G118" s="70" t="n">
        <x:f>E118-F118</x:f>
        <x:v>0</x:v>
      </x:c>
    </x:row>
    <x:row r="119">
      <x:c r="C119" s="45" t="n">
        <x:v>45869</x:v>
      </x:c>
      <x:c r="D119" t="str">
        <x:v>note_end.D</x:v>
      </x:c>
      <x:c r="E119" s="69" t="n">
        <x:v>14110000</x:v>
      </x:c>
      <x:c r="F119" s="69" t="n">
        <x:f>Actuals!E110</x:f>
        <x:v>14110000</x:v>
      </x:c>
      <x:c r="G119" s="70" t="n">
        <x:f>E119-F119</x:f>
        <x:v>0</x:v>
      </x:c>
    </x:row>
    <x:row r="120">
      <x:c r="C120" s="45" t="n">
        <x:v>45869</x:v>
      </x:c>
      <x:c r="D120" t="str">
        <x:v>priority_principal</x:v>
      </x:c>
      <x:c r="E120" s="69" t="n">
        <x:v>0</x:v>
      </x:c>
      <x:c r="F120" s="69" t="n">
        <x:f>Actuals!E111</x:f>
        <x:v>0</x:v>
      </x:c>
      <x:c r="G120" s="70" t="n">
        <x:f>E120-F120</x:f>
        <x:v>0</x:v>
      </x:c>
    </x:row>
    <x:row r="121">
      <x:c r="C121" s="45" t="n">
        <x:v>45869</x:v>
      </x:c>
      <x:c r="D121" t="str">
        <x:v>secondary_principal</x:v>
      </x:c>
      <x:c r="E121" s="69" t="n">
        <x:v>3625661.3</x:v>
      </x:c>
      <x:c r="F121" s="69" t="n">
        <x:f>Actuals!E112</x:f>
        <x:v>3625661.3</x:v>
      </x:c>
      <x:c r="G121" s="70" t="n">
        <x:f>E121-F121</x:f>
        <x:v>0</x:v>
      </x:c>
    </x:row>
    <x:row r="122">
      <x:c r="C122" s="45" t="n">
        <x:v>45869</x:v>
      </x:c>
      <x:c r="D122" t="str">
        <x:v>tertiary_principal</x:v>
      </x:c>
      <x:c r="E122" s="69" t="n">
        <x:v>21160000</x:v>
      </x:c>
      <x:c r="F122" s="69" t="n">
        <x:f>Actuals!E113</x:f>
        <x:v>21160000</x:v>
      </x:c>
      <x:c r="G122" s="70" t="n">
        <x:f>E122-F122</x:f>
        <x:v>0</x:v>
      </x:c>
    </x:row>
    <x:row r="123">
      <x:c r="C123" s="45" t="n">
        <x:v>45869</x:v>
      </x:c>
      <x:c r="D123" t="str">
        <x:v>quaternary_principal</x:v>
      </x:c>
      <x:c r="E123" s="69" t="n">
        <x:v>14110000</x:v>
      </x:c>
      <x:c r="F123" s="69" t="n">
        <x:f>Actuals!E114</x:f>
        <x:v>14110000</x:v>
      </x:c>
      <x:c r="G123" s="70" t="n">
        <x:f>E123-F123</x:f>
        <x:v>0</x:v>
      </x:c>
    </x:row>
    <x:row r="124">
      <x:c r="C124" s="45" t="n">
        <x:v>45869</x:v>
      </x:c>
      <x:c r="D124" t="str">
        <x:v>regular_principal</x:v>
      </x:c>
      <x:c r="E124" s="69" t="n">
        <x:v>10579345.66</x:v>
      </x:c>
      <x:c r="F124" s="69" t="n">
        <x:f>Actuals!E115</x:f>
        <x:v>10579421.74</x:v>
      </x:c>
      <x:c r="G124" s="70" t="n">
        <x:f>E124-F124</x:f>
        <x:v>-76.0800000000745</x:v>
      </x:c>
    </x:row>
    <x:row r="125">
      <x:c r="C125" s="45" t="n">
        <x:v>45869</x:v>
      </x:c>
      <x:c r="D125" t="str">
        <x:v>oc_target</x:v>
      </x:c>
      <x:c r="E125" s="69" t="n">
        <x:v>10579345.66</x:v>
      </x:c>
      <x:c r="F125" s="69" t="n">
        <x:f>Actuals!E116</x:f>
        <x:v>10579421.74</x:v>
      </x:c>
      <x:c r="G125" s="70" t="n">
        <x:f>E125-F125</x:f>
        <x:v>-76.0800000000745</x:v>
      </x:c>
    </x:row>
    <x:row r="126">
      <x:c r="C126" s="45" t="n">
        <x:v>45900</x:v>
      </x:c>
      <x:c r="D126" t="str">
        <x:v>servicing_fee</x:v>
      </x:c>
      <x:c r="E126" s="69" t="n">
        <x:v>1017537.67</x:v>
      </x:c>
      <x:c r="F126" s="69" t="n">
        <x:f>Actuals!E117</x:f>
        <x:v>1017537.67</x:v>
      </x:c>
      <x:c r="G126" s="70" t="n">
        <x:f>E126-F126</x:f>
        <x:v>0</x:v>
      </x:c>
    </x:row>
    <x:row r="127">
      <x:c r="C127" s="45" t="n">
        <x:v>45900</x:v>
      </x:c>
      <x:c r="D127" t="str">
        <x:v>total_note_interest</x:v>
      </x:c>
      <x:c r="E127" s="69" t="n">
        <x:v>4709793.86</x:v>
      </x:c>
      <x:c r="F127" s="69" t="n">
        <x:f>Actuals!E118</x:f>
        <x:v>4709793.86</x:v>
      </x:c>
      <x:c r="G127" s="70" t="n">
        <x:f>E127-F127</x:f>
        <x:v>0</x:v>
      </x:c>
    </x:row>
    <x:row r="128">
      <x:c r="C128" s="45" t="n">
        <x:v>45900</x:v>
      </x:c>
      <x:c r="D128" t="str">
        <x:v>total_note_principal</x:v>
      </x:c>
      <x:c r="E128" s="69" t="n">
        <x:v>44981481.82</x:v>
      </x:c>
      <x:c r="F128" s="69" t="n">
        <x:f>Actuals!E119</x:f>
        <x:v>44981557.9</x:v>
      </x:c>
      <x:c r="G128" s="70" t="n">
        <x:f>E128-F128</x:f>
        <x:v>-76.07999999821186</x:v>
      </x:c>
    </x:row>
    <x:row r="129">
      <x:c r="C129" s="45" t="n">
        <x:v>45900</x:v>
      </x:c>
      <x:c r="D129" t="str">
        <x:v>residual_distribution</x:v>
      </x:c>
      <x:c r="E129" s="69" t="n">
        <x:v>3407102.81</x:v>
      </x:c>
      <x:c r="F129" s="69" t="n">
        <x:f>Actuals!E120</x:f>
        <x:v>3407026.73</x:v>
      </x:c>
      <x:c r="G129" s="70" t="n">
        <x:f>E129-F129</x:f>
        <x:v>76.0800000000745</x:v>
      </x:c>
    </x:row>
    <x:row r="130">
      <x:c r="C130" s="45" t="n">
        <x:v>45900</x:v>
      </x:c>
      <x:c r="D130" t="str">
        <x:v>reserve_deposit</x:v>
      </x:c>
      <x:c r="E130" s="69" t="n">
        <x:v>0</x:v>
      </x:c>
      <x:c r="F130" s="69" t="n">
        <x:f>Actuals!E121</x:f>
        <x:v>0</x:v>
      </x:c>
      <x:c r="G130" s="70" t="n">
        <x:f>E130-F130</x:f>
        <x:v>0</x:v>
      </x:c>
    </x:row>
    <x:row r="131">
      <x:c r="C131" s="45" t="n">
        <x:v>45900</x:v>
      </x:c>
      <x:c r="D131" t="str">
        <x:v>reserve_end</x:v>
      </x:c>
      <x:c r="E131" s="69" t="n">
        <x:v>3526448.55</x:v>
      </x:c>
      <x:c r="F131" s="69" t="n">
        <x:f>Actuals!E122</x:f>
        <x:v>3526448.55</x:v>
      </x:c>
      <x:c r="G131" s="70" t="n">
        <x:f>E131-F131</x:f>
        <x:v>0</x:v>
      </x:c>
    </x:row>
    <x:row r="132">
      <x:c r="C132" s="45" t="n">
        <x:v>45900</x:v>
      </x:c>
      <x:c r="D132" t="str">
        <x:v>reserve_release</x:v>
      </x:c>
      <x:c r="E132" s="69" t="n">
        <x:v>12601.52</x:v>
      </x:c>
      <x:c r="F132" s="69" t="n">
        <x:f>Actuals!E123</x:f>
        <x:v>12601.52</x:v>
      </x:c>
      <x:c r="G132" s="70" t="n">
        <x:f>E132-F132</x:f>
        <x:v>0</x:v>
      </x:c>
    </x:row>
    <x:row r="133">
      <x:c r="C133" s="45" t="n">
        <x:v>45900</x:v>
      </x:c>
      <x:c r="D133" t="str">
        <x:v>interest.A1</x:v>
      </x:c>
      <x:c r="E133" s="69" t="n">
        <x:v>360373.9</x:v>
      </x:c>
      <x:c r="F133" s="69" t="n">
        <x:f>Actuals!E124</x:f>
        <x:v>360373.9</x:v>
      </x:c>
      <x:c r="G133" s="70" t="n">
        <x:f>E133-F133</x:f>
        <x:v>0</x:v>
      </x:c>
    </x:row>
    <x:row r="134">
      <x:c r="C134" s="45" t="n">
        <x:v>45900</x:v>
      </x:c>
      <x:c r="D134" t="str">
        <x:v>interest.A2a</x:v>
      </x:c>
      <x:c r="E134" s="69" t="n">
        <x:v>1338750</x:v>
      </x:c>
      <x:c r="F134" s="69" t="n">
        <x:f>Actuals!E125</x:f>
        <x:v>1338750</x:v>
      </x:c>
      <x:c r="G134" s="70" t="n">
        <x:f>E134-F134</x:f>
        <x:v>0</x:v>
      </x:c>
    </x:row>
    <x:row r="135">
      <x:c r="C135" s="45" t="n">
        <x:v>45900</x:v>
      </x:c>
      <x:c r="D135" t="str">
        <x:v>interest.A2b</x:v>
      </x:c>
      <x:c r="E135" s="69" t="n">
        <x:v>699938.13</x:v>
      </x:c>
      <x:c r="F135" s="69" t="n">
        <x:f>Actuals!E126</x:f>
        <x:v>699938.13</x:v>
      </x:c>
      <x:c r="G135" s="70" t="n">
        <x:f>E135-F135</x:f>
        <x:v>0</x:v>
      </x:c>
    </x:row>
    <x:row r="136">
      <x:c r="C136" s="45" t="n">
        <x:v>45900</x:v>
      </x:c>
      <x:c r="D136" t="str">
        <x:v>interest.A3</x:v>
      </x:c>
      <x:c r="E136" s="69" t="n">
        <x:v>1687840</x:v>
      </x:c>
      <x:c r="F136" s="69" t="n">
        <x:f>Actuals!E127</x:f>
        <x:v>1687840</x:v>
      </x:c>
      <x:c r="G136" s="70" t="n">
        <x:f>E136-F136</x:f>
        <x:v>0</x:v>
      </x:c>
    </x:row>
    <x:row r="137">
      <x:c r="C137" s="45" t="n">
        <x:v>45900</x:v>
      </x:c>
      <x:c r="D137" t="str">
        <x:v>interest.A4</x:v>
      </x:c>
      <x:c r="E137" s="69" t="n">
        <x:v>344875</x:v>
      </x:c>
      <x:c r="F137" s="69" t="n">
        <x:f>Actuals!E128</x:f>
        <x:v>344875</x:v>
      </x:c>
      <x:c r="G137" s="70" t="n">
        <x:f>E137-F137</x:f>
        <x:v>0</x:v>
      </x:c>
    </x:row>
    <x:row r="138">
      <x:c r="C138" s="45" t="n">
        <x:v>45900</x:v>
      </x:c>
      <x:c r="D138" t="str">
        <x:v>interest.B</x:v>
      </x:c>
      <x:c r="E138" s="69" t="n">
        <x:v>119536</x:v>
      </x:c>
      <x:c r="F138" s="69" t="n">
        <x:f>Actuals!E129</x:f>
        <x:v>119536</x:v>
      </x:c>
      <x:c r="G138" s="70" t="n">
        <x:f>E138-F138</x:f>
        <x:v>0</x:v>
      </x:c>
    </x:row>
    <x:row r="139">
      <x:c r="C139" s="45" t="n">
        <x:v>45900</x:v>
      </x:c>
      <x:c r="D139" t="str">
        <x:v>interest.C</x:v>
      </x:c>
      <x:c r="E139" s="69" t="n">
        <x:v>90988</x:v>
      </x:c>
      <x:c r="F139" s="69" t="n">
        <x:f>Actuals!E130</x:f>
        <x:v>90988</x:v>
      </x:c>
      <x:c r="G139" s="70" t="n">
        <x:f>E139-F139</x:f>
        <x:v>0</x:v>
      </x:c>
    </x:row>
    <x:row r="140">
      <x:c r="C140" s="45" t="n">
        <x:v>45900</x:v>
      </x:c>
      <x:c r="D140" t="str">
        <x:v>interest.D</x:v>
      </x:c>
      <x:c r="E140" s="69" t="n">
        <x:v>67492.83</x:v>
      </x:c>
      <x:c r="F140" s="69" t="n">
        <x:f>Actuals!E131</x:f>
        <x:v>67492.83</x:v>
      </x:c>
      <x:c r="G140" s="70" t="n">
        <x:f>E140-F140</x:f>
        <x:v>0</x:v>
      </x:c>
    </x:row>
    <x:row r="141">
      <x:c r="C141" s="45" t="n">
        <x:v>45900</x:v>
      </x:c>
      <x:c r="D141" t="str">
        <x:v>principal.A1</x:v>
      </x:c>
      <x:c r="E141" s="69" t="n">
        <x:v>44981481.82</x:v>
      </x:c>
      <x:c r="F141" s="69" t="n">
        <x:f>Actuals!E132</x:f>
        <x:v>44981557.9</x:v>
      </x:c>
      <x:c r="G141" s="70" t="n">
        <x:f>E141-F141</x:f>
        <x:v>-76.07999999821186</x:v>
      </x:c>
    </x:row>
    <x:row r="142">
      <x:c r="C142" s="45" t="n">
        <x:v>45900</x:v>
      </x:c>
      <x:c r="D142" t="str">
        <x:v>principal.A2a</x:v>
      </x:c>
      <x:c r="E142" s="69" t="n">
        <x:v>0</x:v>
      </x:c>
      <x:c r="F142" s="69" t="n">
        <x:f>Actuals!E133</x:f>
        <x:v>0</x:v>
      </x:c>
      <x:c r="G142" s="70" t="n">
        <x:f>E142-F142</x:f>
        <x:v>0</x:v>
      </x:c>
    </x:row>
    <x:row r="143">
      <x:c r="C143" s="45" t="n">
        <x:v>45900</x:v>
      </x:c>
      <x:c r="D143" t="str">
        <x:v>principal.A2b</x:v>
      </x:c>
      <x:c r="E143" s="69" t="n">
        <x:v>0</x:v>
      </x:c>
      <x:c r="F143" s="69" t="n">
        <x:f>Actuals!E134</x:f>
        <x:v>0</x:v>
      </x:c>
      <x:c r="G143" s="70" t="n">
        <x:f>E143-F143</x:f>
        <x:v>0</x:v>
      </x:c>
    </x:row>
    <x:row r="144">
      <x:c r="C144" s="45" t="n">
        <x:v>45900</x:v>
      </x:c>
      <x:c r="D144" t="str">
        <x:v>principal.A3</x:v>
      </x:c>
      <x:c r="E144" s="69" t="n">
        <x:v>0</x:v>
      </x:c>
      <x:c r="F144" s="69" t="n">
        <x:f>Actuals!E135</x:f>
        <x:v>0</x:v>
      </x:c>
      <x:c r="G144" s="70" t="n">
        <x:f>E144-F144</x:f>
        <x:v>0</x:v>
      </x:c>
    </x:row>
    <x:row r="145">
      <x:c r="C145" s="45" t="n">
        <x:v>45900</x:v>
      </x:c>
      <x:c r="D145" t="str">
        <x:v>principal.A4</x:v>
      </x:c>
      <x:c r="E145" s="69" t="n">
        <x:v>0</x:v>
      </x:c>
      <x:c r="F145" s="69" t="n">
        <x:f>Actuals!E136</x:f>
        <x:v>0</x:v>
      </x:c>
      <x:c r="G145" s="70" t="n">
        <x:f>E145-F145</x:f>
        <x:v>0</x:v>
      </x:c>
    </x:row>
    <x:row r="146">
      <x:c r="C146" s="45" t="n">
        <x:v>45900</x:v>
      </x:c>
      <x:c r="D146" t="str">
        <x:v>principal.B</x:v>
      </x:c>
      <x:c r="E146" s="69" t="n">
        <x:v>0</x:v>
      </x:c>
      <x:c r="F146" s="69" t="n">
        <x:f>Actuals!E137</x:f>
        <x:v>0</x:v>
      </x:c>
      <x:c r="G146" s="70" t="n">
        <x:f>E146-F146</x:f>
        <x:v>0</x:v>
      </x:c>
    </x:row>
    <x:row r="147">
      <x:c r="C147" s="45" t="n">
        <x:v>45900</x:v>
      </x:c>
      <x:c r="D147" t="str">
        <x:v>principal.C</x:v>
      </x:c>
      <x:c r="E147" s="69" t="n">
        <x:v>0</x:v>
      </x:c>
      <x:c r="F147" s="69" t="n">
        <x:f>Actuals!E138</x:f>
        <x:v>0</x:v>
      </x:c>
      <x:c r="G147" s="70" t="n">
        <x:f>E147-F147</x:f>
        <x:v>0</x:v>
      </x:c>
    </x:row>
    <x:row r="148">
      <x:c r="C148" s="45" t="n">
        <x:v>45900</x:v>
      </x:c>
      <x:c r="D148" t="str">
        <x:v>principal.D</x:v>
      </x:c>
      <x:c r="E148" s="69" t="n">
        <x:v>0</x:v>
      </x:c>
      <x:c r="F148" s="69" t="n">
        <x:f>Actuals!E139</x:f>
        <x:v>0</x:v>
      </x:c>
      <x:c r="G148" s="70" t="n">
        <x:f>E148-F148</x:f>
        <x:v>0</x:v>
      </x:c>
    </x:row>
    <x:row r="149">
      <x:c r="C149" s="45" t="n">
        <x:v>45900</x:v>
      </x:c>
      <x:c r="D149" t="str">
        <x:v>note_end.A1</x:v>
      </x:c>
      <x:c r="E149" s="69" t="n">
        <x:v>48684301.68</x:v>
      </x:c>
      <x:c r="F149" s="69" t="n">
        <x:f>Actuals!E140</x:f>
        <x:v>48684225.6</x:v>
      </x:c>
      <x:c r="G149" s="70" t="n">
        <x:f>E149-F149</x:f>
        <x:v>76.07999999821186</x:v>
      </x:c>
    </x:row>
    <x:row r="150">
      <x:c r="C150" s="45" t="n">
        <x:v>45900</x:v>
      </x:c>
      <x:c r="D150" t="str">
        <x:v>note_end.A2a</x:v>
      </x:c>
      <x:c r="E150" s="69" t="n">
        <x:v>350000000</x:v>
      </x:c>
      <x:c r="F150" s="69" t="n">
        <x:f>Actuals!E141</x:f>
        <x:v>350000000</x:v>
      </x:c>
      <x:c r="G150" s="70" t="n">
        <x:f>E150-F150</x:f>
        <x:v>0</x:v>
      </x:c>
    </x:row>
    <x:row r="151">
      <x:c r="C151" s="45" t="n">
        <x:v>45900</x:v>
      </x:c>
      <x:c r="D151" t="str">
        <x:v>note_end.A2b</x:v>
      </x:c>
      <x:c r="E151" s="69" t="n">
        <x:v>161510000</x:v>
      </x:c>
      <x:c r="F151" s="69" t="n">
        <x:f>Actuals!E142</x:f>
        <x:v>161510000</x:v>
      </x:c>
      <x:c r="G151" s="70" t="n">
        <x:f>E151-F151</x:f>
        <x:v>0</x:v>
      </x:c>
    </x:row>
    <x:row r="152">
      <x:c r="C152" s="45" t="n">
        <x:v>45900</x:v>
      </x:c>
      <x:c r="D152" t="str">
        <x:v>note_end.A3</x:v>
      </x:c>
      <x:c r="E152" s="69" t="n">
        <x:v>452100000</x:v>
      </x:c>
      <x:c r="F152" s="69" t="n">
        <x:f>Actuals!E143</x:f>
        <x:v>452100000</x:v>
      </x:c>
      <x:c r="G152" s="70" t="n">
        <x:f>E152-F152</x:f>
        <x:v>0</x:v>
      </x:c>
    </x:row>
    <x:row r="153">
      <x:c r="C153" s="45" t="n">
        <x:v>45900</x:v>
      </x:c>
      <x:c r="D153" t="str">
        <x:v>note_end.A4</x:v>
      </x:c>
      <x:c r="E153" s="69" t="n">
        <x:v>89000000</x:v>
      </x:c>
      <x:c r="F153" s="69" t="n">
        <x:f>Actuals!E144</x:f>
        <x:v>89000000</x:v>
      </x:c>
      <x:c r="G153" s="70" t="n">
        <x:f>E153-F153</x:f>
        <x:v>0</x:v>
      </x:c>
    </x:row>
    <x:row r="154">
      <x:c r="C154" s="45" t="n">
        <x:v>45900</x:v>
      </x:c>
      <x:c r="D154" t="str">
        <x:v>note_end.B</x:v>
      </x:c>
      <x:c r="E154" s="69" t="n">
        <x:v>28920000</x:v>
      </x:c>
      <x:c r="F154" s="69" t="n">
        <x:f>Actuals!E145</x:f>
        <x:v>28920000</x:v>
      </x:c>
      <x:c r="G154" s="70" t="n">
        <x:f>E154-F154</x:f>
        <x:v>0</x:v>
      </x:c>
    </x:row>
    <x:row r="155">
      <x:c r="C155" s="45" t="n">
        <x:v>45900</x:v>
      </x:c>
      <x:c r="D155" t="str">
        <x:v>note_end.C</x:v>
      </x:c>
      <x:c r="E155" s="69" t="n">
        <x:v>21160000</x:v>
      </x:c>
      <x:c r="F155" s="69" t="n">
        <x:f>Actuals!E146</x:f>
        <x:v>21160000</x:v>
      </x:c>
      <x:c r="G155" s="70" t="n">
        <x:f>E155-F155</x:f>
        <x:v>0</x:v>
      </x:c>
    </x:row>
    <x:row r="156">
      <x:c r="C156" s="45" t="n">
        <x:v>45900</x:v>
      </x:c>
      <x:c r="D156" t="str">
        <x:v>note_end.D</x:v>
      </x:c>
      <x:c r="E156" s="69" t="n">
        <x:v>14110000</x:v>
      </x:c>
      <x:c r="F156" s="69" t="n">
        <x:f>Actuals!E147</x:f>
        <x:v>14110000</x:v>
      </x:c>
      <x:c r="G156" s="70" t="n">
        <x:f>E156-F156</x:f>
        <x:v>0</x:v>
      </x:c>
    </x:row>
    <x:row r="157">
      <x:c r="C157" s="45" t="n">
        <x:v>45900</x:v>
      </x:c>
      <x:c r="D157" t="str">
        <x:v>priority_principal</x:v>
      </x:c>
      <x:c r="E157" s="69" t="n">
        <x:v>0</x:v>
      </x:c>
      <x:c r="F157" s="69" t="n">
        <x:f>Actuals!E148</x:f>
        <x:v>0</x:v>
      </x:c>
      <x:c r="G157" s="70" t="n">
        <x:f>E157-F157</x:f>
        <x:v>0</x:v>
      </x:c>
    </x:row>
    <x:row r="158">
      <x:c r="C158" s="45" t="n">
        <x:v>45900</x:v>
      </x:c>
      <x:c r="D158" t="str">
        <x:v>secondary_principal</x:v>
      </x:c>
      <x:c r="E158" s="69" t="n">
        <x:v>0</x:v>
      </x:c>
      <x:c r="F158" s="69" t="n">
        <x:f>Actuals!E149</x:f>
        <x:v>0</x:v>
      </x:c>
      <x:c r="G158" s="70" t="n">
        <x:f>E158-F158</x:f>
        <x:v>0</x:v>
      </x:c>
    </x:row>
    <x:row r="159">
      <x:c r="C159" s="45" t="n">
        <x:v>45900</x:v>
      </x:c>
      <x:c r="D159" t="str">
        <x:v>tertiary_principal</x:v>
      </x:c>
      <x:c r="E159" s="69" t="n">
        <x:v>20292136.16</x:v>
      </x:c>
      <x:c r="F159" s="69" t="n">
        <x:f>Actuals!E150</x:f>
        <x:v>20292136.16</x:v>
      </x:c>
      <x:c r="G159" s="70" t="n">
        <x:f>E159-F159</x:f>
        <x:v>0</x:v>
      </x:c>
    </x:row>
    <x:row r="160">
      <x:c r="C160" s="45" t="n">
        <x:v>45900</x:v>
      </x:c>
      <x:c r="D160" t="str">
        <x:v>quaternary_principal</x:v>
      </x:c>
      <x:c r="E160" s="69" t="n">
        <x:v>14110000</x:v>
      </x:c>
      <x:c r="F160" s="69" t="n">
        <x:f>Actuals!E151</x:f>
        <x:v>14110000</x:v>
      </x:c>
      <x:c r="G160" s="70" t="n">
        <x:f>E160-F160</x:f>
        <x:v>0</x:v>
      </x:c>
    </x:row>
    <x:row r="161">
      <x:c r="C161" s="45" t="n">
        <x:v>45900</x:v>
      </x:c>
      <x:c r="D161" t="str">
        <x:v>regular_principal</x:v>
      </x:c>
      <x:c r="E161" s="69" t="n">
        <x:v>10579345.66</x:v>
      </x:c>
      <x:c r="F161" s="69" t="n">
        <x:f>Actuals!E152</x:f>
        <x:v>10579421.74</x:v>
      </x:c>
      <x:c r="G161" s="70" t="n">
        <x:f>E161-F161</x:f>
        <x:v>-76.0800000000745</x:v>
      </x:c>
    </x:row>
    <x:row r="162">
      <x:c r="C162" s="45" t="n">
        <x:v>45900</x:v>
      </x:c>
      <x:c r="D162" t="str">
        <x:v>oc_target</x:v>
      </x:c>
      <x:c r="E162" s="69" t="n">
        <x:v>10579345.66</x:v>
      </x:c>
      <x:c r="F162" s="69" t="n">
        <x:f>Actuals!E153</x:f>
        <x:v>10579421.74</x:v>
      </x:c>
      <x:c r="G162" s="70" t="n">
        <x:f>E162-F162</x:f>
        <x:v>-76.0800000000745</x:v>
      </x:c>
    </x:row>
    <x:row r="163">
      <x:c r="C163" s="45" t="n">
        <x:v>45930</x:v>
      </x:c>
      <x:c r="D163" t="str">
        <x:v>servicing_fee</x:v>
      </x:c>
      <x:c r="E163" s="69" t="n">
        <x:v>980053.04</x:v>
      </x:c>
      <x:c r="F163" s="69" t="n">
        <x:f>Actuals!E154</x:f>
        <x:v>980053.04</x:v>
      </x:c>
      <x:c r="G163" s="70" t="n">
        <x:f>E163-F163</x:f>
        <x:v>0</x:v>
      </x:c>
    </x:row>
    <x:row r="164">
      <x:c r="C164" s="45" t="n">
        <x:v>45930</x:v>
      </x:c>
      <x:c r="D164" t="str">
        <x:v>total_note_interest</x:v>
      </x:c>
      <x:c r="E164" s="69" t="n">
        <x:v>4512063.21</x:v>
      </x:c>
      <x:c r="F164" s="69" t="n">
        <x:f>Actuals!E155</x:f>
        <x:v>4512063.21</x:v>
      </x:c>
      <x:c r="G164" s="70" t="n">
        <x:f>E164-F164</x:f>
        <x:v>0</x:v>
      </x:c>
    </x:row>
    <x:row r="165">
      <x:c r="C165" s="45" t="n">
        <x:v>45930</x:v>
      </x:c>
      <x:c r="D165" t="str">
        <x:v>total_note_principal</x:v>
      </x:c>
      <x:c r="E165" s="69" t="n">
        <x:v>41139275.75</x:v>
      </x:c>
      <x:c r="F165" s="69" t="n">
        <x:f>Actuals!E156</x:f>
        <x:v>41139351.83</x:v>
      </x:c>
      <x:c r="G165" s="70" t="n">
        <x:f>E165-F165</x:f>
        <x:v>-76.07999999821186</x:v>
      </x:c>
    </x:row>
    <x:row r="166">
      <x:c r="C166" s="45" t="n">
        <x:v>45930</x:v>
      </x:c>
      <x:c r="D166" t="str">
        <x:v>residual_distribution</x:v>
      </x:c>
      <x:c r="E166" s="69" t="n">
        <x:v>2852364.06</x:v>
      </x:c>
      <x:c r="F166" s="69" t="n">
        <x:f>Actuals!E157</x:f>
        <x:v>2852287.98</x:v>
      </x:c>
      <x:c r="G166" s="70" t="n">
        <x:f>E166-F166</x:f>
        <x:v>76.0800000000745</x:v>
      </x:c>
    </x:row>
    <x:row r="167">
      <x:c r="C167" s="45" t="n">
        <x:v>45930</x:v>
      </x:c>
      <x:c r="D167" t="str">
        <x:v>reserve_deposit</x:v>
      </x:c>
      <x:c r="E167" s="69" t="n">
        <x:v>0</x:v>
      </x:c>
      <x:c r="F167" s="69" t="n">
        <x:f>Actuals!E158</x:f>
        <x:v>0</x:v>
      </x:c>
      <x:c r="G167" s="70" t="n">
        <x:f>E167-F167</x:f>
        <x:v>0</x:v>
      </x:c>
    </x:row>
    <x:row r="168">
      <x:c r="C168" s="45" t="n">
        <x:v>45930</x:v>
      </x:c>
      <x:c r="D168" t="str">
        <x:v>reserve_end</x:v>
      </x:c>
      <x:c r="E168" s="69" t="n">
        <x:v>3526448.55</x:v>
      </x:c>
      <x:c r="F168" s="69" t="n">
        <x:f>Actuals!E159</x:f>
        <x:v>3526448.55</x:v>
      </x:c>
      <x:c r="G168" s="70" t="n">
        <x:f>E168-F168</x:f>
        <x:v>0</x:v>
      </x:c>
    </x:row>
    <x:row r="169">
      <x:c r="C169" s="45" t="n">
        <x:v>45930</x:v>
      </x:c>
      <x:c r="D169" t="str">
        <x:v>reserve_release</x:v>
      </x:c>
      <x:c r="E169" s="69" t="n">
        <x:v>11969.04</x:v>
      </x:c>
      <x:c r="F169" s="69" t="n">
        <x:f>Actuals!E160</x:f>
        <x:v>11969.04</x:v>
      </x:c>
      <x:c r="G169" s="70" t="n">
        <x:f>E169-F169</x:f>
        <x:v>0</x:v>
      </x:c>
    </x:row>
    <x:row r="170">
      <x:c r="C170" s="45" t="n">
        <x:v>45930</x:v>
      </x:c>
      <x:c r="D170" t="str">
        <x:v>interest.A1</x:v>
      </x:c>
      <x:c r="E170" s="69" t="n">
        <x:v>181267.6</x:v>
      </x:c>
      <x:c r="F170" s="69" t="n">
        <x:f>Actuals!E161</x:f>
        <x:v>181267.6</x:v>
      </x:c>
      <x:c r="G170" s="70" t="n">
        <x:f>E170-F170</x:f>
        <x:v>0</x:v>
      </x:c>
    </x:row>
    <x:row r="171">
      <x:c r="C171" s="45" t="n">
        <x:v>45930</x:v>
      </x:c>
      <x:c r="D171" t="str">
        <x:v>interest.A2a</x:v>
      </x:c>
      <x:c r="E171" s="69" t="n">
        <x:v>1338750</x:v>
      </x:c>
      <x:c r="F171" s="69" t="n">
        <x:f>Actuals!E162</x:f>
        <x:v>1338750</x:v>
      </x:c>
      <x:c r="G171" s="70" t="n">
        <x:f>E171-F171</x:f>
        <x:v>0</x:v>
      </x:c>
    </x:row>
    <x:row r="172">
      <x:c r="C172" s="45" t="n">
        <x:v>45930</x:v>
      </x:c>
      <x:c r="D172" t="str">
        <x:v>interest.A2b</x:v>
      </x:c>
      <x:c r="E172" s="69" t="n">
        <x:v>681313.78</x:v>
      </x:c>
      <x:c r="F172" s="69" t="n">
        <x:f>Actuals!E163</x:f>
        <x:v>681313.78</x:v>
      </x:c>
      <x:c r="G172" s="70" t="n">
        <x:f>E172-F172</x:f>
        <x:v>0</x:v>
      </x:c>
    </x:row>
    <x:row r="173">
      <x:c r="C173" s="45" t="n">
        <x:v>45930</x:v>
      </x:c>
      <x:c r="D173" t="str">
        <x:v>interest.A3</x:v>
      </x:c>
      <x:c r="E173" s="69" t="n">
        <x:v>1687840</x:v>
      </x:c>
      <x:c r="F173" s="69" t="n">
        <x:f>Actuals!E164</x:f>
        <x:v>1687840</x:v>
      </x:c>
      <x:c r="G173" s="70" t="n">
        <x:f>E173-F173</x:f>
        <x:v>0</x:v>
      </x:c>
    </x:row>
    <x:row r="174">
      <x:c r="C174" s="45" t="n">
        <x:v>45930</x:v>
      </x:c>
      <x:c r="D174" t="str">
        <x:v>interest.A4</x:v>
      </x:c>
      <x:c r="E174" s="69" t="n">
        <x:v>344875</x:v>
      </x:c>
      <x:c r="F174" s="69" t="n">
        <x:f>Actuals!E165</x:f>
        <x:v>344875</x:v>
      </x:c>
      <x:c r="G174" s="70" t="n">
        <x:f>E174-F174</x:f>
        <x:v>0</x:v>
      </x:c>
    </x:row>
    <x:row r="175">
      <x:c r="C175" s="45" t="n">
        <x:v>45930</x:v>
      </x:c>
      <x:c r="D175" t="str">
        <x:v>interest.B</x:v>
      </x:c>
      <x:c r="E175" s="69" t="n">
        <x:v>119536</x:v>
      </x:c>
      <x:c r="F175" s="69" t="n">
        <x:f>Actuals!E166</x:f>
        <x:v>119536</x:v>
      </x:c>
      <x:c r="G175" s="70" t="n">
        <x:f>E175-F175</x:f>
        <x:v>0</x:v>
      </x:c>
    </x:row>
    <x:row r="176">
      <x:c r="C176" s="45" t="n">
        <x:v>45930</x:v>
      </x:c>
      <x:c r="D176" t="str">
        <x:v>interest.C</x:v>
      </x:c>
      <x:c r="E176" s="69" t="n">
        <x:v>90988</x:v>
      </x:c>
      <x:c r="F176" s="69" t="n">
        <x:f>Actuals!E167</x:f>
        <x:v>90988</x:v>
      </x:c>
      <x:c r="G176" s="70" t="n">
        <x:f>E176-F176</x:f>
        <x:v>0</x:v>
      </x:c>
    </x:row>
    <x:row r="177">
      <x:c r="C177" s="45" t="n">
        <x:v>45930</x:v>
      </x:c>
      <x:c r="D177" t="str">
        <x:v>interest.D</x:v>
      </x:c>
      <x:c r="E177" s="69" t="n">
        <x:v>67492.83</x:v>
      </x:c>
      <x:c r="F177" s="69" t="n">
        <x:f>Actuals!E168</x:f>
        <x:v>67492.83</x:v>
      </x:c>
      <x:c r="G177" s="70" t="n">
        <x:f>E177-F177</x:f>
        <x:v>0</x:v>
      </x:c>
    </x:row>
    <x:row r="178">
      <x:c r="C178" s="45" t="n">
        <x:v>45930</x:v>
      </x:c>
      <x:c r="D178" t="str">
        <x:v>principal.A1</x:v>
      </x:c>
      <x:c r="E178" s="69" t="n">
        <x:v>41139275.75</x:v>
      </x:c>
      <x:c r="F178" s="69" t="n">
        <x:f>Actuals!E169</x:f>
        <x:v>41139351.83</x:v>
      </x:c>
      <x:c r="G178" s="70" t="n">
        <x:f>E178-F178</x:f>
        <x:v>-76.07999999821186</x:v>
      </x:c>
    </x:row>
    <x:row r="179">
      <x:c r="C179" s="45" t="n">
        <x:v>45930</x:v>
      </x:c>
      <x:c r="D179" t="str">
        <x:v>principal.A2a</x:v>
      </x:c>
      <x:c r="E179" s="69" t="n">
        <x:v>0</x:v>
      </x:c>
      <x:c r="F179" s="69" t="n">
        <x:f>Actuals!E170</x:f>
        <x:v>0</x:v>
      </x:c>
      <x:c r="G179" s="70" t="n">
        <x:f>E179-F179</x:f>
        <x:v>0</x:v>
      </x:c>
    </x:row>
    <x:row r="180">
      <x:c r="C180" s="45" t="n">
        <x:v>45930</x:v>
      </x:c>
      <x:c r="D180" t="str">
        <x:v>principal.A2b</x:v>
      </x:c>
      <x:c r="E180" s="69" t="n">
        <x:v>0</x:v>
      </x:c>
      <x:c r="F180" s="69" t="n">
        <x:f>Actuals!E171</x:f>
        <x:v>0</x:v>
      </x:c>
      <x:c r="G180" s="70" t="n">
        <x:f>E180-F180</x:f>
        <x:v>0</x:v>
      </x:c>
    </x:row>
    <x:row r="181">
      <x:c r="C181" s="45" t="n">
        <x:v>45930</x:v>
      </x:c>
      <x:c r="D181" t="str">
        <x:v>principal.A3</x:v>
      </x:c>
      <x:c r="E181" s="69" t="n">
        <x:v>0</x:v>
      </x:c>
      <x:c r="F181" s="69" t="n">
        <x:f>Actuals!E172</x:f>
        <x:v>0</x:v>
      </x:c>
      <x:c r="G181" s="70" t="n">
        <x:f>E181-F181</x:f>
        <x:v>0</x:v>
      </x:c>
    </x:row>
    <x:row r="182">
      <x:c r="C182" s="45" t="n">
        <x:v>45930</x:v>
      </x:c>
      <x:c r="D182" t="str">
        <x:v>principal.A4</x:v>
      </x:c>
      <x:c r="E182" s="69" t="n">
        <x:v>0</x:v>
      </x:c>
      <x:c r="F182" s="69" t="n">
        <x:f>Actuals!E173</x:f>
        <x:v>0</x:v>
      </x:c>
      <x:c r="G182" s="70" t="n">
        <x:f>E182-F182</x:f>
        <x:v>0</x:v>
      </x:c>
    </x:row>
    <x:row r="183">
      <x:c r="C183" s="45" t="n">
        <x:v>45930</x:v>
      </x:c>
      <x:c r="D183" t="str">
        <x:v>principal.B</x:v>
      </x:c>
      <x:c r="E183" s="69" t="n">
        <x:v>0</x:v>
      </x:c>
      <x:c r="F183" s="69" t="n">
        <x:f>Actuals!E174</x:f>
        <x:v>0</x:v>
      </x:c>
      <x:c r="G183" s="70" t="n">
        <x:f>E183-F183</x:f>
        <x:v>0</x:v>
      </x:c>
    </x:row>
    <x:row r="184">
      <x:c r="C184" s="45" t="n">
        <x:v>45930</x:v>
      </x:c>
      <x:c r="D184" t="str">
        <x:v>principal.C</x:v>
      </x:c>
      <x:c r="E184" s="69" t="n">
        <x:v>0</x:v>
      </x:c>
      <x:c r="F184" s="69" t="n">
        <x:f>Actuals!E175</x:f>
        <x:v>0</x:v>
      </x:c>
      <x:c r="G184" s="70" t="n">
        <x:f>E184-F184</x:f>
        <x:v>0</x:v>
      </x:c>
    </x:row>
    <x:row r="185">
      <x:c r="C185" s="45" t="n">
        <x:v>45930</x:v>
      </x:c>
      <x:c r="D185" t="str">
        <x:v>principal.D</x:v>
      </x:c>
      <x:c r="E185" s="69" t="n">
        <x:v>0</x:v>
      </x:c>
      <x:c r="F185" s="69" t="n">
        <x:f>Actuals!E176</x:f>
        <x:v>0</x:v>
      </x:c>
      <x:c r="G185" s="70" t="n">
        <x:f>E185-F185</x:f>
        <x:v>0</x:v>
      </x:c>
    </x:row>
    <x:row r="186">
      <x:c r="C186" s="45" t="n">
        <x:v>45930</x:v>
      </x:c>
      <x:c r="D186" t="str">
        <x:v>note_end.A1</x:v>
      </x:c>
      <x:c r="E186" s="69" t="n">
        <x:v>7544949.85</x:v>
      </x:c>
      <x:c r="F186" s="69" t="n">
        <x:f>Actuals!E177</x:f>
        <x:v>7544873.77</x:v>
      </x:c>
      <x:c r="G186" s="70" t="n">
        <x:f>E186-F186</x:f>
        <x:v>76.0800000000745</x:v>
      </x:c>
    </x:row>
    <x:row r="187">
      <x:c r="C187" s="45" t="n">
        <x:v>45930</x:v>
      </x:c>
      <x:c r="D187" t="str">
        <x:v>note_end.A2a</x:v>
      </x:c>
      <x:c r="E187" s="69" t="n">
        <x:v>350000000</x:v>
      </x:c>
      <x:c r="F187" s="69" t="n">
        <x:f>Actuals!E178</x:f>
        <x:v>350000000</x:v>
      </x:c>
      <x:c r="G187" s="70" t="n">
        <x:f>E187-F187</x:f>
        <x:v>0</x:v>
      </x:c>
    </x:row>
    <x:row r="188">
      <x:c r="C188" s="45" t="n">
        <x:v>45930</x:v>
      </x:c>
      <x:c r="D188" t="str">
        <x:v>note_end.A2b</x:v>
      </x:c>
      <x:c r="E188" s="69" t="n">
        <x:v>161510000</x:v>
      </x:c>
      <x:c r="F188" s="69" t="n">
        <x:f>Actuals!E179</x:f>
        <x:v>161510000</x:v>
      </x:c>
      <x:c r="G188" s="70" t="n">
        <x:f>E188-F188</x:f>
        <x:v>0</x:v>
      </x:c>
    </x:row>
    <x:row r="189">
      <x:c r="C189" s="45" t="n">
        <x:v>45930</x:v>
      </x:c>
      <x:c r="D189" t="str">
        <x:v>note_end.A3</x:v>
      </x:c>
      <x:c r="E189" s="69" t="n">
        <x:v>452100000</x:v>
      </x:c>
      <x:c r="F189" s="69" t="n">
        <x:f>Actuals!E180</x:f>
        <x:v>452100000</x:v>
      </x:c>
      <x:c r="G189" s="70" t="n">
        <x:f>E189-F189</x:f>
        <x:v>0</x:v>
      </x:c>
    </x:row>
    <x:row r="190">
      <x:c r="C190" s="45" t="n">
        <x:v>45930</x:v>
      </x:c>
      <x:c r="D190" t="str">
        <x:v>note_end.A4</x:v>
      </x:c>
      <x:c r="E190" s="69" t="n">
        <x:v>89000000</x:v>
      </x:c>
      <x:c r="F190" s="69" t="n">
        <x:f>Actuals!E181</x:f>
        <x:v>89000000</x:v>
      </x:c>
      <x:c r="G190" s="70" t="n">
        <x:f>E190-F190</x:f>
        <x:v>0</x:v>
      </x:c>
    </x:row>
    <x:row r="191">
      <x:c r="C191" s="45" t="n">
        <x:v>45930</x:v>
      </x:c>
      <x:c r="D191" t="str">
        <x:v>note_end.B</x:v>
      </x:c>
      <x:c r="E191" s="69" t="n">
        <x:v>28920000</x:v>
      </x:c>
      <x:c r="F191" s="69" t="n">
        <x:f>Actuals!E182</x:f>
        <x:v>28920000</x:v>
      </x:c>
      <x:c r="G191" s="70" t="n">
        <x:f>E191-F191</x:f>
        <x:v>0</x:v>
      </x:c>
    </x:row>
    <x:row r="192">
      <x:c r="C192" s="45" t="n">
        <x:v>45930</x:v>
      </x:c>
      <x:c r="D192" t="str">
        <x:v>note_end.C</x:v>
      </x:c>
      <x:c r="E192" s="69" t="n">
        <x:v>21160000</x:v>
      </x:c>
      <x:c r="F192" s="69" t="n">
        <x:f>Actuals!E183</x:f>
        <x:v>21160000</x:v>
      </x:c>
      <x:c r="G192" s="70" t="n">
        <x:f>E192-F192</x:f>
        <x:v>0</x:v>
      </x:c>
    </x:row>
    <x:row r="193">
      <x:c r="C193" s="45" t="n">
        <x:v>45930</x:v>
      </x:c>
      <x:c r="D193" t="str">
        <x:v>note_end.D</x:v>
      </x:c>
      <x:c r="E193" s="69" t="n">
        <x:v>14110000</x:v>
      </x:c>
      <x:c r="F193" s="69" t="n">
        <x:f>Actuals!E184</x:f>
        <x:v>14110000</x:v>
      </x:c>
      <x:c r="G193" s="70" t="n">
        <x:f>E193-F193</x:f>
        <x:v>0</x:v>
      </x:c>
    </x:row>
    <x:row r="194">
      <x:c r="C194" s="45" t="n">
        <x:v>45930</x:v>
      </x:c>
      <x:c r="D194" t="str">
        <x:v>priority_principal</x:v>
      </x:c>
      <x:c r="E194" s="69" t="n">
        <x:v>0</x:v>
      </x:c>
      <x:c r="F194" s="69" t="n">
        <x:f>Actuals!E185</x:f>
        <x:v>0</x:v>
      </x:c>
      <x:c r="G194" s="70" t="n">
        <x:f>E194-F194</x:f>
        <x:v>0</x:v>
      </x:c>
    </x:row>
    <x:row r="195">
      <x:c r="C195" s="45" t="n">
        <x:v>45930</x:v>
      </x:c>
      <x:c r="D195" t="str">
        <x:v>secondary_principal</x:v>
      </x:c>
      <x:c r="E195" s="69" t="n">
        <x:v>0</x:v>
      </x:c>
      <x:c r="F195" s="69" t="n">
        <x:f>Actuals!E186</x:f>
        <x:v>0</x:v>
      </x:c>
      <x:c r="G195" s="70" t="n">
        <x:f>E195-F195</x:f>
        <x:v>0</x:v>
      </x:c>
    </x:row>
    <x:row r="196">
      <x:c r="C196" s="45" t="n">
        <x:v>45930</x:v>
      </x:c>
      <x:c r="D196" t="str">
        <x:v>tertiary_principal</x:v>
      </x:c>
      <x:c r="E196" s="69" t="n">
        <x:v>16449930.09</x:v>
      </x:c>
      <x:c r="F196" s="69" t="n">
        <x:f>Actuals!E187</x:f>
        <x:v>16449930.09</x:v>
      </x:c>
      <x:c r="G196" s="70" t="n">
        <x:f>E196-F196</x:f>
        <x:v>0</x:v>
      </x:c>
    </x:row>
    <x:row r="197">
      <x:c r="C197" s="45" t="n">
        <x:v>45930</x:v>
      </x:c>
      <x:c r="D197" t="str">
        <x:v>quaternary_principal</x:v>
      </x:c>
      <x:c r="E197" s="69" t="n">
        <x:v>14110000</x:v>
      </x:c>
      <x:c r="F197" s="69" t="n">
        <x:f>Actuals!E188</x:f>
        <x:v>14110000</x:v>
      </x:c>
      <x:c r="G197" s="70" t="n">
        <x:f>E197-F197</x:f>
        <x:v>0</x:v>
      </x:c>
    </x:row>
    <x:row r="198">
      <x:c r="C198" s="45" t="n">
        <x:v>45930</x:v>
      </x:c>
      <x:c r="D198" t="str">
        <x:v>regular_principal</x:v>
      </x:c>
      <x:c r="E198" s="69" t="n">
        <x:v>10579345.66</x:v>
      </x:c>
      <x:c r="F198" s="69" t="n">
        <x:f>Actuals!E189</x:f>
        <x:v>10579421.74</x:v>
      </x:c>
      <x:c r="G198" s="70" t="n">
        <x:f>E198-F198</x:f>
        <x:v>-76.0800000000745</x:v>
      </x:c>
    </x:row>
    <x:row r="199">
      <x:c r="C199" s="45" t="n">
        <x:v>45930</x:v>
      </x:c>
      <x:c r="D199" t="str">
        <x:v>oc_target</x:v>
      </x:c>
      <x:c r="E199" s="69" t="n">
        <x:v>10579345.66</x:v>
      </x:c>
      <x:c r="F199" s="69" t="n">
        <x:f>Actuals!E190</x:f>
        <x:v>10579421.74</x:v>
      </x:c>
      <x:c r="G199" s="70" t="n">
        <x:f>E199-F199</x:f>
        <x:v>-76.0800000000745</x:v>
      </x:c>
    </x:row>
    <x:row r="200">
      <x:c r="C200" s="45" t="n">
        <x:v>45961</x:v>
      </x:c>
      <x:c r="D200" t="str">
        <x:v>servicing_fee</x:v>
      </x:c>
      <x:c r="E200" s="69" t="n">
        <x:v>945770.25</x:v>
      </x:c>
      <x:c r="F200" s="69" t="n">
        <x:f>Actuals!E191</x:f>
        <x:v>945770.25</x:v>
      </x:c>
      <x:c r="G200" s="70" t="n">
        <x:f>E200-F200</x:f>
        <x:v>0</x:v>
      </x:c>
    </x:row>
    <x:row r="201">
      <x:c r="C201" s="45" t="n">
        <x:v>45961</x:v>
      </x:c>
      <x:c r="D201" t="str">
        <x:v>total_note_interest</x:v>
      </x:c>
      <x:c r="E201" s="69" t="n">
        <x:v>4409336.57</x:v>
      </x:c>
      <x:c r="F201" s="69" t="n">
        <x:f>Actuals!E192</x:f>
        <x:v>4409336.57</x:v>
      </x:c>
      <x:c r="G201" s="70" t="n">
        <x:f>E201-F201</x:f>
        <x:v>0</x:v>
      </x:c>
    </x:row>
    <x:row r="202">
      <x:c r="C202" s="45" t="n">
        <x:v>45961</x:v>
      </x:c>
      <x:c r="D202" t="str">
        <x:v>total_note_principal</x:v>
      </x:c>
      <x:c r="E202" s="69" t="n">
        <x:v>40922954.83</x:v>
      </x:c>
      <x:c r="F202" s="69" t="n">
        <x:f>Actuals!E193</x:f>
        <x:v>40923030.91</x:v>
      </x:c>
      <x:c r="G202" s="70" t="n">
        <x:f>E202-F202</x:f>
        <x:v>-76.07999999821186</x:v>
      </x:c>
    </x:row>
    <x:row r="203">
      <x:c r="C203" s="45" t="n">
        <x:v>45961</x:v>
      </x:c>
      <x:c r="D203" t="str">
        <x:v>residual_distribution</x:v>
      </x:c>
      <x:c r="E203" s="69" t="n">
        <x:v>2780452.11</x:v>
      </x:c>
      <x:c r="F203" s="69" t="n">
        <x:f>Actuals!E194</x:f>
        <x:v>2780376.03</x:v>
      </x:c>
      <x:c r="G203" s="70" t="n">
        <x:f>E203-F203</x:f>
        <x:v>76.0800000000745</x:v>
      </x:c>
    </x:row>
    <x:row r="204">
      <x:c r="C204" s="45" t="n">
        <x:v>45961</x:v>
      </x:c>
      <x:c r="D204" t="str">
        <x:v>reserve_deposit</x:v>
      </x:c>
      <x:c r="E204" s="69" t="n">
        <x:v>0</x:v>
      </x:c>
      <x:c r="F204" s="69" t="n">
        <x:f>Actuals!E195</x:f>
        <x:v>0</x:v>
      </x:c>
      <x:c r="G204" s="70" t="n">
        <x:f>E204-F204</x:f>
        <x:v>0</x:v>
      </x:c>
    </x:row>
    <x:row r="205">
      <x:c r="C205" s="45" t="n">
        <x:v>45961</x:v>
      </x:c>
      <x:c r="D205" t="str">
        <x:v>reserve_end</x:v>
      </x:c>
      <x:c r="E205" s="69" t="n">
        <x:v>3526448.55</x:v>
      </x:c>
      <x:c r="F205" s="69" t="n">
        <x:f>Actuals!E196</x:f>
        <x:v>3526448.55</x:v>
      </x:c>
      <x:c r="G205" s="70" t="n">
        <x:f>E205-F205</x:f>
        <x:v>0</x:v>
      </x:c>
    </x:row>
    <x:row r="206">
      <x:c r="C206" s="45" t="n">
        <x:v>45961</x:v>
      </x:c>
      <x:c r="D206" t="str">
        <x:v>reserve_release</x:v>
      </x:c>
      <x:c r="E206" s="69" t="n">
        <x:v>12085.76</x:v>
      </x:c>
      <x:c r="F206" s="69" t="n">
        <x:f>Actuals!E197</x:f>
        <x:v>12085.76</x:v>
      </x:c>
      <x:c r="G206" s="70" t="n">
        <x:f>E206-F206</x:f>
        <x:v>0</x:v>
      </x:c>
    </x:row>
    <x:row r="207">
      <x:c r="C207" s="45" t="n">
        <x:v>45961</x:v>
      </x:c>
      <x:c r="D207" t="str">
        <x:v>interest.A1</x:v>
      </x:c>
      <x:c r="E207" s="69" t="n">
        <x:v>30901.29</x:v>
      </x:c>
      <x:c r="F207" s="69" t="n">
        <x:f>Actuals!E198</x:f>
        <x:v>30901.29</x:v>
      </x:c>
      <x:c r="G207" s="70" t="n">
        <x:f>E207-F207</x:f>
        <x:v>0</x:v>
      </x:c>
    </x:row>
    <x:row r="208">
      <x:c r="C208" s="45" t="n">
        <x:v>45961</x:v>
      </x:c>
      <x:c r="D208" t="str">
        <x:v>interest.A2a</x:v>
      </x:c>
      <x:c r="E208" s="69" t="n">
        <x:v>1338750</x:v>
      </x:c>
      <x:c r="F208" s="69" t="n">
        <x:f>Actuals!E199</x:f>
        <x:v>1338750</x:v>
      </x:c>
      <x:c r="G208" s="70" t="n">
        <x:f>E208-F208</x:f>
        <x:v>0</x:v>
      </x:c>
    </x:row>
    <x:row r="209">
      <x:c r="C209" s="45" t="n">
        <x:v>45961</x:v>
      </x:c>
      <x:c r="D209" t="str">
        <x:v>interest.A2b</x:v>
      </x:c>
      <x:c r="E209" s="69" t="n">
        <x:v>728953.45</x:v>
      </x:c>
      <x:c r="F209" s="69" t="n">
        <x:f>Actuals!E200</x:f>
        <x:v>728953.45</x:v>
      </x:c>
      <x:c r="G209" s="70" t="n">
        <x:f>E209-F209</x:f>
        <x:v>0</x:v>
      </x:c>
    </x:row>
    <x:row r="210">
      <x:c r="C210" s="45" t="n">
        <x:v>45961</x:v>
      </x:c>
      <x:c r="D210" t="str">
        <x:v>interest.A3</x:v>
      </x:c>
      <x:c r="E210" s="69" t="n">
        <x:v>1687840</x:v>
      </x:c>
      <x:c r="F210" s="69" t="n">
        <x:f>Actuals!E201</x:f>
        <x:v>1687840</x:v>
      </x:c>
      <x:c r="G210" s="70" t="n">
        <x:f>E210-F210</x:f>
        <x:v>0</x:v>
      </x:c>
    </x:row>
    <x:row r="211">
      <x:c r="C211" s="45" t="n">
        <x:v>45961</x:v>
      </x:c>
      <x:c r="D211" t="str">
        <x:v>interest.A4</x:v>
      </x:c>
      <x:c r="E211" s="69" t="n">
        <x:v>344875</x:v>
      </x:c>
      <x:c r="F211" s="69" t="n">
        <x:f>Actuals!E202</x:f>
        <x:v>344875</x:v>
      </x:c>
      <x:c r="G211" s="70" t="n">
        <x:f>E211-F211</x:f>
        <x:v>0</x:v>
      </x:c>
    </x:row>
    <x:row r="212">
      <x:c r="C212" s="45" t="n">
        <x:v>45961</x:v>
      </x:c>
      <x:c r="D212" t="str">
        <x:v>interest.B</x:v>
      </x:c>
      <x:c r="E212" s="69" t="n">
        <x:v>119536</x:v>
      </x:c>
      <x:c r="F212" s="69" t="n">
        <x:f>Actuals!E203</x:f>
        <x:v>119536</x:v>
      </x:c>
      <x:c r="G212" s="70" t="n">
        <x:f>E212-F212</x:f>
        <x:v>0</x:v>
      </x:c>
    </x:row>
    <x:row r="213">
      <x:c r="C213" s="45" t="n">
        <x:v>45961</x:v>
      </x:c>
      <x:c r="D213" t="str">
        <x:v>interest.C</x:v>
      </x:c>
      <x:c r="E213" s="69" t="n">
        <x:v>90988</x:v>
      </x:c>
      <x:c r="F213" s="69" t="n">
        <x:f>Actuals!E204</x:f>
        <x:v>90988</x:v>
      </x:c>
      <x:c r="G213" s="70" t="n">
        <x:f>E213-F213</x:f>
        <x:v>0</x:v>
      </x:c>
    </x:row>
    <x:row r="214">
      <x:c r="C214" s="45" t="n">
        <x:v>45961</x:v>
      </x:c>
      <x:c r="D214" t="str">
        <x:v>interest.D</x:v>
      </x:c>
      <x:c r="E214" s="69" t="n">
        <x:v>67492.83</x:v>
      </x:c>
      <x:c r="F214" s="69" t="n">
        <x:f>Actuals!E205</x:f>
        <x:v>67492.83</x:v>
      </x:c>
      <x:c r="G214" s="70" t="n">
        <x:f>E214-F214</x:f>
        <x:v>0</x:v>
      </x:c>
    </x:row>
    <x:row r="215">
      <x:c r="C215" s="45" t="n">
        <x:v>45961</x:v>
      </x:c>
      <x:c r="D215" t="str">
        <x:v>principal.A1</x:v>
      </x:c>
      <x:c r="E215" s="69" t="n">
        <x:v>7544873.77</x:v>
      </x:c>
      <x:c r="F215" s="69" t="n">
        <x:f>Actuals!E206</x:f>
        <x:v>7544873.77</x:v>
      </x:c>
      <x:c r="G215" s="70" t="n">
        <x:f>E215-F215</x:f>
        <x:v>0</x:v>
      </x:c>
    </x:row>
    <x:row r="216">
      <x:c r="C216" s="45" t="n">
        <x:v>45961</x:v>
      </x:c>
      <x:c r="D216" t="str">
        <x:v>principal.A2a</x:v>
      </x:c>
      <x:c r="E216" s="69" t="n">
        <x:v>22838905.15</x:v>
      </x:c>
      <x:c r="F216" s="69" t="n">
        <x:f>Actuals!E207</x:f>
        <x:v>22838957.2</x:v>
      </x:c>
      <x:c r="G216" s="70" t="n">
        <x:f>E216-F216</x:f>
        <x:v>-52.05000000074506</x:v>
      </x:c>
    </x:row>
    <x:row r="217">
      <x:c r="C217" s="45" t="n">
        <x:v>45961</x:v>
      </x:c>
      <x:c r="D217" t="str">
        <x:v>principal.A2b</x:v>
      </x:c>
      <x:c r="E217" s="69" t="n">
        <x:v>10539175.91</x:v>
      </x:c>
      <x:c r="F217" s="69" t="n">
        <x:f>Actuals!E208</x:f>
        <x:v>10539199.94</x:v>
      </x:c>
      <x:c r="G217" s="70" t="n">
        <x:f>E217-F217</x:f>
        <x:v>-24.029999999329448</x:v>
      </x:c>
    </x:row>
    <x:row r="218">
      <x:c r="C218" s="45" t="n">
        <x:v>45961</x:v>
      </x:c>
      <x:c r="D218" t="str">
        <x:v>principal.A3</x:v>
      </x:c>
      <x:c r="E218" s="69" t="n">
        <x:v>0</x:v>
      </x:c>
      <x:c r="F218" s="69" t="n">
        <x:f>Actuals!E209</x:f>
        <x:v>0</x:v>
      </x:c>
      <x:c r="G218" s="70" t="n">
        <x:f>E218-F218</x:f>
        <x:v>0</x:v>
      </x:c>
    </x:row>
    <x:row r="219">
      <x:c r="C219" s="45" t="n">
        <x:v>45961</x:v>
      </x:c>
      <x:c r="D219" t="str">
        <x:v>principal.A4</x:v>
      </x:c>
      <x:c r="E219" s="69" t="n">
        <x:v>0</x:v>
      </x:c>
      <x:c r="F219" s="69" t="n">
        <x:f>Actuals!E210</x:f>
        <x:v>0</x:v>
      </x:c>
      <x:c r="G219" s="70" t="n">
        <x:f>E219-F219</x:f>
        <x:v>0</x:v>
      </x:c>
    </x:row>
    <x:row r="220">
      <x:c r="C220" s="45" t="n">
        <x:v>45961</x:v>
      </x:c>
      <x:c r="D220" t="str">
        <x:v>principal.B</x:v>
      </x:c>
      <x:c r="E220" s="69" t="n">
        <x:v>0</x:v>
      </x:c>
      <x:c r="F220" s="69" t="n">
        <x:f>Actuals!E211</x:f>
        <x:v>0</x:v>
      </x:c>
      <x:c r="G220" s="70" t="n">
        <x:f>E220-F220</x:f>
        <x:v>0</x:v>
      </x:c>
    </x:row>
    <x:row r="221">
      <x:c r="C221" s="45" t="n">
        <x:v>45961</x:v>
      </x:c>
      <x:c r="D221" t="str">
        <x:v>principal.C</x:v>
      </x:c>
      <x:c r="E221" s="69" t="n">
        <x:v>0</x:v>
      </x:c>
      <x:c r="F221" s="69" t="n">
        <x:f>Actuals!E212</x:f>
        <x:v>0</x:v>
      </x:c>
      <x:c r="G221" s="70" t="n">
        <x:f>E221-F221</x:f>
        <x:v>0</x:v>
      </x:c>
    </x:row>
    <x:row r="222">
      <x:c r="C222" s="45" t="n">
        <x:v>45961</x:v>
      </x:c>
      <x:c r="D222" t="str">
        <x:v>principal.D</x:v>
      </x:c>
      <x:c r="E222" s="69" t="n">
        <x:v>0</x:v>
      </x:c>
      <x:c r="F222" s="69" t="n">
        <x:f>Actuals!E213</x:f>
        <x:v>0</x:v>
      </x:c>
      <x:c r="G222" s="70" t="n">
        <x:f>E222-F222</x:f>
        <x:v>0</x:v>
      </x:c>
    </x:row>
    <x:row r="223">
      <x:c r="C223" s="45" t="n">
        <x:v>45961</x:v>
      </x:c>
      <x:c r="D223" t="str">
        <x:v>note_end.A1</x:v>
      </x:c>
      <x:c r="E223" s="69" t="n">
        <x:v>0</x:v>
      </x:c>
      <x:c r="F223" s="69" t="n">
        <x:f>Actuals!E214</x:f>
        <x:v>0</x:v>
      </x:c>
      <x:c r="G223" s="70" t="n">
        <x:f>E223-F223</x:f>
        <x:v>0</x:v>
      </x:c>
    </x:row>
    <x:row r="224">
      <x:c r="C224" s="45" t="n">
        <x:v>45961</x:v>
      </x:c>
      <x:c r="D224" t="str">
        <x:v>note_end.A2a</x:v>
      </x:c>
      <x:c r="E224" s="69" t="n">
        <x:v>327161094.85</x:v>
      </x:c>
      <x:c r="F224" s="69" t="n">
        <x:f>Actuals!E215</x:f>
        <x:v>327161042.8</x:v>
      </x:c>
      <x:c r="G224" s="70" t="n">
        <x:f>E224-F224</x:f>
        <x:v>52.05000001192093</x:v>
      </x:c>
    </x:row>
    <x:row r="225">
      <x:c r="C225" s="45" t="n">
        <x:v>45961</x:v>
      </x:c>
      <x:c r="D225" t="str">
        <x:v>note_end.A2b</x:v>
      </x:c>
      <x:c r="E225" s="69" t="n">
        <x:v>150970824.09</x:v>
      </x:c>
      <x:c r="F225" s="69" t="n">
        <x:f>Actuals!E216</x:f>
        <x:v>150970800.06</x:v>
      </x:c>
      <x:c r="G225" s="70" t="n">
        <x:f>E225-F225</x:f>
        <x:v>24.030000001192093</x:v>
      </x:c>
    </x:row>
    <x:row r="226">
      <x:c r="C226" s="45" t="n">
        <x:v>45961</x:v>
      </x:c>
      <x:c r="D226" t="str">
        <x:v>note_end.A3</x:v>
      </x:c>
      <x:c r="E226" s="69" t="n">
        <x:v>452100000</x:v>
      </x:c>
      <x:c r="F226" s="69" t="n">
        <x:f>Actuals!E217</x:f>
        <x:v>452100000</x:v>
      </x:c>
      <x:c r="G226" s="70" t="n">
        <x:f>E226-F226</x:f>
        <x:v>0</x:v>
      </x:c>
    </x:row>
    <x:row r="227">
      <x:c r="C227" s="45" t="n">
        <x:v>45961</x:v>
      </x:c>
      <x:c r="D227" t="str">
        <x:v>note_end.A4</x:v>
      </x:c>
      <x:c r="E227" s="69" t="n">
        <x:v>89000000</x:v>
      </x:c>
      <x:c r="F227" s="69" t="n">
        <x:f>Actuals!E218</x:f>
        <x:v>89000000</x:v>
      </x:c>
      <x:c r="G227" s="70" t="n">
        <x:f>E227-F227</x:f>
        <x:v>0</x:v>
      </x:c>
    </x:row>
    <x:row r="228">
      <x:c r="C228" s="45" t="n">
        <x:v>45961</x:v>
      </x:c>
      <x:c r="D228" t="str">
        <x:v>note_end.B</x:v>
      </x:c>
      <x:c r="E228" s="69" t="n">
        <x:v>28920000</x:v>
      </x:c>
      <x:c r="F228" s="69" t="n">
        <x:f>Actuals!E219</x:f>
        <x:v>28920000</x:v>
      </x:c>
      <x:c r="G228" s="70" t="n">
        <x:f>E228-F228</x:f>
        <x:v>0</x:v>
      </x:c>
    </x:row>
    <x:row r="229">
      <x:c r="C229" s="45" t="n">
        <x:v>45961</x:v>
      </x:c>
      <x:c r="D229" t="str">
        <x:v>note_end.C</x:v>
      </x:c>
      <x:c r="E229" s="69" t="n">
        <x:v>21160000</x:v>
      </x:c>
      <x:c r="F229" s="69" t="n">
        <x:f>Actuals!E220</x:f>
        <x:v>21160000</x:v>
      </x:c>
      <x:c r="G229" s="70" t="n">
        <x:f>E229-F229</x:f>
        <x:v>0</x:v>
      </x:c>
    </x:row>
    <x:row r="230">
      <x:c r="C230" s="45" t="n">
        <x:v>45961</x:v>
      </x:c>
      <x:c r="D230" t="str">
        <x:v>note_end.D</x:v>
      </x:c>
      <x:c r="E230" s="69" t="n">
        <x:v>14110000</x:v>
      </x:c>
      <x:c r="F230" s="69" t="n">
        <x:f>Actuals!E221</x:f>
        <x:v>14110000</x:v>
      </x:c>
      <x:c r="G230" s="70" t="n">
        <x:f>E230-F230</x:f>
        <x:v>0</x:v>
      </x:c>
    </x:row>
    <x:row r="231">
      <x:c r="C231" s="45" t="n">
        <x:v>45961</x:v>
      </x:c>
      <x:c r="D231" t="str">
        <x:v>priority_principal</x:v>
      </x:c>
      <x:c r="E231" s="69" t="n">
        <x:v>0</x:v>
      </x:c>
      <x:c r="F231" s="69" t="n">
        <x:f>Actuals!E222</x:f>
        <x:v>0</x:v>
      </x:c>
      <x:c r="G231" s="70" t="n">
        <x:f>E231-F231</x:f>
        <x:v>0</x:v>
      </x:c>
    </x:row>
    <x:row r="232">
      <x:c r="C232" s="45" t="n">
        <x:v>45961</x:v>
      </x:c>
      <x:c r="D232" t="str">
        <x:v>secondary_principal</x:v>
      </x:c>
      <x:c r="E232" s="69" t="n">
        <x:v>0</x:v>
      </x:c>
      <x:c r="F232" s="69" t="n">
        <x:f>Actuals!E223</x:f>
        <x:v>0</x:v>
      </x:c>
      <x:c r="G232" s="70" t="n">
        <x:f>E232-F232</x:f>
        <x:v>0</x:v>
      </x:c>
    </x:row>
    <x:row r="233">
      <x:c r="C233" s="45" t="n">
        <x:v>45961</x:v>
      </x:c>
      <x:c r="D233" t="str">
        <x:v>tertiary_principal</x:v>
      </x:c>
      <x:c r="E233" s="69" t="n">
        <x:v>16233609.17</x:v>
      </x:c>
      <x:c r="F233" s="69" t="n">
        <x:f>Actuals!E224</x:f>
        <x:v>16233609.17</x:v>
      </x:c>
      <x:c r="G233" s="70" t="n">
        <x:f>E233-F233</x:f>
        <x:v>0</x:v>
      </x:c>
    </x:row>
    <x:row r="234">
      <x:c r="C234" s="45" t="n">
        <x:v>45961</x:v>
      </x:c>
      <x:c r="D234" t="str">
        <x:v>quaternary_principal</x:v>
      </x:c>
      <x:c r="E234" s="69" t="n">
        <x:v>14110000</x:v>
      </x:c>
      <x:c r="F234" s="69" t="n">
        <x:f>Actuals!E225</x:f>
        <x:v>14110000</x:v>
      </x:c>
      <x:c r="G234" s="70" t="n">
        <x:f>E234-F234</x:f>
        <x:v>0</x:v>
      </x:c>
    </x:row>
    <x:row r="235">
      <x:c r="C235" s="45" t="n">
        <x:v>45961</x:v>
      </x:c>
      <x:c r="D235" t="str">
        <x:v>regular_principal</x:v>
      </x:c>
      <x:c r="E235" s="69" t="n">
        <x:v>10579345.66</x:v>
      </x:c>
      <x:c r="F235" s="69" t="n">
        <x:f>Actuals!E226</x:f>
        <x:v>10579421.74</x:v>
      </x:c>
      <x:c r="G235" s="70" t="n">
        <x:f>E235-F235</x:f>
        <x:v>-76.0800000000745</x:v>
      </x:c>
    </x:row>
    <x:row r="236">
      <x:c r="C236" s="45" t="n">
        <x:v>45961</x:v>
      </x:c>
      <x:c r="D236" t="str">
        <x:v>oc_target</x:v>
      </x:c>
      <x:c r="E236" s="69" t="n">
        <x:v>10579345.66</x:v>
      </x:c>
      <x:c r="F236" s="69" t="n">
        <x:f>Actuals!E227</x:f>
        <x:v>10579421.74</x:v>
      </x:c>
      <x:c r="G236" s="70" t="n">
        <x:f>E236-F236</x:f>
        <x:v>-76.0800000000745</x:v>
      </x:c>
    </x:row>
    <x:row r="237">
      <x:c r="C237" s="45" t="n">
        <x:v>45991</x:v>
      </x:c>
      <x:c r="D237" t="str">
        <x:v>servicing_fee</x:v>
      </x:c>
      <x:c r="E237" s="69" t="n">
        <x:v>911667.72</x:v>
      </x:c>
      <x:c r="F237" s="69" t="n">
        <x:f>Actuals!E228</x:f>
        <x:v>911667.72</x:v>
      </x:c>
      <x:c r="G237" s="70" t="n">
        <x:f>E237-F237</x:f>
        <x:v>0</x:v>
      </x:c>
    </x:row>
    <x:row r="238">
      <x:c r="C238" s="45" t="n">
        <x:v>45991</x:v>
      </x:c>
      <x:c r="D238" t="str">
        <x:v>total_note_interest</x:v>
      </x:c>
      <x:c r="E238" s="69" t="n">
        <x:v>4129506.98</x:v>
      </x:c>
      <x:c r="F238" s="69" t="n">
        <x:f>Actuals!E229</x:f>
        <x:v>4129506.98</x:v>
      </x:c>
      <x:c r="G238" s="70" t="n">
        <x:f>E238-F238</x:f>
        <x:v>0</x:v>
      </x:c>
    </x:row>
    <x:row r="239">
      <x:c r="C239" s="45" t="n">
        <x:v>45991</x:v>
      </x:c>
      <x:c r="D239" t="str">
        <x:v>total_note_principal</x:v>
      </x:c>
      <x:c r="E239" s="69" t="n">
        <x:v>37828410.96</x:v>
      </x:c>
      <x:c r="F239" s="69" t="n">
        <x:f>Actuals!E230</x:f>
        <x:v>37828487.04</x:v>
      </x:c>
      <x:c r="G239" s="70" t="n">
        <x:f>E239-F239</x:f>
        <x:v>-76.07999999821186</x:v>
      </x:c>
    </x:row>
    <x:row r="240">
      <x:c r="C240" s="45" t="n">
        <x:v>45991</x:v>
      </x:c>
      <x:c r="D240" t="str">
        <x:v>residual_distribution</x:v>
      </x:c>
      <x:c r="E240" s="69" t="n">
        <x:v>3268364.06</x:v>
      </x:c>
      <x:c r="F240" s="69" t="n">
        <x:f>Actuals!E231</x:f>
        <x:v>3268287.98</x:v>
      </x:c>
      <x:c r="G240" s="70" t="n">
        <x:f>E240-F240</x:f>
        <x:v>76.0800000000745</x:v>
      </x:c>
    </x:row>
    <x:row r="241">
      <x:c r="C241" s="45" t="n">
        <x:v>45991</x:v>
      </x:c>
      <x:c r="D241" t="str">
        <x:v>reserve_deposit</x:v>
      </x:c>
      <x:c r="E241" s="69" t="n">
        <x:v>0</x:v>
      </x:c>
      <x:c r="F241" s="69" t="n">
        <x:f>Actuals!E232</x:f>
        <x:v>0</x:v>
      </x:c>
      <x:c r="G241" s="70" t="n">
        <x:f>E241-F241</x:f>
        <x:v>0</x:v>
      </x:c>
    </x:row>
    <x:row r="242">
      <x:c r="C242" s="45" t="n">
        <x:v>45991</x:v>
      </x:c>
      <x:c r="D242" t="str">
        <x:v>reserve_end</x:v>
      </x:c>
      <x:c r="E242" s="69" t="n">
        <x:v>3526448.55</x:v>
      </x:c>
      <x:c r="F242" s="69" t="n">
        <x:f>Actuals!E233</x:f>
        <x:v>3526448.55</x:v>
      </x:c>
      <x:c r="G242" s="70" t="n">
        <x:f>E242-F242</x:f>
        <x:v>0</x:v>
      </x:c>
    </x:row>
    <x:row r="243">
      <x:c r="C243" s="45" t="n">
        <x:v>45991</x:v>
      </x:c>
      <x:c r="D243" t="str">
        <x:v>reserve_release</x:v>
      </x:c>
      <x:c r="E243" s="69" t="n">
        <x:v>11292.88</x:v>
      </x:c>
      <x:c r="F243" s="69" t="n">
        <x:f>Actuals!E234</x:f>
        <x:v>11292.88</x:v>
      </x:c>
      <x:c r="G243" s="70" t="n">
        <x:f>E243-F243</x:f>
        <x:v>0</x:v>
      </x:c>
    </x:row>
    <x:row r="244">
      <x:c r="C244" s="45" t="n">
        <x:v>45991</x:v>
      </x:c>
      <x:c r="D244" t="str">
        <x:v>interest.A1</x:v>
      </x:c>
      <x:c r="E244" s="69" t="n">
        <x:v>0</x:v>
      </x:c>
      <x:c r="F244" s="69" t="n">
        <x:f>Actuals!E235</x:f>
        <x:v>0</x:v>
      </x:c>
      <x:c r="G244" s="70" t="n">
        <x:f>E244-F244</x:f>
        <x:v>0</x:v>
      </x:c>
    </x:row>
    <x:row r="245">
      <x:c r="C245" s="45" t="n">
        <x:v>45991</x:v>
      </x:c>
      <x:c r="D245" t="str">
        <x:v>interest.A2a</x:v>
      </x:c>
      <x:c r="E245" s="69" t="n">
        <x:v>1251390.99</x:v>
      </x:c>
      <x:c r="F245" s="69" t="n">
        <x:f>Actuals!E236</x:f>
        <x:v>1251390.99</x:v>
      </x:c>
      <x:c r="G245" s="70" t="n">
        <x:f>E245-F245</x:f>
        <x:v>0</x:v>
      </x:c>
    </x:row>
    <x:row r="246">
      <x:c r="C246" s="45" t="n">
        <x:v>45991</x:v>
      </x:c>
      <x:c r="D246" t="str">
        <x:v>interest.A2b</x:v>
      </x:c>
      <x:c r="E246" s="69" t="n">
        <x:v>567384.16</x:v>
      </x:c>
      <x:c r="F246" s="69" t="n">
        <x:f>Actuals!E237</x:f>
        <x:v>567384.16</x:v>
      </x:c>
      <x:c r="G246" s="70" t="n">
        <x:f>E246-F246</x:f>
        <x:v>0</x:v>
      </x:c>
    </x:row>
    <x:row r="247">
      <x:c r="C247" s="45" t="n">
        <x:v>45991</x:v>
      </x:c>
      <x:c r="D247" t="str">
        <x:v>interest.A3</x:v>
      </x:c>
      <x:c r="E247" s="69" t="n">
        <x:v>1687840</x:v>
      </x:c>
      <x:c r="F247" s="69" t="n">
        <x:f>Actuals!E238</x:f>
        <x:v>1687840</x:v>
      </x:c>
      <x:c r="G247" s="70" t="n">
        <x:f>E247-F247</x:f>
        <x:v>0</x:v>
      </x:c>
    </x:row>
    <x:row r="248">
      <x:c r="C248" s="45" t="n">
        <x:v>45991</x:v>
      </x:c>
      <x:c r="D248" t="str">
        <x:v>interest.A4</x:v>
      </x:c>
      <x:c r="E248" s="69" t="n">
        <x:v>344875</x:v>
      </x:c>
      <x:c r="F248" s="69" t="n">
        <x:f>Actuals!E239</x:f>
        <x:v>344875</x:v>
      </x:c>
      <x:c r="G248" s="70" t="n">
        <x:f>E248-F248</x:f>
        <x:v>0</x:v>
      </x:c>
    </x:row>
    <x:row r="249">
      <x:c r="C249" s="45" t="n">
        <x:v>45991</x:v>
      </x:c>
      <x:c r="D249" t="str">
        <x:v>interest.B</x:v>
      </x:c>
      <x:c r="E249" s="69" t="n">
        <x:v>119536</x:v>
      </x:c>
      <x:c r="F249" s="69" t="n">
        <x:f>Actuals!E240</x:f>
        <x:v>119536</x:v>
      </x:c>
      <x:c r="G249" s="70" t="n">
        <x:f>E249-F249</x:f>
        <x:v>0</x:v>
      </x:c>
    </x:row>
    <x:row r="250">
      <x:c r="C250" s="45" t="n">
        <x:v>45991</x:v>
      </x:c>
      <x:c r="D250" t="str">
        <x:v>interest.C</x:v>
      </x:c>
      <x:c r="E250" s="69" t="n">
        <x:v>90988</x:v>
      </x:c>
      <x:c r="F250" s="69" t="n">
        <x:f>Actuals!E241</x:f>
        <x:v>90988</x:v>
      </x:c>
      <x:c r="G250" s="70" t="n">
        <x:f>E250-F250</x:f>
        <x:v>0</x:v>
      </x:c>
    </x:row>
    <x:row r="251">
      <x:c r="C251" s="45" t="n">
        <x:v>45991</x:v>
      </x:c>
      <x:c r="D251" t="str">
        <x:v>interest.D</x:v>
      </x:c>
      <x:c r="E251" s="69" t="n">
        <x:v>67492.83</x:v>
      </x:c>
      <x:c r="F251" s="69" t="n">
        <x:f>Actuals!E242</x:f>
        <x:v>67492.83</x:v>
      </x:c>
      <x:c r="G251" s="70" t="n">
        <x:f>E251-F251</x:f>
        <x:v>0</x:v>
      </x:c>
    </x:row>
    <x:row r="252">
      <x:c r="C252" s="45" t="n">
        <x:v>45991</x:v>
      </x:c>
      <x:c r="D252" t="str">
        <x:v>principal.A1</x:v>
      </x:c>
      <x:c r="E252" s="69" t="n">
        <x:v>0</x:v>
      </x:c>
      <x:c r="F252" s="69" t="n">
        <x:f>Actuals!E243</x:f>
        <x:v>0</x:v>
      </x:c>
      <x:c r="G252" s="70" t="n">
        <x:f>E252-F252</x:f>
        <x:v>0</x:v>
      </x:c>
    </x:row>
    <x:row r="253">
      <x:c r="C253" s="45" t="n">
        <x:v>45991</x:v>
      </x:c>
      <x:c r="D253" t="str">
        <x:v>principal.A2a</x:v>
      </x:c>
      <x:c r="E253" s="69" t="n">
        <x:v>25884037.14</x:v>
      </x:c>
      <x:c r="F253" s="69" t="n">
        <x:f>Actuals!E244</x:f>
        <x:v>25884089.19</x:v>
      </x:c>
      <x:c r="G253" s="70" t="n">
        <x:f>E253-F253</x:f>
        <x:v>-52.05000000074506</x:v>
      </x:c>
    </x:row>
    <x:row r="254">
      <x:c r="C254" s="45" t="n">
        <x:v>45991</x:v>
      </x:c>
      <x:c r="D254" t="str">
        <x:v>principal.A2b</x:v>
      </x:c>
      <x:c r="E254" s="69" t="n">
        <x:v>11944373.82</x:v>
      </x:c>
      <x:c r="F254" s="69" t="n">
        <x:f>Actuals!E245</x:f>
        <x:v>11944397.85</x:v>
      </x:c>
      <x:c r="G254" s="70" t="n">
        <x:f>E254-F254</x:f>
        <x:v>-24.029999999329448</x:v>
      </x:c>
    </x:row>
    <x:row r="255">
      <x:c r="C255" s="45" t="n">
        <x:v>45991</x:v>
      </x:c>
      <x:c r="D255" t="str">
        <x:v>principal.A3</x:v>
      </x:c>
      <x:c r="E255" s="69" t="n">
        <x:v>0</x:v>
      </x:c>
      <x:c r="F255" s="69" t="n">
        <x:f>Actuals!E246</x:f>
        <x:v>0</x:v>
      </x:c>
      <x:c r="G255" s="70" t="n">
        <x:f>E255-F255</x:f>
        <x:v>0</x:v>
      </x:c>
    </x:row>
    <x:row r="256">
      <x:c r="C256" s="45" t="n">
        <x:v>45991</x:v>
      </x:c>
      <x:c r="D256" t="str">
        <x:v>principal.A4</x:v>
      </x:c>
      <x:c r="E256" s="69" t="n">
        <x:v>0</x:v>
      </x:c>
      <x:c r="F256" s="69" t="n">
        <x:f>Actuals!E247</x:f>
        <x:v>0</x:v>
      </x:c>
      <x:c r="G256" s="70" t="n">
        <x:f>E256-F256</x:f>
        <x:v>0</x:v>
      </x:c>
    </x:row>
    <x:row r="257">
      <x:c r="C257" s="45" t="n">
        <x:v>45991</x:v>
      </x:c>
      <x:c r="D257" t="str">
        <x:v>principal.B</x:v>
      </x:c>
      <x:c r="E257" s="69" t="n">
        <x:v>0</x:v>
      </x:c>
      <x:c r="F257" s="69" t="n">
        <x:f>Actuals!E248</x:f>
        <x:v>0</x:v>
      </x:c>
      <x:c r="G257" s="70" t="n">
        <x:f>E257-F257</x:f>
        <x:v>0</x:v>
      </x:c>
    </x:row>
    <x:row r="258">
      <x:c r="C258" s="45" t="n">
        <x:v>45991</x:v>
      </x:c>
      <x:c r="D258" t="str">
        <x:v>principal.C</x:v>
      </x:c>
      <x:c r="E258" s="69" t="n">
        <x:v>0</x:v>
      </x:c>
      <x:c r="F258" s="69" t="n">
        <x:f>Actuals!E249</x:f>
        <x:v>0</x:v>
      </x:c>
      <x:c r="G258" s="70" t="n">
        <x:f>E258-F258</x:f>
        <x:v>0</x:v>
      </x:c>
    </x:row>
    <x:row r="259">
      <x:c r="C259" s="45" t="n">
        <x:v>45991</x:v>
      </x:c>
      <x:c r="D259" t="str">
        <x:v>principal.D</x:v>
      </x:c>
      <x:c r="E259" s="69" t="n">
        <x:v>0</x:v>
      </x:c>
      <x:c r="F259" s="69" t="n">
        <x:f>Actuals!E250</x:f>
        <x:v>0</x:v>
      </x:c>
      <x:c r="G259" s="70" t="n">
        <x:f>E259-F259</x:f>
        <x:v>0</x:v>
      </x:c>
    </x:row>
    <x:row r="260">
      <x:c r="C260" s="45" t="n">
        <x:v>45991</x:v>
      </x:c>
      <x:c r="D260" t="str">
        <x:v>note_end.A1</x:v>
      </x:c>
      <x:c r="E260" s="69" t="n">
        <x:v>0</x:v>
      </x:c>
      <x:c r="F260" s="69" t="n">
        <x:f>Actuals!E251</x:f>
        <x:v>0</x:v>
      </x:c>
      <x:c r="G260" s="70" t="n">
        <x:f>E260-F260</x:f>
        <x:v>0</x:v>
      </x:c>
    </x:row>
    <x:row r="261">
      <x:c r="C261" s="45" t="n">
        <x:v>45991</x:v>
      </x:c>
      <x:c r="D261" t="str">
        <x:v>note_end.A2a</x:v>
      </x:c>
      <x:c r="E261" s="69" t="n">
        <x:v>301277005.66</x:v>
      </x:c>
      <x:c r="F261" s="69" t="n">
        <x:f>Actuals!E252</x:f>
        <x:v>301276953.61</x:v>
      </x:c>
      <x:c r="G261" s="70" t="n">
        <x:f>E261-F261</x:f>
        <x:v>52.05000001192093</x:v>
      </x:c>
    </x:row>
    <x:row r="262">
      <x:c r="C262" s="45" t="n">
        <x:v>45991</x:v>
      </x:c>
      <x:c r="D262" t="str">
        <x:v>note_end.A2b</x:v>
      </x:c>
      <x:c r="E262" s="69" t="n">
        <x:v>139026426.24</x:v>
      </x:c>
      <x:c r="F262" s="69" t="n">
        <x:f>Actuals!E253</x:f>
        <x:v>139026402.21</x:v>
      </x:c>
      <x:c r="G262" s="70" t="n">
        <x:f>E262-F262</x:f>
        <x:v>24.030000001192093</x:v>
      </x:c>
    </x:row>
    <x:row r="263">
      <x:c r="C263" s="45" t="n">
        <x:v>45991</x:v>
      </x:c>
      <x:c r="D263" t="str">
        <x:v>note_end.A3</x:v>
      </x:c>
      <x:c r="E263" s="69" t="n">
        <x:v>452100000</x:v>
      </x:c>
      <x:c r="F263" s="69" t="n">
        <x:f>Actuals!E254</x:f>
        <x:v>452100000</x:v>
      </x:c>
      <x:c r="G263" s="70" t="n">
        <x:f>E263-F263</x:f>
        <x:v>0</x:v>
      </x:c>
    </x:row>
    <x:row r="264">
      <x:c r="C264" s="45" t="n">
        <x:v>45991</x:v>
      </x:c>
      <x:c r="D264" t="str">
        <x:v>note_end.A4</x:v>
      </x:c>
      <x:c r="E264" s="69" t="n">
        <x:v>89000000</x:v>
      </x:c>
      <x:c r="F264" s="69" t="n">
        <x:f>Actuals!E255</x:f>
        <x:v>89000000</x:v>
      </x:c>
      <x:c r="G264" s="70" t="n">
        <x:f>E264-F264</x:f>
        <x:v>0</x:v>
      </x:c>
    </x:row>
    <x:row r="265">
      <x:c r="C265" s="45" t="n">
        <x:v>45991</x:v>
      </x:c>
      <x:c r="D265" t="str">
        <x:v>note_end.B</x:v>
      </x:c>
      <x:c r="E265" s="69" t="n">
        <x:v>28920000</x:v>
      </x:c>
      <x:c r="F265" s="69" t="n">
        <x:f>Actuals!E256</x:f>
        <x:v>28920000</x:v>
      </x:c>
      <x:c r="G265" s="70" t="n">
        <x:f>E265-F265</x:f>
        <x:v>0</x:v>
      </x:c>
    </x:row>
    <x:row r="266">
      <x:c r="C266" s="45" t="n">
        <x:v>45991</x:v>
      </x:c>
      <x:c r="D266" t="str">
        <x:v>note_end.C</x:v>
      </x:c>
      <x:c r="E266" s="69" t="n">
        <x:v>21160000</x:v>
      </x:c>
      <x:c r="F266" s="69" t="n">
        <x:f>Actuals!E257</x:f>
        <x:v>21160000</x:v>
      </x:c>
      <x:c r="G266" s="70" t="n">
        <x:f>E266-F266</x:f>
        <x:v>0</x:v>
      </x:c>
    </x:row>
    <x:row r="267">
      <x:c r="C267" s="45" t="n">
        <x:v>45991</x:v>
      </x:c>
      <x:c r="D267" t="str">
        <x:v>note_end.D</x:v>
      </x:c>
      <x:c r="E267" s="69" t="n">
        <x:v>14110000</x:v>
      </x:c>
      <x:c r="F267" s="69" t="n">
        <x:f>Actuals!E258</x:f>
        <x:v>14110000</x:v>
      </x:c>
      <x:c r="G267" s="70" t="n">
        <x:f>E267-F267</x:f>
        <x:v>0</x:v>
      </x:c>
    </x:row>
    <x:row r="268">
      <x:c r="C268" s="45" t="n">
        <x:v>45991</x:v>
      </x:c>
      <x:c r="D268" t="str">
        <x:v>priority_principal</x:v>
      </x:c>
      <x:c r="E268" s="69" t="n">
        <x:v>0</x:v>
      </x:c>
      <x:c r="F268" s="69" t="n">
        <x:f>Actuals!E259</x:f>
        <x:v>0</x:v>
      </x:c>
      <x:c r="G268" s="70" t="n">
        <x:f>E268-F268</x:f>
        <x:v>0</x:v>
      </x:c>
    </x:row>
    <x:row r="269">
      <x:c r="C269" s="45" t="n">
        <x:v>45991</x:v>
      </x:c>
      <x:c r="D269" t="str">
        <x:v>secondary_principal</x:v>
      </x:c>
      <x:c r="E269" s="69" t="n">
        <x:v>0</x:v>
      </x:c>
      <x:c r="F269" s="69" t="n">
        <x:f>Actuals!E260</x:f>
        <x:v>0</x:v>
      </x:c>
      <x:c r="G269" s="70" t="n">
        <x:f>E269-F269</x:f>
        <x:v>0</x:v>
      </x:c>
    </x:row>
    <x:row r="270">
      <x:c r="C270" s="45" t="n">
        <x:v>45991</x:v>
      </x:c>
      <x:c r="D270" t="str">
        <x:v>tertiary_principal</x:v>
      </x:c>
      <x:c r="E270" s="69" t="n">
        <x:v>13139065.3</x:v>
      </x:c>
      <x:c r="F270" s="69" t="n">
        <x:f>Actuals!E261</x:f>
        <x:v>13139065.3</x:v>
      </x:c>
      <x:c r="G270" s="70" t="n">
        <x:f>E270-F270</x:f>
        <x:v>0</x:v>
      </x:c>
    </x:row>
    <x:row r="271">
      <x:c r="C271" s="45" t="n">
        <x:v>45991</x:v>
      </x:c>
      <x:c r="D271" t="str">
        <x:v>quaternary_principal</x:v>
      </x:c>
      <x:c r="E271" s="69" t="n">
        <x:v>14110000</x:v>
      </x:c>
      <x:c r="F271" s="69" t="n">
        <x:f>Actuals!E262</x:f>
        <x:v>14110000</x:v>
      </x:c>
      <x:c r="G271" s="70" t="n">
        <x:f>E271-F271</x:f>
        <x:v>0</x:v>
      </x:c>
    </x:row>
    <x:row r="272">
      <x:c r="C272" s="45" t="n">
        <x:v>45991</x:v>
      </x:c>
      <x:c r="D272" t="str">
        <x:v>regular_principal</x:v>
      </x:c>
      <x:c r="E272" s="69" t="n">
        <x:v>10579345.66</x:v>
      </x:c>
      <x:c r="F272" s="69" t="n">
        <x:f>Actuals!E263</x:f>
        <x:v>10579421.74</x:v>
      </x:c>
      <x:c r="G272" s="70" t="n">
        <x:f>E272-F272</x:f>
        <x:v>-76.0800000000745</x:v>
      </x:c>
    </x:row>
    <x:row r="273">
      <x:c r="C273" s="45" t="n">
        <x:v>45991</x:v>
      </x:c>
      <x:c r="D273" t="str">
        <x:v>oc_target</x:v>
      </x:c>
      <x:c r="E273" s="69" t="n">
        <x:v>10579345.66</x:v>
      </x:c>
      <x:c r="F273" s="69" t="n">
        <x:f>Actuals!E264</x:f>
        <x:v>10579421.74</x:v>
      </x:c>
      <x:c r="G273" s="70" t="n">
        <x:f>E273-F273</x:f>
        <x:v>-76.0800000000745</x:v>
      </x:c>
    </x:row>
    <x:row r="274">
      <x:c r="C274" s="45" t="n">
        <x:v>46022</x:v>
      </x:c>
      <x:c r="D274" t="str">
        <x:v>servicing_fee</x:v>
      </x:c>
      <x:c r="E274" s="69" t="n">
        <x:v>880143.98</x:v>
      </x:c>
      <x:c r="F274" s="69" t="n">
        <x:f>Actuals!E265</x:f>
        <x:v>880143.98</x:v>
      </x:c>
      <x:c r="G274" s="70" t="n">
        <x:f>E274-F274</x:f>
        <x:v>0</x:v>
      </x:c>
    </x:row>
    <x:row r="275">
      <x:c r="C275" s="45" t="n">
        <x:v>46022</x:v>
      </x:c>
      <x:c r="D275" t="str">
        <x:v>total_note_interest</x:v>
      </x:c>
      <x:c r="E275" s="69" t="n">
        <x:v>4022656.32</x:v>
      </x:c>
      <x:c r="F275" s="69" t="n">
        <x:f>Actuals!E266</x:f>
        <x:v>4022656.32</x:v>
      </x:c>
      <x:c r="G275" s="70" t="n">
        <x:f>E275-F275</x:f>
        <x:v>0</x:v>
      </x:c>
    </x:row>
    <x:row r="276">
      <x:c r="C276" s="45" t="n">
        <x:v>46022</x:v>
      </x:c>
      <x:c r="D276" t="str">
        <x:v>total_note_principal</x:v>
      </x:c>
      <x:c r="E276" s="69" t="n">
        <x:v>37555146.45</x:v>
      </x:c>
      <x:c r="F276" s="69" t="n">
        <x:f>Actuals!E267</x:f>
        <x:v>37555222.53</x:v>
      </x:c>
      <x:c r="G276" s="70" t="n">
        <x:f>E276-F276</x:f>
        <x:v>-76.07999999821186</x:v>
      </x:c>
    </x:row>
    <x:row r="277">
      <x:c r="C277" s="45" t="n">
        <x:v>46022</x:v>
      </x:c>
      <x:c r="D277" t="str">
        <x:v>residual_distribution</x:v>
      </x:c>
      <x:c r="E277" s="69" t="n">
        <x:v>2795899.2</x:v>
      </x:c>
      <x:c r="F277" s="69" t="n">
        <x:f>Actuals!E268</x:f>
        <x:v>2795823.12</x:v>
      </x:c>
      <x:c r="G277" s="70" t="n">
        <x:f>E277-F277</x:f>
        <x:v>76.0800000000745</x:v>
      </x:c>
    </x:row>
    <x:row r="278">
      <x:c r="C278" s="45" t="n">
        <x:v>46022</x:v>
      </x:c>
      <x:c r="D278" t="str">
        <x:v>reserve_deposit</x:v>
      </x:c>
      <x:c r="E278" s="69" t="n">
        <x:v>0</x:v>
      </x:c>
      <x:c r="F278" s="69" t="n">
        <x:f>Actuals!E269</x:f>
        <x:v>0</x:v>
      </x:c>
      <x:c r="G278" s="70" t="n">
        <x:f>E278-F278</x:f>
        <x:v>0</x:v>
      </x:c>
    </x:row>
    <x:row r="279">
      <x:c r="C279" s="45" t="n">
        <x:v>46022</x:v>
      </x:c>
      <x:c r="D279" t="str">
        <x:v>reserve_end</x:v>
      </x:c>
      <x:c r="E279" s="69" t="n">
        <x:v>3526448.55</x:v>
      </x:c>
      <x:c r="F279" s="69" t="n">
        <x:f>Actuals!E270</x:f>
        <x:v>3526448.55</x:v>
      </x:c>
      <x:c r="G279" s="70" t="n">
        <x:f>E279-F279</x:f>
        <x:v>0</x:v>
      </x:c>
    </x:row>
    <x:row r="280">
      <x:c r="C280" s="45" t="n">
        <x:v>46022</x:v>
      </x:c>
      <x:c r="D280" t="str">
        <x:v>reserve_release</x:v>
      </x:c>
      <x:c r="E280" s="69" t="n">
        <x:v>11207.94</x:v>
      </x:c>
      <x:c r="F280" s="69" t="n">
        <x:f>Actuals!E271</x:f>
        <x:v>11207.94</x:v>
      </x:c>
      <x:c r="G280" s="70" t="n">
        <x:f>E280-F280</x:f>
        <x:v>0</x:v>
      </x:c>
    </x:row>
    <x:row r="281">
      <x:c r="C281" s="45" t="n">
        <x:v>46022</x:v>
      </x:c>
      <x:c r="D281" t="str">
        <x:v>interest.A1</x:v>
      </x:c>
      <x:c r="E281" s="69" t="n">
        <x:v>0</x:v>
      </x:c>
      <x:c r="F281" s="69" t="n">
        <x:f>Actuals!E272</x:f>
        <x:v>0</x:v>
      </x:c>
      <x:c r="G281" s="70" t="n">
        <x:f>E281-F281</x:f>
        <x:v>0</x:v>
      </x:c>
    </x:row>
    <x:row r="282">
      <x:c r="C282" s="45" t="n">
        <x:v>46022</x:v>
      </x:c>
      <x:c r="D282" t="str">
        <x:v>interest.A2a</x:v>
      </x:c>
      <x:c r="E282" s="69" t="n">
        <x:v>1152384.35</x:v>
      </x:c>
      <x:c r="F282" s="69" t="n">
        <x:f>Actuals!E273</x:f>
        <x:v>1152384.35</x:v>
      </x:c>
      <x:c r="G282" s="70" t="n">
        <x:f>E282-F282</x:f>
        <x:v>0</x:v>
      </x:c>
    </x:row>
    <x:row r="283">
      <x:c r="C283" s="45" t="n">
        <x:v>46022</x:v>
      </x:c>
      <x:c r="D283" t="str">
        <x:v>interest.A2b</x:v>
      </x:c>
      <x:c r="E283" s="69" t="n">
        <x:v>559540.14</x:v>
      </x:c>
      <x:c r="F283" s="69" t="n">
        <x:f>Actuals!E274</x:f>
        <x:v>559540.14</x:v>
      </x:c>
      <x:c r="G283" s="70" t="n">
        <x:f>E283-F283</x:f>
        <x:v>0</x:v>
      </x:c>
    </x:row>
    <x:row r="284">
      <x:c r="C284" s="45" t="n">
        <x:v>46022</x:v>
      </x:c>
      <x:c r="D284" t="str">
        <x:v>interest.A3</x:v>
      </x:c>
      <x:c r="E284" s="69" t="n">
        <x:v>1687840</x:v>
      </x:c>
      <x:c r="F284" s="69" t="n">
        <x:f>Actuals!E275</x:f>
        <x:v>1687840</x:v>
      </x:c>
      <x:c r="G284" s="70" t="n">
        <x:f>E284-F284</x:f>
        <x:v>0</x:v>
      </x:c>
    </x:row>
    <x:row r="285">
      <x:c r="C285" s="45" t="n">
        <x:v>46022</x:v>
      </x:c>
      <x:c r="D285" t="str">
        <x:v>interest.A4</x:v>
      </x:c>
      <x:c r="E285" s="69" t="n">
        <x:v>344875</x:v>
      </x:c>
      <x:c r="F285" s="69" t="n">
        <x:f>Actuals!E276</x:f>
        <x:v>344875</x:v>
      </x:c>
      <x:c r="G285" s="70" t="n">
        <x:f>E285-F285</x:f>
        <x:v>0</x:v>
      </x:c>
    </x:row>
    <x:row r="286">
      <x:c r="C286" s="45" t="n">
        <x:v>46022</x:v>
      </x:c>
      <x:c r="D286" t="str">
        <x:v>interest.B</x:v>
      </x:c>
      <x:c r="E286" s="69" t="n">
        <x:v>119536</x:v>
      </x:c>
      <x:c r="F286" s="69" t="n">
        <x:f>Actuals!E277</x:f>
        <x:v>119536</x:v>
      </x:c>
      <x:c r="G286" s="70" t="n">
        <x:f>E286-F286</x:f>
        <x:v>0</x:v>
      </x:c>
    </x:row>
    <x:row r="287">
      <x:c r="C287" s="45" t="n">
        <x:v>46022</x:v>
      </x:c>
      <x:c r="D287" t="str">
        <x:v>interest.C</x:v>
      </x:c>
      <x:c r="E287" s="69" t="n">
        <x:v>90988</x:v>
      </x:c>
      <x:c r="F287" s="69" t="n">
        <x:f>Actuals!E278</x:f>
        <x:v>90988</x:v>
      </x:c>
      <x:c r="G287" s="70" t="n">
        <x:f>E287-F287</x:f>
        <x:v>0</x:v>
      </x:c>
    </x:row>
    <x:row r="288">
      <x:c r="C288" s="45" t="n">
        <x:v>46022</x:v>
      </x:c>
      <x:c r="D288" t="str">
        <x:v>interest.D</x:v>
      </x:c>
      <x:c r="E288" s="69" t="n">
        <x:v>67492.83</x:v>
      </x:c>
      <x:c r="F288" s="69" t="n">
        <x:f>Actuals!E279</x:f>
        <x:v>67492.83</x:v>
      </x:c>
      <x:c r="G288" s="70" t="n">
        <x:f>E288-F288</x:f>
        <x:v>0</x:v>
      </x:c>
    </x:row>
    <x:row r="289">
      <x:c r="C289" s="45" t="n">
        <x:v>46022</x:v>
      </x:c>
      <x:c r="D289" t="str">
        <x:v>principal.A1</x:v>
      </x:c>
      <x:c r="E289" s="69" t="n">
        <x:v>0</x:v>
      </x:c>
      <x:c r="F289" s="69" t="n">
        <x:f>Actuals!E280</x:f>
        <x:v>0</x:v>
      </x:c>
      <x:c r="G289" s="70" t="n">
        <x:f>E289-F289</x:f>
        <x:v>0</x:v>
      </x:c>
    </x:row>
    <x:row r="290">
      <x:c r="C290" s="45" t="n">
        <x:v>46022</x:v>
      </x:c>
      <x:c r="D290" t="str">
        <x:v>principal.A2a</x:v>
      </x:c>
      <x:c r="E290" s="69" t="n">
        <x:v>25697056.28</x:v>
      </x:c>
      <x:c r="F290" s="69" t="n">
        <x:f>Actuals!E281</x:f>
        <x:v>25697108.34</x:v>
      </x:c>
      <x:c r="G290" s="70" t="n">
        <x:f>E290-F290</x:f>
        <x:v>-52.059999998658895</x:v>
      </x:c>
    </x:row>
    <x:row r="291">
      <x:c r="C291" s="45" t="n">
        <x:v>46022</x:v>
      </x:c>
      <x:c r="D291" t="str">
        <x:v>principal.A2b</x:v>
      </x:c>
      <x:c r="E291" s="69" t="n">
        <x:v>11858090.17</x:v>
      </x:c>
      <x:c r="F291" s="69" t="n">
        <x:f>Actuals!E282</x:f>
        <x:v>11858114.19</x:v>
      </x:c>
      <x:c r="G291" s="70" t="n">
        <x:f>E291-F291</x:f>
        <x:v>-24.019999999552965</x:v>
      </x:c>
    </x:row>
    <x:row r="292">
      <x:c r="C292" s="45" t="n">
        <x:v>46022</x:v>
      </x:c>
      <x:c r="D292" t="str">
        <x:v>principal.A3</x:v>
      </x:c>
      <x:c r="E292" s="69" t="n">
        <x:v>0</x:v>
      </x:c>
      <x:c r="F292" s="69" t="n">
        <x:f>Actuals!E283</x:f>
        <x:v>0</x:v>
      </x:c>
      <x:c r="G292" s="70" t="n">
        <x:f>E292-F292</x:f>
        <x:v>0</x:v>
      </x:c>
    </x:row>
    <x:row r="293">
      <x:c r="C293" s="45" t="n">
        <x:v>46022</x:v>
      </x:c>
      <x:c r="D293" t="str">
        <x:v>principal.A4</x:v>
      </x:c>
      <x:c r="E293" s="69" t="n">
        <x:v>0</x:v>
      </x:c>
      <x:c r="F293" s="69" t="n">
        <x:f>Actuals!E284</x:f>
        <x:v>0</x:v>
      </x:c>
      <x:c r="G293" s="70" t="n">
        <x:f>E293-F293</x:f>
        <x:v>0</x:v>
      </x:c>
    </x:row>
    <x:row r="294">
      <x:c r="C294" s="45" t="n">
        <x:v>46022</x:v>
      </x:c>
      <x:c r="D294" t="str">
        <x:v>principal.B</x:v>
      </x:c>
      <x:c r="E294" s="69" t="n">
        <x:v>0</x:v>
      </x:c>
      <x:c r="F294" s="69" t="n">
        <x:f>Actuals!E285</x:f>
        <x:v>0</x:v>
      </x:c>
      <x:c r="G294" s="70" t="n">
        <x:f>E294-F294</x:f>
        <x:v>0</x:v>
      </x:c>
    </x:row>
    <x:row r="295">
      <x:c r="C295" s="45" t="n">
        <x:v>46022</x:v>
      </x:c>
      <x:c r="D295" t="str">
        <x:v>principal.C</x:v>
      </x:c>
      <x:c r="E295" s="69" t="n">
        <x:v>0</x:v>
      </x:c>
      <x:c r="F295" s="69" t="n">
        <x:f>Actuals!E286</x:f>
        <x:v>0</x:v>
      </x:c>
      <x:c r="G295" s="70" t="n">
        <x:f>E295-F295</x:f>
        <x:v>0</x:v>
      </x:c>
    </x:row>
    <x:row r="296">
      <x:c r="C296" s="45" t="n">
        <x:v>46022</x:v>
      </x:c>
      <x:c r="D296" t="str">
        <x:v>principal.D</x:v>
      </x:c>
      <x:c r="E296" s="69" t="n">
        <x:v>0</x:v>
      </x:c>
      <x:c r="F296" s="69" t="n">
        <x:f>Actuals!E287</x:f>
        <x:v>0</x:v>
      </x:c>
      <x:c r="G296" s="70" t="n">
        <x:f>E296-F296</x:f>
        <x:v>0</x:v>
      </x:c>
    </x:row>
    <x:row r="297">
      <x:c r="C297" s="45" t="n">
        <x:v>46022</x:v>
      </x:c>
      <x:c r="D297" t="str">
        <x:v>note_end.A1</x:v>
      </x:c>
      <x:c r="E297" s="69" t="n">
        <x:v>0</x:v>
      </x:c>
      <x:c r="F297" s="69" t="n">
        <x:f>Actuals!E288</x:f>
        <x:v>0</x:v>
      </x:c>
      <x:c r="G297" s="70" t="n">
        <x:f>E297-F297</x:f>
        <x:v>0</x:v>
      </x:c>
    </x:row>
    <x:row r="298">
      <x:c r="C298" s="45" t="n">
        <x:v>46022</x:v>
      </x:c>
      <x:c r="D298" t="str">
        <x:v>note_end.A2a</x:v>
      </x:c>
      <x:c r="E298" s="69" t="n">
        <x:v>275579897.33</x:v>
      </x:c>
      <x:c r="F298" s="69" t="n">
        <x:f>Actuals!E289</x:f>
        <x:v>275579845.27</x:v>
      </x:c>
      <x:c r="G298" s="70" t="n">
        <x:f>E298-F298</x:f>
        <x:v>52.060000002384186</x:v>
      </x:c>
    </x:row>
    <x:row r="299">
      <x:c r="C299" s="45" t="n">
        <x:v>46022</x:v>
      </x:c>
      <x:c r="D299" t="str">
        <x:v>note_end.A2b</x:v>
      </x:c>
      <x:c r="E299" s="69" t="n">
        <x:v>127168312.04</x:v>
      </x:c>
      <x:c r="F299" s="69" t="n">
        <x:f>Actuals!E290</x:f>
        <x:v>127168288.02</x:v>
      </x:c>
      <x:c r="G299" s="70" t="n">
        <x:f>E299-F299</x:f>
        <x:v>24.020000010728836</x:v>
      </x:c>
    </x:row>
    <x:row r="300">
      <x:c r="C300" s="45" t="n">
        <x:v>46022</x:v>
      </x:c>
      <x:c r="D300" t="str">
        <x:v>note_end.A3</x:v>
      </x:c>
      <x:c r="E300" s="69" t="n">
        <x:v>452100000</x:v>
      </x:c>
      <x:c r="F300" s="69" t="n">
        <x:f>Actuals!E291</x:f>
        <x:v>452100000</x:v>
      </x:c>
      <x:c r="G300" s="70" t="n">
        <x:f>E300-F300</x:f>
        <x:v>0</x:v>
      </x:c>
    </x:row>
    <x:row r="301">
      <x:c r="C301" s="45" t="n">
        <x:v>46022</x:v>
      </x:c>
      <x:c r="D301" t="str">
        <x:v>note_end.A4</x:v>
      </x:c>
      <x:c r="E301" s="69" t="n">
        <x:v>89000000</x:v>
      </x:c>
      <x:c r="F301" s="69" t="n">
        <x:f>Actuals!E292</x:f>
        <x:v>89000000</x:v>
      </x:c>
      <x:c r="G301" s="70" t="n">
        <x:f>E301-F301</x:f>
        <x:v>0</x:v>
      </x:c>
    </x:row>
    <x:row r="302">
      <x:c r="C302" s="45" t="n">
        <x:v>46022</x:v>
      </x:c>
      <x:c r="D302" t="str">
        <x:v>note_end.B</x:v>
      </x:c>
      <x:c r="E302" s="69" t="n">
        <x:v>28920000</x:v>
      </x:c>
      <x:c r="F302" s="69" t="n">
        <x:f>Actuals!E293</x:f>
        <x:v>28920000</x:v>
      </x:c>
      <x:c r="G302" s="70" t="n">
        <x:f>E302-F302</x:f>
        <x:v>0</x:v>
      </x:c>
    </x:row>
    <x:row r="303">
      <x:c r="C303" s="45" t="n">
        <x:v>46022</x:v>
      </x:c>
      <x:c r="D303" t="str">
        <x:v>note_end.C</x:v>
      </x:c>
      <x:c r="E303" s="69" t="n">
        <x:v>21160000</x:v>
      </x:c>
      <x:c r="F303" s="69" t="n">
        <x:f>Actuals!E294</x:f>
        <x:v>21160000</x:v>
      </x:c>
      <x:c r="G303" s="70" t="n">
        <x:f>E303-F303</x:f>
        <x:v>0</x:v>
      </x:c>
    </x:row>
    <x:row r="304">
      <x:c r="C304" s="45" t="n">
        <x:v>46022</x:v>
      </x:c>
      <x:c r="D304" t="str">
        <x:v>note_end.D</x:v>
      </x:c>
      <x:c r="E304" s="69" t="n">
        <x:v>14110000</x:v>
      </x:c>
      <x:c r="F304" s="69" t="n">
        <x:f>Actuals!E295</x:f>
        <x:v>14110000</x:v>
      </x:c>
      <x:c r="G304" s="70" t="n">
        <x:f>E304-F304</x:f>
        <x:v>0</x:v>
      </x:c>
    </x:row>
    <x:row r="305">
      <x:c r="C305" s="45" t="n">
        <x:v>46022</x:v>
      </x:c>
      <x:c r="D305" t="str">
        <x:v>priority_principal</x:v>
      </x:c>
      <x:c r="E305" s="69" t="n">
        <x:v>0</x:v>
      </x:c>
      <x:c r="F305" s="69" t="n">
        <x:f>Actuals!E296</x:f>
        <x:v>0</x:v>
      </x:c>
      <x:c r="G305" s="70" t="n">
        <x:f>E305-F305</x:f>
        <x:v>0</x:v>
      </x:c>
    </x:row>
    <x:row r="306">
      <x:c r="C306" s="45" t="n">
        <x:v>46022</x:v>
      </x:c>
      <x:c r="D306" t="str">
        <x:v>secondary_principal</x:v>
      </x:c>
      <x:c r="E306" s="69" t="n">
        <x:v>0</x:v>
      </x:c>
      <x:c r="F306" s="69" t="n">
        <x:f>Actuals!E297</x:f>
        <x:v>0</x:v>
      </x:c>
      <x:c r="G306" s="70" t="n">
        <x:f>E306-F306</x:f>
        <x:v>0</x:v>
      </x:c>
    </x:row>
    <x:row r="307">
      <x:c r="C307" s="45" t="n">
        <x:v>46022</x:v>
      </x:c>
      <x:c r="D307" t="str">
        <x:v>tertiary_principal</x:v>
      </x:c>
      <x:c r="E307" s="69" t="n">
        <x:v>12865800.79</x:v>
      </x:c>
      <x:c r="F307" s="69" t="n">
        <x:f>Actuals!E298</x:f>
        <x:v>12865800.79</x:v>
      </x:c>
      <x:c r="G307" s="70" t="n">
        <x:f>E307-F307</x:f>
        <x:v>0</x:v>
      </x:c>
    </x:row>
    <x:row r="308">
      <x:c r="C308" s="45" t="n">
        <x:v>46022</x:v>
      </x:c>
      <x:c r="D308" t="str">
        <x:v>quaternary_principal</x:v>
      </x:c>
      <x:c r="E308" s="69" t="n">
        <x:v>14110000</x:v>
      </x:c>
      <x:c r="F308" s="69" t="n">
        <x:f>Actuals!E299</x:f>
        <x:v>14110000</x:v>
      </x:c>
      <x:c r="G308" s="70" t="n">
        <x:f>E308-F308</x:f>
        <x:v>0</x:v>
      </x:c>
    </x:row>
    <x:row r="309">
      <x:c r="C309" s="45" t="n">
        <x:v>46022</x:v>
      </x:c>
      <x:c r="D309" t="str">
        <x:v>regular_principal</x:v>
      </x:c>
      <x:c r="E309" s="69" t="n">
        <x:v>10579345.66</x:v>
      </x:c>
      <x:c r="F309" s="69" t="n">
        <x:f>Actuals!E300</x:f>
        <x:v>10579421.74</x:v>
      </x:c>
      <x:c r="G309" s="70" t="n">
        <x:f>E309-F309</x:f>
        <x:v>-76.0800000000745</x:v>
      </x:c>
    </x:row>
    <x:row r="310">
      <x:c r="C310" s="45" t="n">
        <x:v>46022</x:v>
      </x:c>
      <x:c r="D310" t="str">
        <x:v>oc_target</x:v>
      </x:c>
      <x:c r="E310" s="69" t="n">
        <x:v>10579345.66</x:v>
      </x:c>
      <x:c r="F310" s="69" t="n">
        <x:f>Actuals!E301</x:f>
        <x:v>10579421.74</x:v>
      </x:c>
      <x:c r="G310" s="70" t="n">
        <x:f>E310-F310</x:f>
        <x:v>-76.0800000000745</x:v>
      </x:c>
    </x:row>
    <x:row r="311">
      <x:c r="C311" s="45" t="n">
        <x:v>46053</x:v>
      </x:c>
      <x:c r="D311" t="str">
        <x:v>servicing_fee</x:v>
      </x:c>
      <x:c r="E311" s="69" t="n">
        <x:v>848847.96</x:v>
      </x:c>
      <x:c r="F311" s="69" t="n">
        <x:f>Actuals!E302</x:f>
        <x:v>848847.96</x:v>
      </x:c>
      <x:c r="G311" s="70" t="n">
        <x:f>E311-F311</x:f>
        <x:v>0</x:v>
      </x:c>
    </x:row>
    <x:row r="312">
      <x:c r="C312" s="45" t="n">
        <x:v>46053</x:v>
      </x:c>
      <x:c r="D312" t="str">
        <x:v>total_note_interest</x:v>
      </x:c>
      <x:c r="E312" s="69" t="n">
        <x:v>3877427.92</x:v>
      </x:c>
      <x:c r="F312" s="69" t="n">
        <x:f>Actuals!E303</x:f>
        <x:v>3877427.92</x:v>
      </x:c>
      <x:c r="G312" s="70" t="n">
        <x:f>E312-F312</x:f>
        <x:v>0</x:v>
      </x:c>
    </x:row>
    <x:row r="313">
      <x:c r="C313" s="45" t="n">
        <x:v>46053</x:v>
      </x:c>
      <x:c r="D313" t="str">
        <x:v>total_note_principal</x:v>
      </x:c>
      <x:c r="E313" s="69" t="n">
        <x:v>37363798.81</x:v>
      </x:c>
      <x:c r="F313" s="69" t="n">
        <x:f>Actuals!E304</x:f>
        <x:v>37363874.89</x:v>
      </x:c>
      <x:c r="G313" s="70" t="n">
        <x:f>E313-F313</x:f>
        <x:v>-76.07999999821186</x:v>
      </x:c>
    </x:row>
    <x:row r="314">
      <x:c r="C314" s="45" t="n">
        <x:v>46053</x:v>
      </x:c>
      <x:c r="D314" t="str">
        <x:v>residual_distribution</x:v>
      </x:c>
      <x:c r="E314" s="69" t="n">
        <x:v>2847767.29</x:v>
      </x:c>
      <x:c r="F314" s="69" t="n">
        <x:f>Actuals!E305</x:f>
        <x:v>2847691.21</x:v>
      </x:c>
      <x:c r="G314" s="70" t="n">
        <x:f>E314-F314</x:f>
        <x:v>76.0800000000745</x:v>
      </x:c>
    </x:row>
    <x:row r="315">
      <x:c r="C315" s="45" t="n">
        <x:v>46053</x:v>
      </x:c>
      <x:c r="D315" t="str">
        <x:v>reserve_deposit</x:v>
      </x:c>
      <x:c r="E315" s="69" t="n">
        <x:v>0</x:v>
      </x:c>
      <x:c r="F315" s="69" t="n">
        <x:f>Actuals!E306</x:f>
        <x:v>0</x:v>
      </x:c>
      <x:c r="G315" s="70" t="n">
        <x:f>E315-F315</x:f>
        <x:v>0</x:v>
      </x:c>
    </x:row>
    <x:row r="316">
      <x:c r="C316" s="45" t="n">
        <x:v>46053</x:v>
      </x:c>
      <x:c r="D316" t="str">
        <x:v>reserve_end</x:v>
      </x:c>
      <x:c r="E316" s="69" t="n">
        <x:v>3526448.55</x:v>
      </x:c>
      <x:c r="F316" s="69" t="n">
        <x:f>Actuals!E307</x:f>
        <x:v>3526448.55</x:v>
      </x:c>
      <x:c r="G316" s="70" t="n">
        <x:f>E316-F316</x:f>
        <x:v>0</x:v>
      </x:c>
    </x:row>
    <x:row r="317">
      <x:c r="C317" s="45" t="n">
        <x:v>46053</x:v>
      </x:c>
      <x:c r="D317" t="str">
        <x:v>reserve_release</x:v>
      </x:c>
      <x:c r="E317" s="69" t="n">
        <x:v>10884.15</x:v>
      </x:c>
      <x:c r="F317" s="69" t="n">
        <x:f>Actuals!E308</x:f>
        <x:v>10884.15</x:v>
      </x:c>
      <x:c r="G317" s="70" t="n">
        <x:f>E317-F317</x:f>
        <x:v>0</x:v>
      </x:c>
    </x:row>
    <x:row r="318">
      <x:c r="C318" s="45" t="n">
        <x:v>46053</x:v>
      </x:c>
      <x:c r="D318" t="str">
        <x:v>interest.A1</x:v>
      </x:c>
      <x:c r="E318" s="69" t="n">
        <x:v>0</x:v>
      </x:c>
      <x:c r="F318" s="69" t="n">
        <x:f>Actuals!E309</x:f>
        <x:v>0</x:v>
      </x:c>
      <x:c r="G318" s="70" t="n">
        <x:f>E318-F318</x:f>
        <x:v>0</x:v>
      </x:c>
    </x:row>
    <x:row r="319">
      <x:c r="C319" s="45" t="n">
        <x:v>46053</x:v>
      </x:c>
      <x:c r="D319" t="str">
        <x:v>interest.A2a</x:v>
      </x:c>
      <x:c r="E319" s="69" t="n">
        <x:v>1054092.91</x:v>
      </x:c>
      <x:c r="F319" s="69" t="n">
        <x:f>Actuals!E310</x:f>
        <x:v>1054092.91</x:v>
      </x:c>
      <x:c r="G319" s="70" t="n">
        <x:f>E319-F319</x:f>
        <x:v>0</x:v>
      </x:c>
    </x:row>
    <x:row r="320">
      <x:c r="C320" s="45" t="n">
        <x:v>46053</x:v>
      </x:c>
      <x:c r="D320" t="str">
        <x:v>interest.A2b</x:v>
      </x:c>
      <x:c r="E320" s="69" t="n">
        <x:v>512603.18</x:v>
      </x:c>
      <x:c r="F320" s="69" t="n">
        <x:f>Actuals!E311</x:f>
        <x:v>512603.18</x:v>
      </x:c>
      <x:c r="G320" s="70" t="n">
        <x:f>E320-F320</x:f>
        <x:v>0</x:v>
      </x:c>
    </x:row>
    <x:row r="321">
      <x:c r="C321" s="45" t="n">
        <x:v>46053</x:v>
      </x:c>
      <x:c r="D321" t="str">
        <x:v>interest.A3</x:v>
      </x:c>
      <x:c r="E321" s="69" t="n">
        <x:v>1687840</x:v>
      </x:c>
      <x:c r="F321" s="69" t="n">
        <x:f>Actuals!E312</x:f>
        <x:v>1687840</x:v>
      </x:c>
      <x:c r="G321" s="70" t="n">
        <x:f>E321-F321</x:f>
        <x:v>0</x:v>
      </x:c>
    </x:row>
    <x:row r="322">
      <x:c r="C322" s="45" t="n">
        <x:v>46053</x:v>
      </x:c>
      <x:c r="D322" t="str">
        <x:v>interest.A4</x:v>
      </x:c>
      <x:c r="E322" s="69" t="n">
        <x:v>344875</x:v>
      </x:c>
      <x:c r="F322" s="69" t="n">
        <x:f>Actuals!E313</x:f>
        <x:v>344875</x:v>
      </x:c>
      <x:c r="G322" s="70" t="n">
        <x:f>E322-F322</x:f>
        <x:v>0</x:v>
      </x:c>
    </x:row>
    <x:row r="323">
      <x:c r="C323" s="45" t="n">
        <x:v>46053</x:v>
      </x:c>
      <x:c r="D323" t="str">
        <x:v>interest.B</x:v>
      </x:c>
      <x:c r="E323" s="69" t="n">
        <x:v>119536</x:v>
      </x:c>
      <x:c r="F323" s="69" t="n">
        <x:f>Actuals!E314</x:f>
        <x:v>119536</x:v>
      </x:c>
      <x:c r="G323" s="70" t="n">
        <x:f>E323-F323</x:f>
        <x:v>0</x:v>
      </x:c>
    </x:row>
    <x:row r="324">
      <x:c r="C324" s="45" t="n">
        <x:v>46053</x:v>
      </x:c>
      <x:c r="D324" t="str">
        <x:v>interest.C</x:v>
      </x:c>
      <x:c r="E324" s="69" t="n">
        <x:v>90988</x:v>
      </x:c>
      <x:c r="F324" s="69" t="n">
        <x:f>Actuals!E315</x:f>
        <x:v>90988</x:v>
      </x:c>
      <x:c r="G324" s="70" t="n">
        <x:f>E324-F324</x:f>
        <x:v>0</x:v>
      </x:c>
    </x:row>
    <x:row r="325">
      <x:c r="C325" s="45" t="n">
        <x:v>46053</x:v>
      </x:c>
      <x:c r="D325" t="str">
        <x:v>interest.D</x:v>
      </x:c>
      <x:c r="E325" s="69" t="n">
        <x:v>67492.83</x:v>
      </x:c>
      <x:c r="F325" s="69" t="n">
        <x:f>Actuals!E316</x:f>
        <x:v>67492.83</x:v>
      </x:c>
      <x:c r="G325" s="70" t="n">
        <x:f>E325-F325</x:f>
        <x:v>0</x:v>
      </x:c>
    </x:row>
    <x:row r="326">
      <x:c r="C326" s="45" t="n">
        <x:v>46053</x:v>
      </x:c>
      <x:c r="D326" t="str">
        <x:v>principal.A1</x:v>
      </x:c>
      <x:c r="E326" s="69" t="n">
        <x:v>0</x:v>
      </x:c>
      <x:c r="F326" s="69" t="n">
        <x:f>Actuals!E317</x:f>
        <x:v>0</x:v>
      </x:c>
      <x:c r="G326" s="70" t="n">
        <x:f>E326-F326</x:f>
        <x:v>0</x:v>
      </x:c>
    </x:row>
    <x:row r="327">
      <x:c r="C327" s="45" t="n">
        <x:v>46053</x:v>
      </x:c>
      <x:c r="D327" t="str">
        <x:v>principal.A2a</x:v>
      </x:c>
      <x:c r="E327" s="69" t="n">
        <x:v>25566126.93</x:v>
      </x:c>
      <x:c r="F327" s="69" t="n">
        <x:f>Actuals!E318</x:f>
        <x:v>25566178.98</x:v>
      </x:c>
      <x:c r="G327" s="70" t="n">
        <x:f>E327-F327</x:f>
        <x:v>-52.05000000074506</x:v>
      </x:c>
    </x:row>
    <x:row r="328">
      <x:c r="C328" s="45" t="n">
        <x:v>46053</x:v>
      </x:c>
      <x:c r="D328" t="str">
        <x:v>principal.A2b</x:v>
      </x:c>
      <x:c r="E328" s="69" t="n">
        <x:v>11797671.88</x:v>
      </x:c>
      <x:c r="F328" s="69" t="n">
        <x:f>Actuals!E319</x:f>
        <x:v>11797695.91</x:v>
      </x:c>
      <x:c r="G328" s="70" t="n">
        <x:f>E328-F328</x:f>
        <x:v>-24.029999999329448</x:v>
      </x:c>
    </x:row>
    <x:row r="329">
      <x:c r="C329" s="45" t="n">
        <x:v>46053</x:v>
      </x:c>
      <x:c r="D329" t="str">
        <x:v>principal.A3</x:v>
      </x:c>
      <x:c r="E329" s="69" t="n">
        <x:v>0</x:v>
      </x:c>
      <x:c r="F329" s="69" t="n">
        <x:f>Actuals!E320</x:f>
        <x:v>0</x:v>
      </x:c>
      <x:c r="G329" s="70" t="n">
        <x:f>E329-F329</x:f>
        <x:v>0</x:v>
      </x:c>
    </x:row>
    <x:row r="330">
      <x:c r="C330" s="45" t="n">
        <x:v>46053</x:v>
      </x:c>
      <x:c r="D330" t="str">
        <x:v>principal.A4</x:v>
      </x:c>
      <x:c r="E330" s="69" t="n">
        <x:v>0</x:v>
      </x:c>
      <x:c r="F330" s="69" t="n">
        <x:f>Actuals!E321</x:f>
        <x:v>0</x:v>
      </x:c>
      <x:c r="G330" s="70" t="n">
        <x:f>E330-F330</x:f>
        <x:v>0</x:v>
      </x:c>
    </x:row>
    <x:row r="331">
      <x:c r="C331" s="45" t="n">
        <x:v>46053</x:v>
      </x:c>
      <x:c r="D331" t="str">
        <x:v>principal.B</x:v>
      </x:c>
      <x:c r="E331" s="69" t="n">
        <x:v>0</x:v>
      </x:c>
      <x:c r="F331" s="69" t="n">
        <x:f>Actuals!E322</x:f>
        <x:v>0</x:v>
      </x:c>
      <x:c r="G331" s="70" t="n">
        <x:f>E331-F331</x:f>
        <x:v>0</x:v>
      </x:c>
    </x:row>
    <x:row r="332">
      <x:c r="C332" s="45" t="n">
        <x:v>46053</x:v>
      </x:c>
      <x:c r="D332" t="str">
        <x:v>principal.C</x:v>
      </x:c>
      <x:c r="E332" s="69" t="n">
        <x:v>0</x:v>
      </x:c>
      <x:c r="F332" s="69" t="n">
        <x:f>Actuals!E323</x:f>
        <x:v>0</x:v>
      </x:c>
      <x:c r="G332" s="70" t="n">
        <x:f>E332-F332</x:f>
        <x:v>0</x:v>
      </x:c>
    </x:row>
    <x:row r="333">
      <x:c r="C333" s="45" t="n">
        <x:v>46053</x:v>
      </x:c>
      <x:c r="D333" t="str">
        <x:v>principal.D</x:v>
      </x:c>
      <x:c r="E333" s="69" t="n">
        <x:v>0</x:v>
      </x:c>
      <x:c r="F333" s="69" t="n">
        <x:f>Actuals!E324</x:f>
        <x:v>0</x:v>
      </x:c>
      <x:c r="G333" s="70" t="n">
        <x:f>E333-F333</x:f>
        <x:v>0</x:v>
      </x:c>
    </x:row>
    <x:row r="334">
      <x:c r="C334" s="45" t="n">
        <x:v>46053</x:v>
      </x:c>
      <x:c r="D334" t="str">
        <x:v>note_end.A1</x:v>
      </x:c>
      <x:c r="E334" s="69" t="n">
        <x:v>0</x:v>
      </x:c>
      <x:c r="F334" s="69" t="n">
        <x:f>Actuals!E325</x:f>
        <x:v>0</x:v>
      </x:c>
      <x:c r="G334" s="70" t="n">
        <x:f>E334-F334</x:f>
        <x:v>0</x:v>
      </x:c>
    </x:row>
    <x:row r="335">
      <x:c r="C335" s="45" t="n">
        <x:v>46053</x:v>
      </x:c>
      <x:c r="D335" t="str">
        <x:v>note_end.A2a</x:v>
      </x:c>
      <x:c r="E335" s="69" t="n">
        <x:v>250013718.34</x:v>
      </x:c>
      <x:c r="F335" s="69" t="n">
        <x:f>Actuals!E326</x:f>
        <x:v>250013666.29</x:v>
      </x:c>
      <x:c r="G335" s="70" t="n">
        <x:f>E335-F335</x:f>
        <x:v>52.05000001192093</x:v>
      </x:c>
    </x:row>
    <x:row r="336">
      <x:c r="C336" s="45" t="n">
        <x:v>46053</x:v>
      </x:c>
      <x:c r="D336" t="str">
        <x:v>note_end.A2b</x:v>
      </x:c>
      <x:c r="E336" s="69" t="n">
        <x:v>115370616.14</x:v>
      </x:c>
      <x:c r="F336" s="69" t="n">
        <x:f>Actuals!E327</x:f>
        <x:v>115370592.11</x:v>
      </x:c>
      <x:c r="G336" s="70" t="n">
        <x:f>E336-F336</x:f>
        <x:v>24.030000001192093</x:v>
      </x:c>
    </x:row>
    <x:row r="337">
      <x:c r="C337" s="45" t="n">
        <x:v>46053</x:v>
      </x:c>
      <x:c r="D337" t="str">
        <x:v>note_end.A3</x:v>
      </x:c>
      <x:c r="E337" s="69" t="n">
        <x:v>452100000</x:v>
      </x:c>
      <x:c r="F337" s="69" t="n">
        <x:f>Actuals!E328</x:f>
        <x:v>452100000</x:v>
      </x:c>
      <x:c r="G337" s="70" t="n">
        <x:f>E337-F337</x:f>
        <x:v>0</x:v>
      </x:c>
    </x:row>
    <x:row r="338">
      <x:c r="C338" s="45" t="n">
        <x:v>46053</x:v>
      </x:c>
      <x:c r="D338" t="str">
        <x:v>note_end.A4</x:v>
      </x:c>
      <x:c r="E338" s="69" t="n">
        <x:v>89000000</x:v>
      </x:c>
      <x:c r="F338" s="69" t="n">
        <x:f>Actuals!E329</x:f>
        <x:v>89000000</x:v>
      </x:c>
      <x:c r="G338" s="70" t="n">
        <x:f>E338-F338</x:f>
        <x:v>0</x:v>
      </x:c>
    </x:row>
    <x:row r="339">
      <x:c r="C339" s="45" t="n">
        <x:v>46053</x:v>
      </x:c>
      <x:c r="D339" t="str">
        <x:v>note_end.B</x:v>
      </x:c>
      <x:c r="E339" s="69" t="n">
        <x:v>28920000</x:v>
      </x:c>
      <x:c r="F339" s="69" t="n">
        <x:f>Actuals!E330</x:f>
        <x:v>28920000</x:v>
      </x:c>
      <x:c r="G339" s="70" t="n">
        <x:f>E339-F339</x:f>
        <x:v>0</x:v>
      </x:c>
    </x:row>
    <x:row r="340">
      <x:c r="C340" s="45" t="n">
        <x:v>46053</x:v>
      </x:c>
      <x:c r="D340" t="str">
        <x:v>note_end.C</x:v>
      </x:c>
      <x:c r="E340" s="69" t="n">
        <x:v>21160000</x:v>
      </x:c>
      <x:c r="F340" s="69" t="n">
        <x:f>Actuals!E331</x:f>
        <x:v>21160000</x:v>
      </x:c>
      <x:c r="G340" s="70" t="n">
        <x:f>E340-F340</x:f>
        <x:v>0</x:v>
      </x:c>
    </x:row>
    <x:row r="341">
      <x:c r="C341" s="45" t="n">
        <x:v>46053</x:v>
      </x:c>
      <x:c r="D341" t="str">
        <x:v>note_end.D</x:v>
      </x:c>
      <x:c r="E341" s="69" t="n">
        <x:v>14110000</x:v>
      </x:c>
      <x:c r="F341" s="69" t="n">
        <x:f>Actuals!E332</x:f>
        <x:v>14110000</x:v>
      </x:c>
      <x:c r="G341" s="70" t="n">
        <x:f>E341-F341</x:f>
        <x:v>0</x:v>
      </x:c>
    </x:row>
    <x:row r="342">
      <x:c r="C342" s="45" t="n">
        <x:v>46053</x:v>
      </x:c>
      <x:c r="D342" t="str">
        <x:v>priority_principal</x:v>
      </x:c>
      <x:c r="E342" s="69" t="n">
        <x:v>0</x:v>
      </x:c>
      <x:c r="F342" s="69" t="n">
        <x:f>Actuals!E333</x:f>
        <x:v>0</x:v>
      </x:c>
      <x:c r="G342" s="70" t="n">
        <x:f>E342-F342</x:f>
        <x:v>0</x:v>
      </x:c>
    </x:row>
    <x:row r="343">
      <x:c r="C343" s="45" t="n">
        <x:v>46053</x:v>
      </x:c>
      <x:c r="D343" t="str">
        <x:v>secondary_principal</x:v>
      </x:c>
      <x:c r="E343" s="69" t="n">
        <x:v>0</x:v>
      </x:c>
      <x:c r="F343" s="69" t="n">
        <x:f>Actuals!E334</x:f>
        <x:v>0</x:v>
      </x:c>
      <x:c r="G343" s="70" t="n">
        <x:f>E343-F343</x:f>
        <x:v>0</x:v>
      </x:c>
    </x:row>
    <x:row r="344">
      <x:c r="C344" s="45" t="n">
        <x:v>46053</x:v>
      </x:c>
      <x:c r="D344" t="str">
        <x:v>tertiary_principal</x:v>
      </x:c>
      <x:c r="E344" s="69" t="n">
        <x:v>12674453.15</x:v>
      </x:c>
      <x:c r="F344" s="69" t="n">
        <x:f>Actuals!E335</x:f>
        <x:v>12674453.15</x:v>
      </x:c>
      <x:c r="G344" s="70" t="n">
        <x:f>E344-F344</x:f>
        <x:v>0</x:v>
      </x:c>
    </x:row>
    <x:row r="345">
      <x:c r="C345" s="45" t="n">
        <x:v>46053</x:v>
      </x:c>
      <x:c r="D345" t="str">
        <x:v>quaternary_principal</x:v>
      </x:c>
      <x:c r="E345" s="69" t="n">
        <x:v>14110000</x:v>
      </x:c>
      <x:c r="F345" s="69" t="n">
        <x:f>Actuals!E336</x:f>
        <x:v>14110000</x:v>
      </x:c>
      <x:c r="G345" s="70" t="n">
        <x:f>E345-F345</x:f>
        <x:v>0</x:v>
      </x:c>
    </x:row>
    <x:row r="346">
      <x:c r="C346" s="45" t="n">
        <x:v>46053</x:v>
      </x:c>
      <x:c r="D346" t="str">
        <x:v>regular_principal</x:v>
      </x:c>
      <x:c r="E346" s="69" t="n">
        <x:v>10579345.66</x:v>
      </x:c>
      <x:c r="F346" s="69" t="n">
        <x:f>Actuals!E337</x:f>
        <x:v>10579421.74</x:v>
      </x:c>
      <x:c r="G346" s="70" t="n">
        <x:f>E346-F346</x:f>
        <x:v>-76.0800000000745</x:v>
      </x:c>
    </x:row>
    <x:row r="347">
      <x:c r="C347" s="45" t="n">
        <x:v>46053</x:v>
      </x:c>
      <x:c r="D347" t="str">
        <x:v>oc_target</x:v>
      </x:c>
      <x:c r="E347" s="69" t="n">
        <x:v>10579345.66</x:v>
      </x:c>
      <x:c r="F347" s="69" t="n">
        <x:f>Actuals!E338</x:f>
        <x:v>10579421.74</x:v>
      </x:c>
      <x:c r="G347" s="70" t="n">
        <x:f>E347-F347</x:f>
        <x:v>-76.0800000000745</x:v>
      </x:c>
    </x:row>
    <x:row r="348">
      <x:c r="C348" s="45" t="n">
        <x:v>46081</x:v>
      </x:c>
      <x:c r="D348" t="str">
        <x:v>servicing_fee</x:v>
      </x:c>
      <x:c r="E348" s="69" t="n">
        <x:v>817711.4</x:v>
      </x:c>
      <x:c r="F348" s="69" t="n">
        <x:f>Actuals!E339</x:f>
        <x:v>817711.4</x:v>
      </x:c>
      <x:c r="G348" s="70" t="n">
        <x:f>E348-F348</x:f>
        <x:v>0</x:v>
      </x:c>
    </x:row>
    <x:row r="349">
      <x:c r="C349" s="45" t="n">
        <x:v>46081</x:v>
      </x:c>
      <x:c r="D349" t="str">
        <x:v>total_note_interest</x:v>
      </x:c>
      <x:c r="E349" s="69" t="n">
        <x:v>3643274.04</x:v>
      </x:c>
      <x:c r="F349" s="69" t="n">
        <x:f>Actuals!E340</x:f>
        <x:v>3643274.04</x:v>
      </x:c>
      <x:c r="G349" s="70" t="n">
        <x:f>E349-F349</x:f>
        <x:v>0</x:v>
      </x:c>
    </x:row>
    <x:row r="350">
      <x:c r="C350" s="45" t="n">
        <x:v>46081</x:v>
      </x:c>
      <x:c r="D350" t="str">
        <x:v>total_note_principal</x:v>
      </x:c>
      <x:c r="E350" s="69" t="n">
        <x:v>33719240.56</x:v>
      </x:c>
      <x:c r="F350" s="69" t="n">
        <x:f>Actuals!E341</x:f>
        <x:v>33719316.64</x:v>
      </x:c>
      <x:c r="G350" s="70" t="n">
        <x:f>E350-F350</x:f>
        <x:v>-76.07999999821186</x:v>
      </x:c>
    </x:row>
    <x:row r="351">
      <x:c r="C351" s="45" t="n">
        <x:v>46081</x:v>
      </x:c>
      <x:c r="D351" t="str">
        <x:v>residual_distribution</x:v>
      </x:c>
      <x:c r="E351" s="69" t="n">
        <x:v>2764149.16</x:v>
      </x:c>
      <x:c r="F351" s="69" t="n">
        <x:f>Actuals!E342</x:f>
        <x:v>2764073.08</x:v>
      </x:c>
      <x:c r="G351" s="70" t="n">
        <x:f>E351-F351</x:f>
        <x:v>76.0800000000745</x:v>
      </x:c>
    </x:row>
    <x:row r="352">
      <x:c r="C352" s="45" t="n">
        <x:v>46081</x:v>
      </x:c>
      <x:c r="D352" t="str">
        <x:v>reserve_deposit</x:v>
      </x:c>
      <x:c r="E352" s="69" t="n">
        <x:v>0</x:v>
      </x:c>
      <x:c r="F352" s="69" t="n">
        <x:f>Actuals!E343</x:f>
        <x:v>0</x:v>
      </x:c>
      <x:c r="G352" s="70" t="n">
        <x:f>E352-F352</x:f>
        <x:v>0</x:v>
      </x:c>
    </x:row>
    <x:row r="353">
      <x:c r="C353" s="45" t="n">
        <x:v>46081</x:v>
      </x:c>
      <x:c r="D353" t="str">
        <x:v>reserve_end</x:v>
      </x:c>
      <x:c r="E353" s="69" t="n">
        <x:v>3526448.55</x:v>
      </x:c>
      <x:c r="F353" s="69" t="n">
        <x:f>Actuals!E344</x:f>
        <x:v>3526448.55</x:v>
      </x:c>
      <x:c r="G353" s="70" t="n">
        <x:f>E353-F353</x:f>
        <x:v>0</x:v>
      </x:c>
    </x:row>
    <x:row r="354">
      <x:c r="C354" s="45" t="n">
        <x:v>46081</x:v>
      </x:c>
      <x:c r="D354" t="str">
        <x:v>reserve_release</x:v>
      </x:c>
      <x:c r="E354" s="69" t="n">
        <x:v>9733.92</x:v>
      </x:c>
      <x:c r="F354" s="69" t="n">
        <x:f>Actuals!E345</x:f>
        <x:v>9733.92</x:v>
      </x:c>
      <x:c r="G354" s="70" t="n">
        <x:f>E354-F354</x:f>
        <x:v>0</x:v>
      </x:c>
    </x:row>
    <x:row r="355">
      <x:c r="C355" s="45" t="n">
        <x:v>46081</x:v>
      </x:c>
      <x:c r="D355" t="str">
        <x:v>interest.A1</x:v>
      </x:c>
      <x:c r="E355" s="69" t="n">
        <x:v>0</x:v>
      </x:c>
      <x:c r="F355" s="69" t="n">
        <x:f>Actuals!E346</x:f>
        <x:v>0</x:v>
      </x:c>
      <x:c r="G355" s="70" t="n">
        <x:f>E355-F355</x:f>
        <x:v>0</x:v>
      </x:c>
    </x:row>
    <x:row r="356">
      <x:c r="C356" s="45" t="n">
        <x:v>46081</x:v>
      </x:c>
      <x:c r="D356" t="str">
        <x:v>interest.A2a</x:v>
      </x:c>
      <x:c r="E356" s="69" t="n">
        <x:v>956302.27</x:v>
      </x:c>
      <x:c r="F356" s="69" t="n">
        <x:f>Actuals!E347</x:f>
        <x:v>956302.27</x:v>
      </x:c>
      <x:c r="G356" s="70" t="n">
        <x:f>E356-F356</x:f>
        <x:v>0</x:v>
      </x:c>
    </x:row>
    <x:row r="357">
      <x:c r="C357" s="45" t="n">
        <x:v>46081</x:v>
      </x:c>
      <x:c r="D357" t="str">
        <x:v>interest.A2b</x:v>
      </x:c>
      <x:c r="E357" s="69" t="n">
        <x:v>376239.94</x:v>
      </x:c>
      <x:c r="F357" s="69" t="n">
        <x:f>Actuals!E348</x:f>
        <x:v>376239.94</x:v>
      </x:c>
      <x:c r="G357" s="70" t="n">
        <x:f>E357-F357</x:f>
        <x:v>0</x:v>
      </x:c>
    </x:row>
    <x:row r="358">
      <x:c r="C358" s="45" t="n">
        <x:v>46081</x:v>
      </x:c>
      <x:c r="D358" t="str">
        <x:v>interest.A3</x:v>
      </x:c>
      <x:c r="E358" s="69" t="n">
        <x:v>1687840</x:v>
      </x:c>
      <x:c r="F358" s="69" t="n">
        <x:f>Actuals!E349</x:f>
        <x:v>1687840</x:v>
      </x:c>
      <x:c r="G358" s="70" t="n">
        <x:f>E358-F358</x:f>
        <x:v>0</x:v>
      </x:c>
    </x:row>
    <x:row r="359">
      <x:c r="C359" s="45" t="n">
        <x:v>46081</x:v>
      </x:c>
      <x:c r="D359" t="str">
        <x:v>interest.A4</x:v>
      </x:c>
      <x:c r="E359" s="69" t="n">
        <x:v>344875</x:v>
      </x:c>
      <x:c r="F359" s="69" t="n">
        <x:f>Actuals!E350</x:f>
        <x:v>344875</x:v>
      </x:c>
      <x:c r="G359" s="70" t="n">
        <x:f>E359-F359</x:f>
        <x:v>0</x:v>
      </x:c>
    </x:row>
    <x:row r="360">
      <x:c r="C360" s="45" t="n">
        <x:v>46081</x:v>
      </x:c>
      <x:c r="D360" t="str">
        <x:v>interest.B</x:v>
      </x:c>
      <x:c r="E360" s="69" t="n">
        <x:v>119536</x:v>
      </x:c>
      <x:c r="F360" s="69" t="n">
        <x:f>Actuals!E351</x:f>
        <x:v>119536</x:v>
      </x:c>
      <x:c r="G360" s="70" t="n">
        <x:f>E360-F360</x:f>
        <x:v>0</x:v>
      </x:c>
    </x:row>
    <x:row r="361">
      <x:c r="C361" s="45" t="n">
        <x:v>46081</x:v>
      </x:c>
      <x:c r="D361" t="str">
        <x:v>interest.C</x:v>
      </x:c>
      <x:c r="E361" s="69" t="n">
        <x:v>90988</x:v>
      </x:c>
      <x:c r="F361" s="69" t="n">
        <x:f>Actuals!E352</x:f>
        <x:v>90988</x:v>
      </x:c>
      <x:c r="G361" s="70" t="n">
        <x:f>E361-F361</x:f>
        <x:v>0</x:v>
      </x:c>
    </x:row>
    <x:row r="362">
      <x:c r="C362" s="45" t="n">
        <x:v>46081</x:v>
      </x:c>
      <x:c r="D362" t="str">
        <x:v>interest.D</x:v>
      </x:c>
      <x:c r="E362" s="69" t="n">
        <x:v>67492.83</x:v>
      </x:c>
      <x:c r="F362" s="69" t="n">
        <x:f>Actuals!E353</x:f>
        <x:v>67492.83</x:v>
      </x:c>
      <x:c r="G362" s="70" t="n">
        <x:f>E362-F362</x:f>
        <x:v>0</x:v>
      </x:c>
    </x:row>
    <x:row r="363">
      <x:c r="C363" s="45" t="n">
        <x:v>46081</x:v>
      </x:c>
      <x:c r="D363" t="str">
        <x:v>principal.A1</x:v>
      </x:c>
      <x:c r="E363" s="69" t="n">
        <x:v>0</x:v>
      </x:c>
      <x:c r="F363" s="69" t="n">
        <x:f>Actuals!E354</x:f>
        <x:v>0</x:v>
      </x:c>
      <x:c r="G363" s="70" t="n">
        <x:f>E363-F363</x:f>
        <x:v>0</x:v>
      </x:c>
    </x:row>
    <x:row r="364">
      <x:c r="C364" s="45" t="n">
        <x:v>46081</x:v>
      </x:c>
      <x:c r="D364" t="str">
        <x:v>principal.A2a</x:v>
      </x:c>
      <x:c r="E364" s="69" t="n">
        <x:v>23072343.06</x:v>
      </x:c>
      <x:c r="F364" s="69" t="n">
        <x:f>Actuals!E355</x:f>
        <x:v>23072395.11</x:v>
      </x:c>
      <x:c r="G364" s="70" t="n">
        <x:f>E364-F364</x:f>
        <x:v>-52.05000000074506</x:v>
      </x:c>
    </x:row>
    <x:row r="365">
      <x:c r="C365" s="45" t="n">
        <x:v>46081</x:v>
      </x:c>
      <x:c r="D365" t="str">
        <x:v>principal.A2b</x:v>
      </x:c>
      <x:c r="E365" s="69" t="n">
        <x:v>10646897.5</x:v>
      </x:c>
      <x:c r="F365" s="69" t="n">
        <x:f>Actuals!E356</x:f>
        <x:v>10646921.53</x:v>
      </x:c>
      <x:c r="G365" s="70" t="n">
        <x:f>E365-F365</x:f>
        <x:v>-24.029999999329448</x:v>
      </x:c>
    </x:row>
    <x:row r="366">
      <x:c r="C366" s="45" t="n">
        <x:v>46081</x:v>
      </x:c>
      <x:c r="D366" t="str">
        <x:v>principal.A3</x:v>
      </x:c>
      <x:c r="E366" s="69" t="n">
        <x:v>0</x:v>
      </x:c>
      <x:c r="F366" s="69" t="n">
        <x:f>Actuals!E357</x:f>
        <x:v>0</x:v>
      </x:c>
      <x:c r="G366" s="70" t="n">
        <x:f>E366-F366</x:f>
        <x:v>0</x:v>
      </x:c>
    </x:row>
    <x:row r="367">
      <x:c r="C367" s="45" t="n">
        <x:v>46081</x:v>
      </x:c>
      <x:c r="D367" t="str">
        <x:v>principal.A4</x:v>
      </x:c>
      <x:c r="E367" s="69" t="n">
        <x:v>0</x:v>
      </x:c>
      <x:c r="F367" s="69" t="n">
        <x:f>Actuals!E358</x:f>
        <x:v>0</x:v>
      </x:c>
      <x:c r="G367" s="70" t="n">
        <x:f>E367-F367</x:f>
        <x:v>0</x:v>
      </x:c>
    </x:row>
    <x:row r="368">
      <x:c r="C368" s="45" t="n">
        <x:v>46081</x:v>
      </x:c>
      <x:c r="D368" t="str">
        <x:v>principal.B</x:v>
      </x:c>
      <x:c r="E368" s="69" t="n">
        <x:v>0</x:v>
      </x:c>
      <x:c r="F368" s="69" t="n">
        <x:f>Actuals!E359</x:f>
        <x:v>0</x:v>
      </x:c>
      <x:c r="G368" s="70" t="n">
        <x:f>E368-F368</x:f>
        <x:v>0</x:v>
      </x:c>
    </x:row>
    <x:row r="369">
      <x:c r="C369" s="45" t="n">
        <x:v>46081</x:v>
      </x:c>
      <x:c r="D369" t="str">
        <x:v>principal.C</x:v>
      </x:c>
      <x:c r="E369" s="69" t="n">
        <x:v>0</x:v>
      </x:c>
      <x:c r="F369" s="69" t="n">
        <x:f>Actuals!E360</x:f>
        <x:v>0</x:v>
      </x:c>
      <x:c r="G369" s="70" t="n">
        <x:f>E369-F369</x:f>
        <x:v>0</x:v>
      </x:c>
    </x:row>
    <x:row r="370">
      <x:c r="C370" s="45" t="n">
        <x:v>46081</x:v>
      </x:c>
      <x:c r="D370" t="str">
        <x:v>principal.D</x:v>
      </x:c>
      <x:c r="E370" s="69" t="n">
        <x:v>0</x:v>
      </x:c>
      <x:c r="F370" s="69" t="n">
        <x:f>Actuals!E361</x:f>
        <x:v>0</x:v>
      </x:c>
      <x:c r="G370" s="70" t="n">
        <x:f>E370-F370</x:f>
        <x:v>0</x:v>
      </x:c>
    </x:row>
    <x:row r="371">
      <x:c r="C371" s="45" t="n">
        <x:v>46081</x:v>
      </x:c>
      <x:c r="D371" t="str">
        <x:v>note_end.A1</x:v>
      </x:c>
      <x:c r="E371" s="69" t="n">
        <x:v>0</x:v>
      </x:c>
      <x:c r="F371" s="69" t="n">
        <x:f>Actuals!E362</x:f>
        <x:v>0</x:v>
      </x:c>
      <x:c r="G371" s="70" t="n">
        <x:f>E371-F371</x:f>
        <x:v>0</x:v>
      </x:c>
    </x:row>
    <x:row r="372">
      <x:c r="C372" s="45" t="n">
        <x:v>46081</x:v>
      </x:c>
      <x:c r="D372" t="str">
        <x:v>note_end.A2a</x:v>
      </x:c>
      <x:c r="E372" s="69" t="n">
        <x:v>226941323.23</x:v>
      </x:c>
      <x:c r="F372" s="69" t="n">
        <x:f>Actuals!E363</x:f>
        <x:v>226941271.18</x:v>
      </x:c>
      <x:c r="G372" s="70" t="n">
        <x:f>E372-F372</x:f>
        <x:v>52.04999998211861</x:v>
      </x:c>
    </x:row>
    <x:row r="373">
      <x:c r="C373" s="45" t="n">
        <x:v>46081</x:v>
      </x:c>
      <x:c r="D373" t="str">
        <x:v>note_end.A2b</x:v>
      </x:c>
      <x:c r="E373" s="69" t="n">
        <x:v>104723694.61</x:v>
      </x:c>
      <x:c r="F373" s="69" t="n">
        <x:f>Actuals!E364</x:f>
        <x:v>104723670.58</x:v>
      </x:c>
      <x:c r="G373" s="70" t="n">
        <x:f>E373-F373</x:f>
        <x:v>24.030000001192093</x:v>
      </x:c>
    </x:row>
    <x:row r="374">
      <x:c r="C374" s="45" t="n">
        <x:v>46081</x:v>
      </x:c>
      <x:c r="D374" t="str">
        <x:v>note_end.A3</x:v>
      </x:c>
      <x:c r="E374" s="69" t="n">
        <x:v>452100000</x:v>
      </x:c>
      <x:c r="F374" s="69" t="n">
        <x:f>Actuals!E365</x:f>
        <x:v>452100000</x:v>
      </x:c>
      <x:c r="G374" s="70" t="n">
        <x:f>E374-F374</x:f>
        <x:v>0</x:v>
      </x:c>
    </x:row>
    <x:row r="375">
      <x:c r="C375" s="45" t="n">
        <x:v>46081</x:v>
      </x:c>
      <x:c r="D375" t="str">
        <x:v>note_end.A4</x:v>
      </x:c>
      <x:c r="E375" s="69" t="n">
        <x:v>89000000</x:v>
      </x:c>
      <x:c r="F375" s="69" t="n">
        <x:f>Actuals!E366</x:f>
        <x:v>89000000</x:v>
      </x:c>
      <x:c r="G375" s="70" t="n">
        <x:f>E375-F375</x:f>
        <x:v>0</x:v>
      </x:c>
    </x:row>
    <x:row r="376">
      <x:c r="C376" s="45" t="n">
        <x:v>46081</x:v>
      </x:c>
      <x:c r="D376" t="str">
        <x:v>note_end.B</x:v>
      </x:c>
      <x:c r="E376" s="69" t="n">
        <x:v>28920000</x:v>
      </x:c>
      <x:c r="F376" s="69" t="n">
        <x:f>Actuals!E367</x:f>
        <x:v>28920000</x:v>
      </x:c>
      <x:c r="G376" s="70" t="n">
        <x:f>E376-F376</x:f>
        <x:v>0</x:v>
      </x:c>
    </x:row>
    <x:row r="377">
      <x:c r="C377" s="45" t="n">
        <x:v>46081</x:v>
      </x:c>
      <x:c r="D377" t="str">
        <x:v>note_end.C</x:v>
      </x:c>
      <x:c r="E377" s="69" t="n">
        <x:v>21160000</x:v>
      </x:c>
      <x:c r="F377" s="69" t="n">
        <x:f>Actuals!E368</x:f>
        <x:v>21160000</x:v>
      </x:c>
      <x:c r="G377" s="70" t="n">
        <x:f>E377-F377</x:f>
        <x:v>0</x:v>
      </x:c>
    </x:row>
    <x:row r="378">
      <x:c r="C378" s="45" t="n">
        <x:v>46081</x:v>
      </x:c>
      <x:c r="D378" t="str">
        <x:v>note_end.D</x:v>
      </x:c>
      <x:c r="E378" s="69" t="n">
        <x:v>14110000</x:v>
      </x:c>
      <x:c r="F378" s="69" t="n">
        <x:f>Actuals!E369</x:f>
        <x:v>14110000</x:v>
      </x:c>
      <x:c r="G378" s="70" t="n">
        <x:f>E378-F378</x:f>
        <x:v>0</x:v>
      </x:c>
    </x:row>
    <x:row r="379">
      <x:c r="C379" s="45" t="n">
        <x:v>46081</x:v>
      </x:c>
      <x:c r="D379" t="str">
        <x:v>priority_principal</x:v>
      </x:c>
      <x:c r="E379" s="69" t="n">
        <x:v>0</x:v>
      </x:c>
      <x:c r="F379" s="69" t="n">
        <x:f>Actuals!E370</x:f>
        <x:v>0</x:v>
      </x:c>
      <x:c r="G379" s="70" t="n">
        <x:f>E379-F379</x:f>
        <x:v>0</x:v>
      </x:c>
    </x:row>
    <x:row r="380">
      <x:c r="C380" s="45" t="n">
        <x:v>46081</x:v>
      </x:c>
      <x:c r="D380" t="str">
        <x:v>secondary_principal</x:v>
      </x:c>
      <x:c r="E380" s="69" t="n">
        <x:v>0</x:v>
      </x:c>
      <x:c r="F380" s="69" t="n">
        <x:f>Actuals!E371</x:f>
        <x:v>0</x:v>
      </x:c>
      <x:c r="G380" s="70" t="n">
        <x:f>E380-F380</x:f>
        <x:v>0</x:v>
      </x:c>
    </x:row>
    <x:row r="381">
      <x:c r="C381" s="45" t="n">
        <x:v>46081</x:v>
      </x:c>
      <x:c r="D381" t="str">
        <x:v>tertiary_principal</x:v>
      </x:c>
      <x:c r="E381" s="69" t="n">
        <x:v>9029894.9</x:v>
      </x:c>
      <x:c r="F381" s="69" t="n">
        <x:f>Actuals!E372</x:f>
        <x:v>9029894.9</x:v>
      </x:c>
      <x:c r="G381" s="70" t="n">
        <x:f>E381-F381</x:f>
        <x:v>0</x:v>
      </x:c>
    </x:row>
    <x:row r="382">
      <x:c r="C382" s="45" t="n">
        <x:v>46081</x:v>
      </x:c>
      <x:c r="D382" t="str">
        <x:v>quaternary_principal</x:v>
      </x:c>
      <x:c r="E382" s="69" t="n">
        <x:v>14110000</x:v>
      </x:c>
      <x:c r="F382" s="69" t="n">
        <x:f>Actuals!E373</x:f>
        <x:v>14110000</x:v>
      </x:c>
      <x:c r="G382" s="70" t="n">
        <x:f>E382-F382</x:f>
        <x:v>0</x:v>
      </x:c>
    </x:row>
    <x:row r="383">
      <x:c r="C383" s="45" t="n">
        <x:v>46081</x:v>
      </x:c>
      <x:c r="D383" t="str">
        <x:v>regular_principal</x:v>
      </x:c>
      <x:c r="E383" s="69" t="n">
        <x:v>10579345.66</x:v>
      </x:c>
      <x:c r="F383" s="69" t="n">
        <x:f>Actuals!E374</x:f>
        <x:v>10579421.74</x:v>
      </x:c>
      <x:c r="G383" s="70" t="n">
        <x:f>E383-F383</x:f>
        <x:v>-76.0800000000745</x:v>
      </x:c>
    </x:row>
    <x:row r="384">
      <x:c r="C384" s="45" t="n">
        <x:v>46081</x:v>
      </x:c>
      <x:c r="D384" t="str">
        <x:v>oc_target</x:v>
      </x:c>
      <x:c r="E384" s="69" t="n">
        <x:v>10579345.66</x:v>
      </x:c>
      <x:c r="F384" s="69" t="n">
        <x:f>Actuals!E375</x:f>
        <x:v>10579421.74</x:v>
      </x:c>
      <x:c r="G384" s="70" t="n">
        <x:f>E384-F384</x:f>
        <x:v>-76.0800000000745</x:v>
      </x:c>
    </x:row>
    <x:row r="385">
      <x:c r="C385" s="45" t="n">
        <x:v>46112</x:v>
      </x:c>
      <x:c r="D385" t="str">
        <x:v>servicing_fee</x:v>
      </x:c>
      <x:c r="E385" s="69" t="n">
        <x:v>789611.97</x:v>
      </x:c>
      <x:c r="F385" s="69" t="n">
        <x:f>Actuals!E376</x:f>
        <x:v>789611.97</x:v>
      </x:c>
      <x:c r="G385" s="70" t="n">
        <x:f>E385-F385</x:f>
        <x:v>0</x:v>
      </x:c>
    </x:row>
    <x:row r="386">
      <x:c r="C386" s="45" t="n">
        <x:v>46112</x:v>
      </x:c>
      <x:c r="D386" t="str">
        <x:v>total_note_interest</x:v>
      </x:c>
      <x:c r="E386" s="69" t="n">
        <x:v>3559472.8</x:v>
      </x:c>
      <x:c r="F386" s="69" t="n">
        <x:f>Actuals!E377</x:f>
        <x:v>3559472.8</x:v>
      </x:c>
      <x:c r="G386" s="70" t="n">
        <x:f>E386-F386</x:f>
        <x:v>0</x:v>
      </x:c>
    </x:row>
    <x:row r="387">
      <x:c r="C387" s="45" t="n">
        <x:v>46112</x:v>
      </x:c>
      <x:c r="D387" t="str">
        <x:v>total_note_principal</x:v>
      </x:c>
      <x:c r="E387" s="69" t="n">
        <x:v>38321813.27</x:v>
      </x:c>
      <x:c r="F387" s="69" t="n">
        <x:f>Actuals!E378</x:f>
        <x:v>38321889.35</x:v>
      </x:c>
      <x:c r="G387" s="70" t="n">
        <x:f>E387-F387</x:f>
        <x:v>-76.07999999821186</x:v>
      </x:c>
    </x:row>
    <x:row r="388">
      <x:c r="C388" s="45" t="n">
        <x:v>46112</x:v>
      </x:c>
      <x:c r="D388" t="str">
        <x:v>residual_distribution</x:v>
      </x:c>
      <x:c r="E388" s="69" t="n">
        <x:v>2805300.27</x:v>
      </x:c>
      <x:c r="F388" s="69" t="n">
        <x:f>Actuals!E379</x:f>
        <x:v>2805224.19</x:v>
      </x:c>
      <x:c r="G388" s="70" t="n">
        <x:f>E388-F388</x:f>
        <x:v>76.0800000000745</x:v>
      </x:c>
    </x:row>
    <x:row r="389">
      <x:c r="C389" s="45" t="n">
        <x:v>46112</x:v>
      </x:c>
      <x:c r="D389" t="str">
        <x:v>reserve_deposit</x:v>
      </x:c>
      <x:c r="E389" s="69" t="n">
        <x:v>0</x:v>
      </x:c>
      <x:c r="F389" s="69" t="n">
        <x:f>Actuals!E380</x:f>
        <x:v>0</x:v>
      </x:c>
      <x:c r="G389" s="70" t="n">
        <x:f>E389-F389</x:f>
        <x:v>0</x:v>
      </x:c>
    </x:row>
    <x:row r="390">
      <x:c r="C390" s="45" t="n">
        <x:v>46112</x:v>
      </x:c>
      <x:c r="D390" t="str">
        <x:v>reserve_end</x:v>
      </x:c>
      <x:c r="E390" s="69" t="n">
        <x:v>3526448.55</x:v>
      </x:c>
      <x:c r="F390" s="69" t="n">
        <x:f>Actuals!E381</x:f>
        <x:v>3526448.55</x:v>
      </x:c>
      <x:c r="G390" s="70" t="n">
        <x:f>E390-F390</x:f>
        <x:v>0</x:v>
      </x:c>
    </x:row>
    <x:row r="391">
      <x:c r="C391" s="45" t="n">
        <x:v>46112</x:v>
      </x:c>
      <x:c r="D391" t="str">
        <x:v>reserve_release</x:v>
      </x:c>
      <x:c r="E391" s="69" t="n">
        <x:v>10706.08</x:v>
      </x:c>
      <x:c r="F391" s="69" t="n">
        <x:f>Actuals!E382</x:f>
        <x:v>10706.08</x:v>
      </x:c>
      <x:c r="G391" s="70" t="n">
        <x:f>E391-F391</x:f>
        <x:v>0</x:v>
      </x:c>
    </x:row>
    <x:row r="392">
      <x:c r="C392" s="45" t="n">
        <x:v>46112</x:v>
      </x:c>
      <x:c r="D392" t="str">
        <x:v>interest.A1</x:v>
      </x:c>
      <x:c r="E392" s="69" t="n">
        <x:v>0</x:v>
      </x:c>
      <x:c r="F392" s="69" t="n">
        <x:f>Actuals!E383</x:f>
        <x:v>0</x:v>
      </x:c>
      <x:c r="G392" s="70" t="n">
        <x:f>E392-F392</x:f>
        <x:v>0</x:v>
      </x:c>
    </x:row>
    <x:row r="393">
      <x:c r="C393" s="45" t="n">
        <x:v>46112</x:v>
      </x:c>
      <x:c r="D393" t="str">
        <x:v>interest.A2a</x:v>
      </x:c>
      <x:c r="E393" s="69" t="n">
        <x:v>868050.36</x:v>
      </x:c>
      <x:c r="F393" s="69" t="n">
        <x:f>Actuals!E384</x:f>
        <x:v>868050.36</x:v>
      </x:c>
      <x:c r="G393" s="70" t="n">
        <x:f>E393-F393</x:f>
        <x:v>0</x:v>
      </x:c>
    </x:row>
    <x:row r="394">
      <x:c r="C394" s="45" t="n">
        <x:v>46112</x:v>
      </x:c>
      <x:c r="D394" t="str">
        <x:v>interest.A2b</x:v>
      </x:c>
      <x:c r="E394" s="69" t="n">
        <x:v>380690.61</x:v>
      </x:c>
      <x:c r="F394" s="69" t="n">
        <x:f>Actuals!E385</x:f>
        <x:v>380690.61</x:v>
      </x:c>
      <x:c r="G394" s="70" t="n">
        <x:f>E394-F394</x:f>
        <x:v>0</x:v>
      </x:c>
    </x:row>
    <x:row r="395">
      <x:c r="C395" s="45" t="n">
        <x:v>46112</x:v>
      </x:c>
      <x:c r="D395" t="str">
        <x:v>interest.A3</x:v>
      </x:c>
      <x:c r="E395" s="69" t="n">
        <x:v>1687840</x:v>
      </x:c>
      <x:c r="F395" s="69" t="n">
        <x:f>Actuals!E386</x:f>
        <x:v>1687840</x:v>
      </x:c>
      <x:c r="G395" s="70" t="n">
        <x:f>E395-F395</x:f>
        <x:v>0</x:v>
      </x:c>
    </x:row>
    <x:row r="396">
      <x:c r="C396" s="45" t="n">
        <x:v>46112</x:v>
      </x:c>
      <x:c r="D396" t="str">
        <x:v>interest.A4</x:v>
      </x:c>
      <x:c r="E396" s="69" t="n">
        <x:v>344875</x:v>
      </x:c>
      <x:c r="F396" s="69" t="n">
        <x:f>Actuals!E387</x:f>
        <x:v>344875</x:v>
      </x:c>
      <x:c r="G396" s="70" t="n">
        <x:f>E396-F396</x:f>
        <x:v>0</x:v>
      </x:c>
    </x:row>
    <x:row r="397">
      <x:c r="C397" s="45" t="n">
        <x:v>46112</x:v>
      </x:c>
      <x:c r="D397" t="str">
        <x:v>interest.B</x:v>
      </x:c>
      <x:c r="E397" s="69" t="n">
        <x:v>119536</x:v>
      </x:c>
      <x:c r="F397" s="69" t="n">
        <x:f>Actuals!E388</x:f>
        <x:v>119536</x:v>
      </x:c>
      <x:c r="G397" s="70" t="n">
        <x:f>E397-F397</x:f>
        <x:v>0</x:v>
      </x:c>
    </x:row>
    <x:row r="398">
      <x:c r="C398" s="45" t="n">
        <x:v>46112</x:v>
      </x:c>
      <x:c r="D398" t="str">
        <x:v>interest.C</x:v>
      </x:c>
      <x:c r="E398" s="69" t="n">
        <x:v>90988</x:v>
      </x:c>
      <x:c r="F398" s="69" t="n">
        <x:f>Actuals!E389</x:f>
        <x:v>90988</x:v>
      </x:c>
      <x:c r="G398" s="70" t="n">
        <x:f>E398-F398</x:f>
        <x:v>0</x:v>
      </x:c>
    </x:row>
    <x:row r="399">
      <x:c r="C399" s="45" t="n">
        <x:v>46112</x:v>
      </x:c>
      <x:c r="D399" t="str">
        <x:v>interest.D</x:v>
      </x:c>
      <x:c r="E399" s="69" t="n">
        <x:v>67492.83</x:v>
      </x:c>
      <x:c r="F399" s="69" t="n">
        <x:f>Actuals!E390</x:f>
        <x:v>67492.83</x:v>
      </x:c>
      <x:c r="G399" s="70" t="n">
        <x:f>E399-F399</x:f>
        <x:v>0</x:v>
      </x:c>
    </x:row>
    <x:row r="400">
      <x:c r="C400" s="45" t="n">
        <x:v>46112</x:v>
      </x:c>
      <x:c r="D400" t="str">
        <x:v>principal.A1</x:v>
      </x:c>
      <x:c r="E400" s="69" t="n">
        <x:v>0</x:v>
      </x:c>
      <x:c r="F400" s="69" t="n">
        <x:f>Actuals!E391</x:f>
        <x:v>0</x:v>
      </x:c>
      <x:c r="G400" s="70" t="n">
        <x:f>E400-F400</x:f>
        <x:v>0</x:v>
      </x:c>
    </x:row>
    <x:row r="401">
      <x:c r="C401" s="45" t="n">
        <x:v>46112</x:v>
      </x:c>
      <x:c r="D401" t="str">
        <x:v>principal.A2a</x:v>
      </x:c>
      <x:c r="E401" s="69" t="n">
        <x:v>26221646.98</x:v>
      </x:c>
      <x:c r="F401" s="69" t="n">
        <x:f>Actuals!E392</x:f>
        <x:v>26221699.03</x:v>
      </x:c>
      <x:c r="G401" s="70" t="n">
        <x:f>E401-F401</x:f>
        <x:v>-52.05000000074506</x:v>
      </x:c>
    </x:row>
    <x:row r="402">
      <x:c r="C402" s="45" t="n">
        <x:v>46112</x:v>
      </x:c>
      <x:c r="D402" t="str">
        <x:v>principal.A2b</x:v>
      </x:c>
      <x:c r="E402" s="69" t="n">
        <x:v>12100166.29</x:v>
      </x:c>
      <x:c r="F402" s="69" t="n">
        <x:f>Actuals!E393</x:f>
        <x:v>12100190.32</x:v>
      </x:c>
      <x:c r="G402" s="70" t="n">
        <x:f>E402-F402</x:f>
        <x:v>-24.030000001192093</x:v>
      </x:c>
    </x:row>
    <x:row r="403">
      <x:c r="C403" s="45" t="n">
        <x:v>46112</x:v>
      </x:c>
      <x:c r="D403" t="str">
        <x:v>principal.A3</x:v>
      </x:c>
      <x:c r="E403" s="69" t="n">
        <x:v>0</x:v>
      </x:c>
      <x:c r="F403" s="69" t="n">
        <x:f>Actuals!E394</x:f>
        <x:v>0</x:v>
      </x:c>
      <x:c r="G403" s="70" t="n">
        <x:f>E403-F403</x:f>
        <x:v>0</x:v>
      </x:c>
    </x:row>
    <x:row r="404">
      <x:c r="C404" s="45" t="n">
        <x:v>46112</x:v>
      </x:c>
      <x:c r="D404" t="str">
        <x:v>principal.A4</x:v>
      </x:c>
      <x:c r="E404" s="69" t="n">
        <x:v>0</x:v>
      </x:c>
      <x:c r="F404" s="69" t="n">
        <x:f>Actuals!E395</x:f>
        <x:v>0</x:v>
      </x:c>
      <x:c r="G404" s="70" t="n">
        <x:f>E404-F404</x:f>
        <x:v>0</x:v>
      </x:c>
    </x:row>
    <x:row r="405">
      <x:c r="C405" s="45" t="n">
        <x:v>46112</x:v>
      </x:c>
      <x:c r="D405" t="str">
        <x:v>principal.B</x:v>
      </x:c>
      <x:c r="E405" s="69" t="n">
        <x:v>0</x:v>
      </x:c>
      <x:c r="F405" s="69" t="n">
        <x:f>Actuals!E396</x:f>
        <x:v>0</x:v>
      </x:c>
      <x:c r="G405" s="70" t="n">
        <x:f>E405-F405</x:f>
        <x:v>0</x:v>
      </x:c>
    </x:row>
    <x:row r="406">
      <x:c r="C406" s="45" t="n">
        <x:v>46112</x:v>
      </x:c>
      <x:c r="D406" t="str">
        <x:v>principal.C</x:v>
      </x:c>
      <x:c r="E406" s="69" t="n">
        <x:v>0</x:v>
      </x:c>
      <x:c r="F406" s="69" t="n">
        <x:f>Actuals!E397</x:f>
        <x:v>0</x:v>
      </x:c>
      <x:c r="G406" s="70" t="n">
        <x:f>E406-F406</x:f>
        <x:v>0</x:v>
      </x:c>
    </x:row>
    <x:row r="407">
      <x:c r="C407" s="45" t="n">
        <x:v>46112</x:v>
      </x:c>
      <x:c r="D407" t="str">
        <x:v>principal.D</x:v>
      </x:c>
      <x:c r="E407" s="69" t="n">
        <x:v>0</x:v>
      </x:c>
      <x:c r="F407" s="69" t="n">
        <x:f>Actuals!E398</x:f>
        <x:v>0</x:v>
      </x:c>
      <x:c r="G407" s="70" t="n">
        <x:f>E407-F407</x:f>
        <x:v>0</x:v>
      </x:c>
    </x:row>
    <x:row r="408">
      <x:c r="C408" s="45" t="n">
        <x:v>46112</x:v>
      </x:c>
      <x:c r="D408" t="str">
        <x:v>note_end.A1</x:v>
      </x:c>
      <x:c r="E408" s="69" t="n">
        <x:v>0</x:v>
      </x:c>
      <x:c r="F408" s="69" t="n">
        <x:f>Actuals!E399</x:f>
        <x:v>0</x:v>
      </x:c>
      <x:c r="G408" s="70" t="n">
        <x:f>E408-F408</x:f>
        <x:v>0</x:v>
      </x:c>
    </x:row>
    <x:row r="409">
      <x:c r="C409" s="45" t="n">
        <x:v>46112</x:v>
      </x:c>
      <x:c r="D409" t="str">
        <x:v>note_end.A2a</x:v>
      </x:c>
      <x:c r="E409" s="69" t="n">
        <x:v>200719624.2</x:v>
      </x:c>
      <x:c r="F409" s="69" t="n">
        <x:f>Actuals!E400</x:f>
        <x:v>200719572.15</x:v>
      </x:c>
      <x:c r="G409" s="70" t="n">
        <x:f>E409-F409</x:f>
        <x:v>52.04999998211861</x:v>
      </x:c>
    </x:row>
    <x:row r="410">
      <x:c r="C410" s="45" t="n">
        <x:v>46112</x:v>
      </x:c>
      <x:c r="D410" t="str">
        <x:v>note_end.A2b</x:v>
      </x:c>
      <x:c r="E410" s="69" t="n">
        <x:v>92623504.29</x:v>
      </x:c>
      <x:c r="F410" s="69" t="n">
        <x:f>Actuals!E401</x:f>
        <x:v>92623480.26</x:v>
      </x:c>
      <x:c r="G410" s="70" t="n">
        <x:f>E410-F410</x:f>
        <x:v>24.030000001192093</x:v>
      </x:c>
    </x:row>
    <x:row r="411">
      <x:c r="C411" s="45" t="n">
        <x:v>46112</x:v>
      </x:c>
      <x:c r="D411" t="str">
        <x:v>note_end.A3</x:v>
      </x:c>
      <x:c r="E411" s="69" t="n">
        <x:v>452100000</x:v>
      </x:c>
      <x:c r="F411" s="69" t="n">
        <x:f>Actuals!E402</x:f>
        <x:v>452100000</x:v>
      </x:c>
      <x:c r="G411" s="70" t="n">
        <x:f>E411-F411</x:f>
        <x:v>0</x:v>
      </x:c>
    </x:row>
    <x:row r="412">
      <x:c r="C412" s="45" t="n">
        <x:v>46112</x:v>
      </x:c>
      <x:c r="D412" t="str">
        <x:v>note_end.A4</x:v>
      </x:c>
      <x:c r="E412" s="69" t="n">
        <x:v>89000000</x:v>
      </x:c>
      <x:c r="F412" s="69" t="n">
        <x:f>Actuals!E403</x:f>
        <x:v>89000000</x:v>
      </x:c>
      <x:c r="G412" s="70" t="n">
        <x:f>E412-F412</x:f>
        <x:v>0</x:v>
      </x:c>
    </x:row>
    <x:row r="413">
      <x:c r="C413" s="45" t="n">
        <x:v>46112</x:v>
      </x:c>
      <x:c r="D413" t="str">
        <x:v>note_end.B</x:v>
      </x:c>
      <x:c r="E413" s="69" t="n">
        <x:v>28920000</x:v>
      </x:c>
      <x:c r="F413" s="69" t="n">
        <x:f>Actuals!E404</x:f>
        <x:v>28920000</x:v>
      </x:c>
      <x:c r="G413" s="70" t="n">
        <x:f>E413-F413</x:f>
        <x:v>0</x:v>
      </x:c>
    </x:row>
    <x:row r="414">
      <x:c r="C414" s="45" t="n">
        <x:v>46112</x:v>
      </x:c>
      <x:c r="D414" t="str">
        <x:v>note_end.C</x:v>
      </x:c>
      <x:c r="E414" s="69" t="n">
        <x:v>21160000</x:v>
      </x:c>
      <x:c r="F414" s="69" t="n">
        <x:f>Actuals!E405</x:f>
        <x:v>21160000</x:v>
      </x:c>
      <x:c r="G414" s="70" t="n">
        <x:f>E414-F414</x:f>
        <x:v>0</x:v>
      </x:c>
    </x:row>
    <x:row r="415">
      <x:c r="C415" s="45" t="n">
        <x:v>46112</x:v>
      </x:c>
      <x:c r="D415" t="str">
        <x:v>note_end.D</x:v>
      </x:c>
      <x:c r="E415" s="69" t="n">
        <x:v>14110000</x:v>
      </x:c>
      <x:c r="F415" s="69" t="n">
        <x:f>Actuals!E406</x:f>
        <x:v>14110000</x:v>
      </x:c>
      <x:c r="G415" s="70" t="n">
        <x:f>E415-F415</x:f>
        <x:v>0</x:v>
      </x:c>
    </x:row>
    <x:row r="416">
      <x:c r="C416" s="45" t="n">
        <x:v>46112</x:v>
      </x:c>
      <x:c r="D416" t="str">
        <x:v>priority_principal</x:v>
      </x:c>
      <x:c r="E416" s="69" t="n">
        <x:v>0</x:v>
      </x:c>
      <x:c r="F416" s="69" t="n">
        <x:f>Actuals!E407</x:f>
        <x:v>0</x:v>
      </x:c>
      <x:c r="G416" s="70" t="n">
        <x:f>E416-F416</x:f>
        <x:v>0</x:v>
      </x:c>
    </x:row>
    <x:row r="417">
      <x:c r="C417" s="45" t="n">
        <x:v>46112</x:v>
      </x:c>
      <x:c r="D417" t="str">
        <x:v>secondary_principal</x:v>
      </x:c>
      <x:c r="E417" s="69" t="n">
        <x:v>0</x:v>
      </x:c>
      <x:c r="F417" s="69" t="n">
        <x:f>Actuals!E408</x:f>
        <x:v>0</x:v>
      </x:c>
      <x:c r="G417" s="70" t="n">
        <x:f>E417-F417</x:f>
        <x:v>0</x:v>
      </x:c>
    </x:row>
    <x:row r="418">
      <x:c r="C418" s="45" t="n">
        <x:v>46112</x:v>
      </x:c>
      <x:c r="D418" t="str">
        <x:v>tertiary_principal</x:v>
      </x:c>
      <x:c r="E418" s="69" t="n">
        <x:v>13632467.61</x:v>
      </x:c>
      <x:c r="F418" s="69" t="n">
        <x:f>Actuals!E409</x:f>
        <x:v>13632467.61</x:v>
      </x:c>
      <x:c r="G418" s="70" t="n">
        <x:f>E418-F418</x:f>
        <x:v>0</x:v>
      </x:c>
    </x:row>
    <x:row r="419">
      <x:c r="C419" s="45" t="n">
        <x:v>46112</x:v>
      </x:c>
      <x:c r="D419" t="str">
        <x:v>quaternary_principal</x:v>
      </x:c>
      <x:c r="E419" s="69" t="n">
        <x:v>14110000</x:v>
      </x:c>
      <x:c r="F419" s="69" t="n">
        <x:f>Actuals!E410</x:f>
        <x:v>14110000</x:v>
      </x:c>
      <x:c r="G419" s="70" t="n">
        <x:f>E419-F419</x:f>
        <x:v>0</x:v>
      </x:c>
    </x:row>
    <x:row r="420">
      <x:c r="C420" s="45" t="n">
        <x:v>46112</x:v>
      </x:c>
      <x:c r="D420" t="str">
        <x:v>regular_principal</x:v>
      </x:c>
      <x:c r="E420" s="69" t="n">
        <x:v>10579345.66</x:v>
      </x:c>
      <x:c r="F420" s="69" t="n">
        <x:f>Actuals!E411</x:f>
        <x:v>10579421.74</x:v>
      </x:c>
      <x:c r="G420" s="70" t="n">
        <x:f>E420-F420</x:f>
        <x:v>-76.0800000000745</x:v>
      </x:c>
    </x:row>
    <x:row r="421">
      <x:c r="C421" s="45" t="n">
        <x:v>46112</x:v>
      </x:c>
      <x:c r="D421" t="str">
        <x:v>oc_target</x:v>
      </x:c>
      <x:c r="E421" s="69" t="n">
        <x:v>10579345.66</x:v>
      </x:c>
      <x:c r="F421" s="69" t="n">
        <x:f>Actuals!E412</x:f>
        <x:v>10579421.74</x:v>
      </x:c>
      <x:c r="G421" s="70" t="n">
        <x:f>E421-F421</x:f>
        <x:v>-76.0800000000745</x:v>
      </x:c>
    </x:row>
    <x:row r="422">
      <x:c r="C422" s="45" t="n">
        <x:v>46142</x:v>
      </x:c>
      <x:c r="D422" t="str">
        <x:v>servicing_fee</x:v>
      </x:c>
      <x:c r="E422" s="69" t="n">
        <x:v>757677.06</x:v>
      </x:c>
      <x:c r="F422" s="69" t="n">
        <x:f>Actuals!E413</x:f>
        <x:v>757677.06</x:v>
      </x:c>
      <x:c r="G422" s="70" t="n">
        <x:f>E422-F422</x:f>
        <x:v>0</x:v>
      </x:c>
    </x:row>
    <x:row r="423">
      <x:c r="C423" s="45" t="n">
        <x:v>46142</x:v>
      </x:c>
      <x:c r="D423" t="str">
        <x:v>total_note_interest</x:v>
      </x:c>
      <x:c r="E423" s="69" t="n">
        <x:v>3412685.14</x:v>
      </x:c>
      <x:c r="F423" s="69" t="n">
        <x:f>Actuals!E414</x:f>
        <x:v>3412685.14</x:v>
      </x:c>
      <x:c r="G423" s="70" t="n">
        <x:f>E423-F423</x:f>
        <x:v>0</x:v>
      </x:c>
    </x:row>
    <x:row r="424">
      <x:c r="C424" s="45" t="n">
        <x:v>46142</x:v>
      </x:c>
      <x:c r="D424" t="str">
        <x:v>total_note_principal</x:v>
      </x:c>
      <x:c r="E424" s="69" t="n">
        <x:v>34904089.73</x:v>
      </x:c>
      <x:c r="F424" s="69" t="n">
        <x:f>Actuals!E415</x:f>
        <x:v>34904165.81</x:v>
      </x:c>
      <x:c r="G424" s="70" t="n">
        <x:f>E424-F424</x:f>
        <x:v>-76.08000000566244</x:v>
      </x:c>
    </x:row>
    <x:row r="425">
      <x:c r="C425" s="45" t="n">
        <x:v>46142</x:v>
      </x:c>
      <x:c r="D425" t="str">
        <x:v>residual_distribution</x:v>
      </x:c>
      <x:c r="E425" s="69" t="n">
        <x:v>2755597.18</x:v>
      </x:c>
      <x:c r="F425" s="69" t="n">
        <x:f>Actuals!E416</x:f>
        <x:v>2755521.1</x:v>
      </x:c>
      <x:c r="G425" s="70" t="n">
        <x:f>E425-F425</x:f>
        <x:v>76.0800000000745</x:v>
      </x:c>
    </x:row>
    <x:row r="426">
      <x:c r="C426" s="45" t="n">
        <x:v>46142</x:v>
      </x:c>
      <x:c r="D426" t="str">
        <x:v>reserve_deposit</x:v>
      </x:c>
      <x:c r="E426" s="69" t="n">
        <x:v>0</x:v>
      </x:c>
      <x:c r="F426" s="69" t="n">
        <x:f>Actuals!E417</x:f>
        <x:v>0</x:v>
      </x:c>
      <x:c r="G426" s="70" t="n">
        <x:f>E426-F426</x:f>
        <x:v>0</x:v>
      </x:c>
    </x:row>
    <x:row r="427">
      <x:c r="C427" s="45" t="n">
        <x:v>46142</x:v>
      </x:c>
      <x:c r="D427" t="str">
        <x:v>reserve_end</x:v>
      </x:c>
      <x:c r="E427" s="69" t="n">
        <x:v>3526448.55</x:v>
      </x:c>
      <x:c r="F427" s="69" t="n">
        <x:f>Actuals!E418</x:f>
        <x:v>3526448.55</x:v>
      </x:c>
      <x:c r="G427" s="70" t="n">
        <x:f>E427-F427</x:f>
        <x:v>0</x:v>
      </x:c>
    </x:row>
    <x:row r="428">
      <x:c r="C428" s="45" t="n">
        <x:v>46142</x:v>
      </x:c>
      <x:c r="D428" t="str">
        <x:v>reserve_release</x:v>
      </x:c>
      <x:c r="E428" s="69" t="n">
        <x:v>10332.8</x:v>
      </x:c>
      <x:c r="F428" s="69" t="n">
        <x:f>Actuals!E419</x:f>
        <x:v>10332.8</x:v>
      </x:c>
      <x:c r="G428" s="70" t="n">
        <x:f>E428-F428</x:f>
        <x:v>0</x:v>
      </x:c>
    </x:row>
    <x:row r="429">
      <x:c r="C429" s="45" t="n">
        <x:v>46142</x:v>
      </x:c>
      <x:c r="D429" t="str">
        <x:v>interest.A1</x:v>
      </x:c>
      <x:c r="E429" s="69" t="n">
        <x:v>0</x:v>
      </x:c>
      <x:c r="F429" s="69" t="n">
        <x:f>Actuals!E420</x:f>
        <x:v>0</x:v>
      </x:c>
      <x:c r="G429" s="70" t="n">
        <x:f>E429-F429</x:f>
        <x:v>0</x:v>
      </x:c>
    </x:row>
    <x:row r="430">
      <x:c r="C430" s="45" t="n">
        <x:v>46142</x:v>
      </x:c>
      <x:c r="D430" t="str">
        <x:v>interest.A2a</x:v>
      </x:c>
      <x:c r="E430" s="69" t="n">
        <x:v>767752.36</x:v>
      </x:c>
      <x:c r="F430" s="69" t="n">
        <x:f>Actuals!E421</x:f>
        <x:v>767752.36</x:v>
      </x:c>
      <x:c r="G430" s="70" t="n">
        <x:f>E430-F430</x:f>
        <x:v>0</x:v>
      </x:c>
    </x:row>
    <x:row r="431">
      <x:c r="C431" s="45" t="n">
        <x:v>46142</x:v>
      </x:c>
      <x:c r="D431" t="str">
        <x:v>interest.A2b</x:v>
      </x:c>
      <x:c r="E431" s="69" t="n">
        <x:v>334200.95</x:v>
      </x:c>
      <x:c r="F431" s="69" t="n">
        <x:f>Actuals!E422</x:f>
        <x:v>334200.95</x:v>
      </x:c>
      <x:c r="G431" s="70" t="n">
        <x:f>E431-F431</x:f>
        <x:v>0</x:v>
      </x:c>
    </x:row>
    <x:row r="432">
      <x:c r="C432" s="45" t="n">
        <x:v>46142</x:v>
      </x:c>
      <x:c r="D432" t="str">
        <x:v>interest.A3</x:v>
      </x:c>
      <x:c r="E432" s="69" t="n">
        <x:v>1687840</x:v>
      </x:c>
      <x:c r="F432" s="69" t="n">
        <x:f>Actuals!E423</x:f>
        <x:v>1687840</x:v>
      </x:c>
      <x:c r="G432" s="70" t="n">
        <x:f>E432-F432</x:f>
        <x:v>0</x:v>
      </x:c>
    </x:row>
    <x:row r="433">
      <x:c r="C433" s="45" t="n">
        <x:v>46142</x:v>
      </x:c>
      <x:c r="D433" t="str">
        <x:v>interest.A4</x:v>
      </x:c>
      <x:c r="E433" s="69" t="n">
        <x:v>344875</x:v>
      </x:c>
      <x:c r="F433" s="69" t="n">
        <x:f>Actuals!E424</x:f>
        <x:v>344875</x:v>
      </x:c>
      <x:c r="G433" s="70" t="n">
        <x:f>E433-F433</x:f>
        <x:v>0</x:v>
      </x:c>
    </x:row>
    <x:row r="434">
      <x:c r="C434" s="45" t="n">
        <x:v>46142</x:v>
      </x:c>
      <x:c r="D434" t="str">
        <x:v>interest.B</x:v>
      </x:c>
      <x:c r="E434" s="69" t="n">
        <x:v>119536</x:v>
      </x:c>
      <x:c r="F434" s="69" t="n">
        <x:f>Actuals!E425</x:f>
        <x:v>119536</x:v>
      </x:c>
      <x:c r="G434" s="70" t="n">
        <x:f>E434-F434</x:f>
        <x:v>0</x:v>
      </x:c>
    </x:row>
    <x:row r="435">
      <x:c r="C435" s="45" t="n">
        <x:v>46142</x:v>
      </x:c>
      <x:c r="D435" t="str">
        <x:v>interest.C</x:v>
      </x:c>
      <x:c r="E435" s="69" t="n">
        <x:v>90988</x:v>
      </x:c>
      <x:c r="F435" s="69" t="n">
        <x:f>Actuals!E426</x:f>
        <x:v>90988</x:v>
      </x:c>
      <x:c r="G435" s="70" t="n">
        <x:f>E435-F435</x:f>
        <x:v>0</x:v>
      </x:c>
    </x:row>
    <x:row r="436">
      <x:c r="C436" s="45" t="n">
        <x:v>46142</x:v>
      </x:c>
      <x:c r="D436" t="str">
        <x:v>interest.D</x:v>
      </x:c>
      <x:c r="E436" s="69" t="n">
        <x:v>67492.83</x:v>
      </x:c>
      <x:c r="F436" s="69" t="n">
        <x:f>Actuals!E427</x:f>
        <x:v>67492.83</x:v>
      </x:c>
      <x:c r="G436" s="70" t="n">
        <x:f>E436-F436</x:f>
        <x:v>0</x:v>
      </x:c>
    </x:row>
    <x:row r="437">
      <x:c r="C437" s="45" t="n">
        <x:v>46142</x:v>
      </x:c>
      <x:c r="D437" t="str">
        <x:v>principal.A1</x:v>
      </x:c>
      <x:c r="E437" s="69" t="n">
        <x:v>0</x:v>
      </x:c>
      <x:c r="F437" s="69" t="n">
        <x:f>Actuals!E428</x:f>
        <x:v>0</x:v>
      </x:c>
      <x:c r="G437" s="70" t="n">
        <x:f>E437-F437</x:f>
        <x:v>0</x:v>
      </x:c>
    </x:row>
    <x:row r="438">
      <x:c r="C438" s="45" t="n">
        <x:v>46142</x:v>
      </x:c>
      <x:c r="D438" t="str">
        <x:v>principal.A2a</x:v>
      </x:c>
      <x:c r="E438" s="69" t="n">
        <x:v>23883074.44</x:v>
      </x:c>
      <x:c r="F438" s="69" t="n">
        <x:f>Actuals!E429</x:f>
        <x:v>23883126.5</x:v>
      </x:c>
      <x:c r="G438" s="70" t="n">
        <x:f>E438-F438</x:f>
        <x:v>-52.059999998658895</x:v>
      </x:c>
    </x:row>
    <x:row r="439">
      <x:c r="C439" s="45" t="n">
        <x:v>46142</x:v>
      </x:c>
      <x:c r="D439" t="str">
        <x:v>principal.A2b</x:v>
      </x:c>
      <x:c r="E439" s="69" t="n">
        <x:v>11021015.29</x:v>
      </x:c>
      <x:c r="F439" s="69" t="n">
        <x:f>Actuals!E430</x:f>
        <x:v>11021039.31</x:v>
      </x:c>
      <x:c r="G439" s="70" t="n">
        <x:f>E439-F439</x:f>
        <x:v>-24.02000000141561</x:v>
      </x:c>
    </x:row>
    <x:row r="440">
      <x:c r="C440" s="45" t="n">
        <x:v>46142</x:v>
      </x:c>
      <x:c r="D440" t="str">
        <x:v>principal.A3</x:v>
      </x:c>
      <x:c r="E440" s="69" t="n">
        <x:v>0</x:v>
      </x:c>
      <x:c r="F440" s="69" t="n">
        <x:f>Actuals!E431</x:f>
        <x:v>0</x:v>
      </x:c>
      <x:c r="G440" s="70" t="n">
        <x:f>E440-F440</x:f>
        <x:v>0</x:v>
      </x:c>
    </x:row>
    <x:row r="441">
      <x:c r="C441" s="45" t="n">
        <x:v>46142</x:v>
      </x:c>
      <x:c r="D441" t="str">
        <x:v>principal.A4</x:v>
      </x:c>
      <x:c r="E441" s="69" t="n">
        <x:v>0</x:v>
      </x:c>
      <x:c r="F441" s="69" t="n">
        <x:f>Actuals!E432</x:f>
        <x:v>0</x:v>
      </x:c>
      <x:c r="G441" s="70" t="n">
        <x:f>E441-F441</x:f>
        <x:v>0</x:v>
      </x:c>
    </x:row>
    <x:row r="442">
      <x:c r="C442" s="45" t="n">
        <x:v>46142</x:v>
      </x:c>
      <x:c r="D442" t="str">
        <x:v>principal.B</x:v>
      </x:c>
      <x:c r="E442" s="69" t="n">
        <x:v>0</x:v>
      </x:c>
      <x:c r="F442" s="69" t="n">
        <x:f>Actuals!E433</x:f>
        <x:v>0</x:v>
      </x:c>
      <x:c r="G442" s="70" t="n">
        <x:f>E442-F442</x:f>
        <x:v>0</x:v>
      </x:c>
    </x:row>
    <x:row r="443">
      <x:c r="C443" s="45" t="n">
        <x:v>46142</x:v>
      </x:c>
      <x:c r="D443" t="str">
        <x:v>principal.C</x:v>
      </x:c>
      <x:c r="E443" s="69" t="n">
        <x:v>0</x:v>
      </x:c>
      <x:c r="F443" s="69" t="n">
        <x:f>Actuals!E434</x:f>
        <x:v>0</x:v>
      </x:c>
      <x:c r="G443" s="70" t="n">
        <x:f>E443-F443</x:f>
        <x:v>0</x:v>
      </x:c>
    </x:row>
    <x:row r="444">
      <x:c r="C444" s="45" t="n">
        <x:v>46142</x:v>
      </x:c>
      <x:c r="D444" t="str">
        <x:v>principal.D</x:v>
      </x:c>
      <x:c r="E444" s="69" t="n">
        <x:v>0</x:v>
      </x:c>
      <x:c r="F444" s="69" t="n">
        <x:f>Actuals!E435</x:f>
        <x:v>0</x:v>
      </x:c>
      <x:c r="G444" s="70" t="n">
        <x:f>E444-F444</x:f>
        <x:v>0</x:v>
      </x:c>
    </x:row>
    <x:row r="445">
      <x:c r="C445" s="45" t="n">
        <x:v>46142</x:v>
      </x:c>
      <x:c r="D445" t="str">
        <x:v>note_end.A1</x:v>
      </x:c>
      <x:c r="E445" s="69" t="n">
        <x:v>0</x:v>
      </x:c>
      <x:c r="F445" s="69" t="n">
        <x:f>Actuals!E436</x:f>
        <x:v>0</x:v>
      </x:c>
      <x:c r="G445" s="70" t="n">
        <x:f>E445-F445</x:f>
        <x:v>0</x:v>
      </x:c>
    </x:row>
    <x:row r="446">
      <x:c r="C446" s="45" t="n">
        <x:v>46142</x:v>
      </x:c>
      <x:c r="D446" t="str">
        <x:v>note_end.A2a</x:v>
      </x:c>
      <x:c r="E446" s="69" t="n">
        <x:v>176836497.71</x:v>
      </x:c>
      <x:c r="F446" s="69" t="n">
        <x:f>Actuals!E437</x:f>
        <x:v>176836445.65</x:v>
      </x:c>
      <x:c r="G446" s="70" t="n">
        <x:f>E446-F446</x:f>
        <x:v>52.060000002384186</x:v>
      </x:c>
    </x:row>
    <x:row r="447">
      <x:c r="C447" s="45" t="n">
        <x:v>46142</x:v>
      </x:c>
      <x:c r="D447" t="str">
        <x:v>note_end.A2b</x:v>
      </x:c>
      <x:c r="E447" s="69" t="n">
        <x:v>81602464.97</x:v>
      </x:c>
      <x:c r="F447" s="69" t="n">
        <x:f>Actuals!E438</x:f>
        <x:v>81602440.95</x:v>
      </x:c>
      <x:c r="G447" s="70" t="n">
        <x:f>E447-F447</x:f>
        <x:v>24.019999995827675</x:v>
      </x:c>
    </x:row>
    <x:row r="448">
      <x:c r="C448" s="45" t="n">
        <x:v>46142</x:v>
      </x:c>
      <x:c r="D448" t="str">
        <x:v>note_end.A3</x:v>
      </x:c>
      <x:c r="E448" s="69" t="n">
        <x:v>452100000</x:v>
      </x:c>
      <x:c r="F448" s="69" t="n">
        <x:f>Actuals!E439</x:f>
        <x:v>452100000</x:v>
      </x:c>
      <x:c r="G448" s="70" t="n">
        <x:f>E448-F448</x:f>
        <x:v>0</x:v>
      </x:c>
    </x:row>
    <x:row r="449">
      <x:c r="C449" s="45" t="n">
        <x:v>46142</x:v>
      </x:c>
      <x:c r="D449" t="str">
        <x:v>note_end.A4</x:v>
      </x:c>
      <x:c r="E449" s="69" t="n">
        <x:v>89000000</x:v>
      </x:c>
      <x:c r="F449" s="69" t="n">
        <x:f>Actuals!E440</x:f>
        <x:v>89000000</x:v>
      </x:c>
      <x:c r="G449" s="70" t="n">
        <x:f>E449-F449</x:f>
        <x:v>0</x:v>
      </x:c>
    </x:row>
    <x:row r="450">
      <x:c r="C450" s="45" t="n">
        <x:v>46142</x:v>
      </x:c>
      <x:c r="D450" t="str">
        <x:v>note_end.B</x:v>
      </x:c>
      <x:c r="E450" s="69" t="n">
        <x:v>28920000</x:v>
      </x:c>
      <x:c r="F450" s="69" t="n">
        <x:f>Actuals!E441</x:f>
        <x:v>28920000</x:v>
      </x:c>
      <x:c r="G450" s="70" t="n">
        <x:f>E450-F450</x:f>
        <x:v>0</x:v>
      </x:c>
    </x:row>
    <x:row r="451">
      <x:c r="C451" s="45" t="n">
        <x:v>46142</x:v>
      </x:c>
      <x:c r="D451" t="str">
        <x:v>note_end.C</x:v>
      </x:c>
      <x:c r="E451" s="69" t="n">
        <x:v>21160000</x:v>
      </x:c>
      <x:c r="F451" s="69" t="n">
        <x:f>Actuals!E442</x:f>
        <x:v>21160000</x:v>
      </x:c>
      <x:c r="G451" s="70" t="n">
        <x:f>E451-F451</x:f>
        <x:v>0</x:v>
      </x:c>
    </x:row>
    <x:row r="452">
      <x:c r="C452" s="45" t="n">
        <x:v>46142</x:v>
      </x:c>
      <x:c r="D452" t="str">
        <x:v>note_end.D</x:v>
      </x:c>
      <x:c r="E452" s="69" t="n">
        <x:v>14110000</x:v>
      </x:c>
      <x:c r="F452" s="69" t="n">
        <x:f>Actuals!E443</x:f>
        <x:v>14110000</x:v>
      </x:c>
      <x:c r="G452" s="70" t="n">
        <x:f>E452-F452</x:f>
        <x:v>0</x:v>
      </x:c>
    </x:row>
    <x:row r="453">
      <x:c r="C453" s="45" t="n">
        <x:v>46142</x:v>
      </x:c>
      <x:c r="D453" t="str">
        <x:v>priority_principal</x:v>
      </x:c>
      <x:c r="E453" s="69" t="n">
        <x:v>0</x:v>
      </x:c>
      <x:c r="F453" s="69" t="n">
        <x:f>Actuals!E444</x:f>
        <x:v>0</x:v>
      </x:c>
      <x:c r="G453" s="70" t="n">
        <x:f>E453-F453</x:f>
        <x:v>0</x:v>
      </x:c>
    </x:row>
    <x:row r="454">
      <x:c r="C454" s="45" t="n">
        <x:v>46142</x:v>
      </x:c>
      <x:c r="D454" t="str">
        <x:v>secondary_principal</x:v>
      </x:c>
      <x:c r="E454" s="69" t="n">
        <x:v>0</x:v>
      </x:c>
      <x:c r="F454" s="69" t="n">
        <x:f>Actuals!E445</x:f>
        <x:v>0</x:v>
      </x:c>
      <x:c r="G454" s="70" t="n">
        <x:f>E454-F454</x:f>
        <x:v>0</x:v>
      </x:c>
    </x:row>
    <x:row r="455">
      <x:c r="C455" s="45" t="n">
        <x:v>46142</x:v>
      </x:c>
      <x:c r="D455" t="str">
        <x:v>tertiary_principal</x:v>
      </x:c>
      <x:c r="E455" s="69" t="n">
        <x:v>10214744.07</x:v>
      </x:c>
      <x:c r="F455" s="69" t="n">
        <x:f>Actuals!E446</x:f>
        <x:v>10214744.07</x:v>
      </x:c>
      <x:c r="G455" s="70" t="n">
        <x:f>E455-F455</x:f>
        <x:v>0</x:v>
      </x:c>
    </x:row>
    <x:row r="456">
      <x:c r="C456" s="45" t="n">
        <x:v>46142</x:v>
      </x:c>
      <x:c r="D456" t="str">
        <x:v>quaternary_principal</x:v>
      </x:c>
      <x:c r="E456" s="69" t="n">
        <x:v>14110000</x:v>
      </x:c>
      <x:c r="F456" s="69" t="n">
        <x:f>Actuals!E447</x:f>
        <x:v>14110000</x:v>
      </x:c>
      <x:c r="G456" s="70" t="n">
        <x:f>E456-F456</x:f>
        <x:v>0</x:v>
      </x:c>
    </x:row>
    <x:row r="457">
      <x:c r="C457" s="45" t="n">
        <x:v>46142</x:v>
      </x:c>
      <x:c r="D457" t="str">
        <x:v>regular_principal</x:v>
      </x:c>
      <x:c r="E457" s="69" t="n">
        <x:v>10579345.66</x:v>
      </x:c>
      <x:c r="F457" s="69" t="n">
        <x:f>Actuals!E448</x:f>
        <x:v>10579421.74</x:v>
      </x:c>
      <x:c r="G457" s="70" t="n">
        <x:f>E457-F457</x:f>
        <x:v>-76.0800000000745</x:v>
      </x:c>
    </x:row>
    <x:row r="458">
      <x:c r="C458" s="45" t="n">
        <x:v>46142</x:v>
      </x:c>
      <x:c r="D458" t="str">
        <x:v>oc_target</x:v>
      </x:c>
      <x:c r="E458" s="69" t="n">
        <x:v>10579345.66</x:v>
      </x:c>
      <x:c r="F458" s="69" t="n">
        <x:f>Actuals!E449</x:f>
        <x:v>10579421.74</x:v>
      </x:c>
      <x:c r="G458" s="70" t="n">
        <x:f>E458-F458</x:f>
        <x:v>-76.0800000000745</x:v>
      </x:c>
    </x:row>
    <x:row r="459">
      <x:c r="C459" s="45" t="n">
        <x:v>46173</x:v>
      </x:c>
      <x:c r="D459" t="str">
        <x:v>servicing_fee</x:v>
      </x:c>
      <x:c r="E459" s="69" t="n">
        <x:v>728590.26</x:v>
      </x:c>
      <x:c r="F459" s="69" t="n">
        <x:f>Actuals!E450</x:f>
        <x:v>728590.26</x:v>
      </x:c>
      <x:c r="G459" s="70" t="n">
        <x:f>E459-F459</x:f>
        <x:v>0</x:v>
      </x:c>
    </x:row>
    <x:row r="460">
      <x:c r="C460" s="45" t="n">
        <x:v>46173</x:v>
      </x:c>
      <x:c r="D460" t="str">
        <x:v>total_note_interest</x:v>
      </x:c>
      <x:c r="E460" s="69" t="n">
        <x:v>3291595.26</x:v>
      </x:c>
      <x:c r="F460" s="69" t="n">
        <x:f>Actuals!E451</x:f>
        <x:v>3291595.26</x:v>
      </x:c>
      <x:c r="G460" s="70" t="n">
        <x:f>E460-F460</x:f>
        <x:v>0</x:v>
      </x:c>
    </x:row>
    <x:row r="461">
      <x:c r="C461" s="45" t="n">
        <x:v>46173</x:v>
      </x:c>
      <x:c r="D461" t="str">
        <x:v>total_note_principal</x:v>
      </x:c>
      <x:c r="E461" s="69" t="n">
        <x:v>33627612.88</x:v>
      </x:c>
      <x:c r="F461" s="69" t="n">
        <x:f>Actuals!E452</x:f>
        <x:v>33627688.96</x:v>
      </x:c>
      <x:c r="G461" s="70" t="n">
        <x:f>E461-F461</x:f>
        <x:v>-76.07999999821186</x:v>
      </x:c>
    </x:row>
    <x:row r="462">
      <x:c r="C462" s="45" t="n">
        <x:v>46173</x:v>
      </x:c>
      <x:c r="D462" t="str">
        <x:v>residual_distribution</x:v>
      </x:c>
      <x:c r="E462" s="69" t="n">
        <x:v>2534221.85</x:v>
      </x:c>
      <x:c r="F462" s="69" t="n">
        <x:f>Actuals!E453</x:f>
        <x:v>2534145.77</x:v>
      </x:c>
      <x:c r="G462" s="70" t="n">
        <x:f>E462-F462</x:f>
        <x:v>76.0800000000745</x:v>
      </x:c>
    </x:row>
    <x:row r="463">
      <x:c r="C463" s="45" t="n">
        <x:v>46173</x:v>
      </x:c>
      <x:c r="D463" t="str">
        <x:v>reserve_deposit</x:v>
      </x:c>
      <x:c r="E463" s="69" t="n">
        <x:v>0</x:v>
      </x:c>
      <x:c r="F463" s="69" t="n">
        <x:f>Actuals!E454</x:f>
        <x:v>0</x:v>
      </x:c>
      <x:c r="G463" s="70" t="n">
        <x:f>E463-F463</x:f>
        <x:v>0</x:v>
      </x:c>
    </x:row>
    <x:row r="464">
      <x:c r="C464" s="45" t="n">
        <x:v>46173</x:v>
      </x:c>
      <x:c r="D464" t="str">
        <x:v>reserve_end</x:v>
      </x:c>
      <x:c r="E464" s="69" t="n">
        <x:v>3526448.55</x:v>
      </x:c>
      <x:c r="F464" s="69" t="n">
        <x:f>Actuals!E455</x:f>
        <x:v>3526448.55</x:v>
      </x:c>
      <x:c r="G464" s="70" t="n">
        <x:f>E464-F464</x:f>
        <x:v>0</x:v>
      </x:c>
    </x:row>
    <x:row r="465">
      <x:c r="C465" s="45" t="n">
        <x:v>46173</x:v>
      </x:c>
      <x:c r="D465" t="str">
        <x:v>reserve_release</x:v>
      </x:c>
      <x:c r="E465" s="69" t="n">
        <x:v>10566.97</x:v>
      </x:c>
      <x:c r="F465" s="69" t="n">
        <x:f>Actuals!E456</x:f>
        <x:v>10566.97</x:v>
      </x:c>
      <x:c r="G465" s="70" t="n">
        <x:f>E465-F465</x:f>
        <x:v>0</x:v>
      </x:c>
    </x:row>
    <x:row r="466">
      <x:c r="C466" s="45" t="n">
        <x:v>46173</x:v>
      </x:c>
      <x:c r="D466" t="str">
        <x:v>interest.A1</x:v>
      </x:c>
      <x:c r="E466" s="69" t="n">
        <x:v>0</x:v>
      </x:c>
      <x:c r="F466" s="69" t="n">
        <x:f>Actuals!E457</x:f>
        <x:v>0</x:v>
      </x:c>
      <x:c r="G466" s="70" t="n">
        <x:f>E466-F466</x:f>
        <x:v>0</x:v>
      </x:c>
    </x:row>
    <x:row r="467">
      <x:c r="C467" s="45" t="n">
        <x:v>46173</x:v>
      </x:c>
      <x:c r="D467" t="str">
        <x:v>interest.A2a</x:v>
      </x:c>
      <x:c r="E467" s="69" t="n">
        <x:v>676399.4</x:v>
      </x:c>
      <x:c r="F467" s="69" t="n">
        <x:f>Actuals!E458</x:f>
        <x:v>676399.4</x:v>
      </x:c>
      <x:c r="G467" s="70" t="n">
        <x:f>E467-F467</x:f>
        <x:v>0</x:v>
      </x:c>
    </x:row>
    <x:row r="468">
      <x:c r="C468" s="45" t="n">
        <x:v>46173</x:v>
      </x:c>
      <x:c r="D468" t="str">
        <x:v>interest.A2b</x:v>
      </x:c>
      <x:c r="E468" s="69" t="n">
        <x:v>304464.03</x:v>
      </x:c>
      <x:c r="F468" s="69" t="n">
        <x:f>Actuals!E459</x:f>
        <x:v>304464.03</x:v>
      </x:c>
      <x:c r="G468" s="70" t="n">
        <x:f>E468-F468</x:f>
        <x:v>0</x:v>
      </x:c>
    </x:row>
    <x:row r="469">
      <x:c r="C469" s="45" t="n">
        <x:v>46173</x:v>
      </x:c>
      <x:c r="D469" t="str">
        <x:v>interest.A3</x:v>
      </x:c>
      <x:c r="E469" s="69" t="n">
        <x:v>1687840</x:v>
      </x:c>
      <x:c r="F469" s="69" t="n">
        <x:f>Actuals!E460</x:f>
        <x:v>1687840</x:v>
      </x:c>
      <x:c r="G469" s="70" t="n">
        <x:f>E469-F469</x:f>
        <x:v>0</x:v>
      </x:c>
    </x:row>
    <x:row r="470">
      <x:c r="C470" s="45" t="n">
        <x:v>46173</x:v>
      </x:c>
      <x:c r="D470" t="str">
        <x:v>interest.A4</x:v>
      </x:c>
      <x:c r="E470" s="69" t="n">
        <x:v>344875</x:v>
      </x:c>
      <x:c r="F470" s="69" t="n">
        <x:f>Actuals!E461</x:f>
        <x:v>344875</x:v>
      </x:c>
      <x:c r="G470" s="70" t="n">
        <x:f>E470-F470</x:f>
        <x:v>0</x:v>
      </x:c>
    </x:row>
    <x:row r="471">
      <x:c r="C471" s="45" t="n">
        <x:v>46173</x:v>
      </x:c>
      <x:c r="D471" t="str">
        <x:v>interest.B</x:v>
      </x:c>
      <x:c r="E471" s="69" t="n">
        <x:v>119536</x:v>
      </x:c>
      <x:c r="F471" s="69" t="n">
        <x:f>Actuals!E462</x:f>
        <x:v>119536</x:v>
      </x:c>
      <x:c r="G471" s="70" t="n">
        <x:f>E471-F471</x:f>
        <x:v>0</x:v>
      </x:c>
    </x:row>
    <x:row r="472">
      <x:c r="C472" s="45" t="n">
        <x:v>46173</x:v>
      </x:c>
      <x:c r="D472" t="str">
        <x:v>interest.C</x:v>
      </x:c>
      <x:c r="E472" s="69" t="n">
        <x:v>90988</x:v>
      </x:c>
      <x:c r="F472" s="69" t="n">
        <x:f>Actuals!E463</x:f>
        <x:v>90988</x:v>
      </x:c>
      <x:c r="G472" s="70" t="n">
        <x:f>E472-F472</x:f>
        <x:v>0</x:v>
      </x:c>
    </x:row>
    <x:row r="473">
      <x:c r="C473" s="45" t="n">
        <x:v>46173</x:v>
      </x:c>
      <x:c r="D473" t="str">
        <x:v>interest.D</x:v>
      </x:c>
      <x:c r="E473" s="69" t="n">
        <x:v>67492.83</x:v>
      </x:c>
      <x:c r="F473" s="69" t="n">
        <x:f>Actuals!E464</x:f>
        <x:v>67492.83</x:v>
      </x:c>
      <x:c r="G473" s="70" t="n">
        <x:f>E473-F473</x:f>
        <x:v>0</x:v>
      </x:c>
    </x:row>
    <x:row r="474">
      <x:c r="C474" s="45" t="n">
        <x:v>46173</x:v>
      </x:c>
      <x:c r="D474" t="str">
        <x:v>principal.A1</x:v>
      </x:c>
      <x:c r="E474" s="69" t="n">
        <x:v>0</x:v>
      </x:c>
      <x:c r="F474" s="69" t="n">
        <x:f>Actuals!E465</x:f>
        <x:v>0</x:v>
      </x:c>
      <x:c r="G474" s="70" t="n">
        <x:f>E474-F474</x:f>
        <x:v>0</x:v>
      </x:c>
    </x:row>
    <x:row r="475">
      <x:c r="C475" s="45" t="n">
        <x:v>46173</x:v>
      </x:c>
      <x:c r="D475" t="str">
        <x:v>principal.A2a</x:v>
      </x:c>
      <x:c r="E475" s="69" t="n">
        <x:v>23009646.95</x:v>
      </x:c>
      <x:c r="F475" s="69" t="n">
        <x:f>Actuals!E466</x:f>
        <x:v>23009699</x:v>
      </x:c>
      <x:c r="G475" s="70" t="n">
        <x:f>E475-F475</x:f>
        <x:v>-52.05000000074506</x:v>
      </x:c>
    </x:row>
    <x:row r="476">
      <x:c r="C476" s="45" t="n">
        <x:v>46173</x:v>
      </x:c>
      <x:c r="D476" t="str">
        <x:v>principal.A2b</x:v>
      </x:c>
      <x:c r="E476" s="69" t="n">
        <x:v>10617965.93</x:v>
      </x:c>
      <x:c r="F476" s="69" t="n">
        <x:f>Actuals!E467</x:f>
        <x:v>10617989.96</x:v>
      </x:c>
      <x:c r="G476" s="70" t="n">
        <x:f>E476-F476</x:f>
        <x:v>-24.030000001192093</x:v>
      </x:c>
    </x:row>
    <x:row r="477">
      <x:c r="C477" s="45" t="n">
        <x:v>46173</x:v>
      </x:c>
      <x:c r="D477" t="str">
        <x:v>principal.A3</x:v>
      </x:c>
      <x:c r="E477" s="69" t="n">
        <x:v>0</x:v>
      </x:c>
      <x:c r="F477" s="69" t="n">
        <x:f>Actuals!E468</x:f>
        <x:v>0</x:v>
      </x:c>
      <x:c r="G477" s="70" t="n">
        <x:f>E477-F477</x:f>
        <x:v>0</x:v>
      </x:c>
    </x:row>
    <x:row r="478">
      <x:c r="C478" s="45" t="n">
        <x:v>46173</x:v>
      </x:c>
      <x:c r="D478" t="str">
        <x:v>principal.A4</x:v>
      </x:c>
      <x:c r="E478" s="69" t="n">
        <x:v>0</x:v>
      </x:c>
      <x:c r="F478" s="69" t="n">
        <x:f>Actuals!E469</x:f>
        <x:v>0</x:v>
      </x:c>
      <x:c r="G478" s="70" t="n">
        <x:f>E478-F478</x:f>
        <x:v>0</x:v>
      </x:c>
    </x:row>
    <x:row r="479">
      <x:c r="C479" s="45" t="n">
        <x:v>46173</x:v>
      </x:c>
      <x:c r="D479" t="str">
        <x:v>principal.B</x:v>
      </x:c>
      <x:c r="E479" s="69" t="n">
        <x:v>0</x:v>
      </x:c>
      <x:c r="F479" s="69" t="n">
        <x:f>Actuals!E470</x:f>
        <x:v>0</x:v>
      </x:c>
      <x:c r="G479" s="70" t="n">
        <x:f>E479-F479</x:f>
        <x:v>0</x:v>
      </x:c>
    </x:row>
    <x:row r="480">
      <x:c r="C480" s="45" t="n">
        <x:v>46173</x:v>
      </x:c>
      <x:c r="D480" t="str">
        <x:v>principal.C</x:v>
      </x:c>
      <x:c r="E480" s="69" t="n">
        <x:v>0</x:v>
      </x:c>
      <x:c r="F480" s="69" t="n">
        <x:f>Actuals!E471</x:f>
        <x:v>0</x:v>
      </x:c>
      <x:c r="G480" s="70" t="n">
        <x:f>E480-F480</x:f>
        <x:v>0</x:v>
      </x:c>
    </x:row>
    <x:row r="481">
      <x:c r="C481" s="45" t="n">
        <x:v>46173</x:v>
      </x:c>
      <x:c r="D481" t="str">
        <x:v>principal.D</x:v>
      </x:c>
      <x:c r="E481" s="69" t="n">
        <x:v>0</x:v>
      </x:c>
      <x:c r="F481" s="69" t="n">
        <x:f>Actuals!E472</x:f>
        <x:v>0</x:v>
      </x:c>
      <x:c r="G481" s="70" t="n">
        <x:f>E481-F481</x:f>
        <x:v>0</x:v>
      </x:c>
    </x:row>
    <x:row r="482">
      <x:c r="C482" s="45" t="n">
        <x:v>46173</x:v>
      </x:c>
      <x:c r="D482" t="str">
        <x:v>note_end.A1</x:v>
      </x:c>
      <x:c r="E482" s="69" t="n">
        <x:v>0</x:v>
      </x:c>
      <x:c r="F482" s="69" t="n">
        <x:f>Actuals!E473</x:f>
        <x:v>0</x:v>
      </x:c>
      <x:c r="G482" s="70" t="n">
        <x:f>E482-F482</x:f>
        <x:v>0</x:v>
      </x:c>
    </x:row>
    <x:row r="483">
      <x:c r="C483" s="45" t="n">
        <x:v>46173</x:v>
      </x:c>
      <x:c r="D483" t="str">
        <x:v>note_end.A2a</x:v>
      </x:c>
      <x:c r="E483" s="69" t="n">
        <x:v>153826798.7</x:v>
      </x:c>
      <x:c r="F483" s="69" t="n">
        <x:f>Actuals!E474</x:f>
        <x:v>153826746.65</x:v>
      </x:c>
      <x:c r="G483" s="70" t="n">
        <x:f>E483-F483</x:f>
        <x:v>52.04999998211861</x:v>
      </x:c>
    </x:row>
    <x:row r="484">
      <x:c r="C484" s="45" t="n">
        <x:v>46173</x:v>
      </x:c>
      <x:c r="D484" t="str">
        <x:v>note_end.A2b</x:v>
      </x:c>
      <x:c r="E484" s="69" t="n">
        <x:v>70984475.02</x:v>
      </x:c>
      <x:c r="F484" s="69" t="n">
        <x:f>Actuals!E475</x:f>
        <x:v>70984450.99</x:v>
      </x:c>
      <x:c r="G484" s="70" t="n">
        <x:f>E484-F484</x:f>
        <x:v>24.030000001192093</x:v>
      </x:c>
    </x:row>
    <x:row r="485">
      <x:c r="C485" s="45" t="n">
        <x:v>46173</x:v>
      </x:c>
      <x:c r="D485" t="str">
        <x:v>note_end.A3</x:v>
      </x:c>
      <x:c r="E485" s="69" t="n">
        <x:v>452100000</x:v>
      </x:c>
      <x:c r="F485" s="69" t="n">
        <x:f>Actuals!E476</x:f>
        <x:v>452100000</x:v>
      </x:c>
      <x:c r="G485" s="70" t="n">
        <x:f>E485-F485</x:f>
        <x:v>0</x:v>
      </x:c>
    </x:row>
    <x:row r="486">
      <x:c r="C486" s="45" t="n">
        <x:v>46173</x:v>
      </x:c>
      <x:c r="D486" t="str">
        <x:v>note_end.A4</x:v>
      </x:c>
      <x:c r="E486" s="69" t="n">
        <x:v>89000000</x:v>
      </x:c>
      <x:c r="F486" s="69" t="n">
        <x:f>Actuals!E477</x:f>
        <x:v>89000000</x:v>
      </x:c>
      <x:c r="G486" s="70" t="n">
        <x:f>E486-F486</x:f>
        <x:v>0</x:v>
      </x:c>
    </x:row>
    <x:row r="487">
      <x:c r="C487" s="45" t="n">
        <x:v>46173</x:v>
      </x:c>
      <x:c r="D487" t="str">
        <x:v>note_end.B</x:v>
      </x:c>
      <x:c r="E487" s="69" t="n">
        <x:v>28920000</x:v>
      </x:c>
      <x:c r="F487" s="69" t="n">
        <x:f>Actuals!E478</x:f>
        <x:v>28920000</x:v>
      </x:c>
      <x:c r="G487" s="70" t="n">
        <x:f>E487-F487</x:f>
        <x:v>0</x:v>
      </x:c>
    </x:row>
    <x:row r="488">
      <x:c r="C488" s="45" t="n">
        <x:v>46173</x:v>
      </x:c>
      <x:c r="D488" t="str">
        <x:v>note_end.C</x:v>
      </x:c>
      <x:c r="E488" s="69" t="n">
        <x:v>21160000</x:v>
      </x:c>
      <x:c r="F488" s="69" t="n">
        <x:f>Actuals!E479</x:f>
        <x:v>21160000</x:v>
      </x:c>
      <x:c r="G488" s="70" t="n">
        <x:f>E488-F488</x:f>
        <x:v>0</x:v>
      </x:c>
    </x:row>
    <x:row r="489">
      <x:c r="C489" s="45" t="n">
        <x:v>46173</x:v>
      </x:c>
      <x:c r="D489" t="str">
        <x:v>note_end.D</x:v>
      </x:c>
      <x:c r="E489" s="69" t="n">
        <x:v>14110000</x:v>
      </x:c>
      <x:c r="F489" s="69" t="n">
        <x:f>Actuals!E480</x:f>
        <x:v>14110000</x:v>
      </x:c>
      <x:c r="G489" s="70" t="n">
        <x:f>E489-F489</x:f>
        <x:v>0</x:v>
      </x:c>
    </x:row>
    <x:row r="490">
      <x:c r="C490" s="45" t="n">
        <x:v>46173</x:v>
      </x:c>
      <x:c r="D490" t="str">
        <x:v>priority_principal</x:v>
      </x:c>
      <x:c r="E490" s="69" t="n">
        <x:v>0</x:v>
      </x:c>
      <x:c r="F490" s="69" t="n">
        <x:f>Actuals!E481</x:f>
        <x:v>0</x:v>
      </x:c>
      <x:c r="G490" s="70" t="n">
        <x:f>E490-F490</x:f>
        <x:v>0</x:v>
      </x:c>
    </x:row>
    <x:row r="491">
      <x:c r="C491" s="45" t="n">
        <x:v>46173</x:v>
      </x:c>
      <x:c r="D491" t="str">
        <x:v>secondary_principal</x:v>
      </x:c>
      <x:c r="E491" s="69" t="n">
        <x:v>0</x:v>
      </x:c>
      <x:c r="F491" s="69" t="n">
        <x:f>Actuals!E482</x:f>
        <x:v>0</x:v>
      </x:c>
      <x:c r="G491" s="70" t="n">
        <x:f>E491-F491</x:f>
        <x:v>0</x:v>
      </x:c>
    </x:row>
    <x:row r="492">
      <x:c r="C492" s="45" t="n">
        <x:v>46173</x:v>
      </x:c>
      <x:c r="D492" t="str">
        <x:v>tertiary_principal</x:v>
      </x:c>
      <x:c r="E492" s="69" t="n">
        <x:v>8938267.22</x:v>
      </x:c>
      <x:c r="F492" s="69" t="n">
        <x:f>Actuals!E483</x:f>
        <x:v>8938267.22</x:v>
      </x:c>
      <x:c r="G492" s="70" t="n">
        <x:f>E492-F492</x:f>
        <x:v>0</x:v>
      </x:c>
    </x:row>
    <x:row r="493">
      <x:c r="C493" s="45" t="n">
        <x:v>46173</x:v>
      </x:c>
      <x:c r="D493" t="str">
        <x:v>quaternary_principal</x:v>
      </x:c>
      <x:c r="E493" s="69" t="n">
        <x:v>14110000</x:v>
      </x:c>
      <x:c r="F493" s="69" t="n">
        <x:f>Actuals!E484</x:f>
        <x:v>14110000</x:v>
      </x:c>
      <x:c r="G493" s="70" t="n">
        <x:f>E493-F493</x:f>
        <x:v>0</x:v>
      </x:c>
    </x:row>
    <x:row r="494">
      <x:c r="C494" s="45" t="n">
        <x:v>46173</x:v>
      </x:c>
      <x:c r="D494" t="str">
        <x:v>regular_principal</x:v>
      </x:c>
      <x:c r="E494" s="69" t="n">
        <x:v>10579345.66</x:v>
      </x:c>
      <x:c r="F494" s="69" t="n">
        <x:f>Actuals!E485</x:f>
        <x:v>10579421.74</x:v>
      </x:c>
      <x:c r="G494" s="70" t="n">
        <x:f>E494-F494</x:f>
        <x:v>-76.0800000000745</x:v>
      </x:c>
    </x:row>
    <x:row r="495">
      <x:c r="C495" s="45" t="n">
        <x:v>46173</x:v>
      </x:c>
      <x:c r="D495" t="str">
        <x:v>oc_target</x:v>
      </x:c>
      <x:c r="E495" s="69" t="n">
        <x:v>10579345.66</x:v>
      </x:c>
      <x:c r="F495" s="69" t="n">
        <x:f>Actuals!E486</x:f>
        <x:v>10579421.74</x:v>
      </x:c>
      <x:c r="G495" s="70" t="n">
        <x:f>E495-F495</x:f>
        <x:v>-76.0800000000745</x:v>
      </x:c>
    </x:row>
    <x:row r="496">
      <x:c r="C496" s="45" t="n">
        <x:v>46203</x:v>
      </x:c>
      <x:c r="D496" t="str">
        <x:v>servicing_fee</x:v>
      </x:c>
      <x:c r="E496" s="69" t="n">
        <x:v>700567.18</x:v>
      </x:c>
      <x:c r="F496" s="69" t="n">
        <x:f>Actuals!E487</x:f>
        <x:v>700567.18</x:v>
      </x:c>
      <x:c r="G496" s="70" t="n">
        <x:f>E496-F496</x:f>
        <x:v>0</x:v>
      </x:c>
    </x:row>
    <x:row r="497">
      <x:c r="C497" s="45" t="n">
        <x:v>46203</x:v>
      </x:c>
      <x:c r="D497" t="str">
        <x:v>total_note_interest</x:v>
      </x:c>
      <x:c r="E497" s="69" t="n">
        <x:v>3152475.07</x:v>
      </x:c>
      <x:c r="F497" s="69" t="n">
        <x:f>Actuals!E488</x:f>
        <x:v>3152475.07</x:v>
      </x:c>
      <x:c r="G497" s="70" t="n">
        <x:f>E497-F497</x:f>
        <x:v>0</x:v>
      </x:c>
    </x:row>
    <x:row r="498">
      <x:c r="C498" s="45" t="n">
        <x:v>46203</x:v>
      </x:c>
      <x:c r="D498" t="str">
        <x:v>total_note_principal</x:v>
      </x:c>
      <x:c r="E498" s="69" t="n">
        <x:v>31862616.1</x:v>
      </x:c>
      <x:c r="F498" s="69" t="n">
        <x:f>Actuals!E489</x:f>
        <x:v>31862692.18</x:v>
      </x:c>
      <x:c r="G498" s="70" t="n">
        <x:f>E498-F498</x:f>
        <x:v>-76.07999999821186</x:v>
      </x:c>
    </x:row>
    <x:row r="499">
      <x:c r="C499" s="45" t="n">
        <x:v>46203</x:v>
      </x:c>
      <x:c r="D499" t="str">
        <x:v>residual_distribution</x:v>
      </x:c>
      <x:c r="E499" s="69" t="n">
        <x:v>2199743.16</x:v>
      </x:c>
      <x:c r="F499" s="69" t="n">
        <x:f>Actuals!E490</x:f>
        <x:v>2199667.08</x:v>
      </x:c>
      <x:c r="G499" s="70" t="n">
        <x:f>E499-F499</x:f>
        <x:v>76.0800000000745</x:v>
      </x:c>
    </x:row>
    <x:row r="500">
      <x:c r="C500" s="45" t="n">
        <x:v>46203</x:v>
      </x:c>
      <x:c r="D500" t="str">
        <x:v>reserve_deposit</x:v>
      </x:c>
      <x:c r="E500" s="69" t="n">
        <x:v>0</x:v>
      </x:c>
      <x:c r="F500" s="69" t="n">
        <x:f>Actuals!E491</x:f>
        <x:v>0</x:v>
      </x:c>
      <x:c r="G500" s="70" t="n">
        <x:f>E500-F500</x:f>
        <x:v>0</x:v>
      </x:c>
    </x:row>
    <x:row r="501">
      <x:c r="C501" s="45" t="n">
        <x:v>46203</x:v>
      </x:c>
      <x:c r="D501" t="str">
        <x:v>reserve_end</x:v>
      </x:c>
      <x:c r="E501" s="69" t="n">
        <x:v>3526448.55</x:v>
      </x:c>
      <x:c r="F501" s="69" t="n">
        <x:f>Actuals!E492</x:f>
        <x:v>3526448.55</x:v>
      </x:c>
      <x:c r="G501" s="70" t="n">
        <x:f>E501-F501</x:f>
        <x:v>0</x:v>
      </x:c>
    </x:row>
    <x:row r="502">
      <x:c r="C502" s="45" t="n">
        <x:v>46203</x:v>
      </x:c>
      <x:c r="D502" t="str">
        <x:v>reserve_release</x:v>
      </x:c>
      <x:c r="E502" s="69" t="n">
        <x:v>10293.25</x:v>
      </x:c>
      <x:c r="F502" s="69" t="n">
        <x:f>Actuals!E493</x:f>
        <x:v>10293.25</x:v>
      </x:c>
      <x:c r="G502" s="70" t="n">
        <x:f>E502-F502</x:f>
        <x:v>0</x:v>
      </x:c>
    </x:row>
    <x:row r="503">
      <x:c r="C503" s="45" t="n">
        <x:v>46203</x:v>
      </x:c>
      <x:c r="D503" t="str">
        <x:v>interest.A1</x:v>
      </x:c>
      <x:c r="E503" s="69" t="n">
        <x:v>0</x:v>
      </x:c>
      <x:c r="F503" s="69" t="n">
        <x:f>Actuals!E494</x:f>
        <x:v>0</x:v>
      </x:c>
      <x:c r="G503" s="70" t="n">
        <x:f>E503-F503</x:f>
        <x:v>0</x:v>
      </x:c>
    </x:row>
    <x:row r="504">
      <x:c r="C504" s="45" t="n">
        <x:v>46203</x:v>
      </x:c>
      <x:c r="D504" t="str">
        <x:v>interest.A2a</x:v>
      </x:c>
      <x:c r="E504" s="69" t="n">
        <x:v>588387.31</x:v>
      </x:c>
      <x:c r="F504" s="69" t="n">
        <x:f>Actuals!E495</x:f>
        <x:v>588387.31</x:v>
      </x:c>
      <x:c r="G504" s="70" t="n">
        <x:f>E504-F504</x:f>
        <x:v>0</x:v>
      </x:c>
    </x:row>
    <x:row r="505">
      <x:c r="C505" s="45" t="n">
        <x:v>46203</x:v>
      </x:c>
      <x:c r="D505" t="str">
        <x:v>interest.A2b</x:v>
      </x:c>
      <x:c r="E505" s="69" t="n">
        <x:v>253355.93</x:v>
      </x:c>
      <x:c r="F505" s="69" t="n">
        <x:f>Actuals!E496</x:f>
        <x:v>253355.93</x:v>
      </x:c>
      <x:c r="G505" s="70" t="n">
        <x:f>E505-F505</x:f>
        <x:v>0</x:v>
      </x:c>
    </x:row>
    <x:row r="506">
      <x:c r="C506" s="45" t="n">
        <x:v>46203</x:v>
      </x:c>
      <x:c r="D506" t="str">
        <x:v>interest.A3</x:v>
      </x:c>
      <x:c r="E506" s="69" t="n">
        <x:v>1687840</x:v>
      </x:c>
      <x:c r="F506" s="69" t="n">
        <x:f>Actuals!E497</x:f>
        <x:v>1687840</x:v>
      </x:c>
      <x:c r="G506" s="70" t="n">
        <x:f>E506-F506</x:f>
        <x:v>0</x:v>
      </x:c>
    </x:row>
    <x:row r="507">
      <x:c r="C507" s="45" t="n">
        <x:v>46203</x:v>
      </x:c>
      <x:c r="D507" t="str">
        <x:v>interest.A4</x:v>
      </x:c>
      <x:c r="E507" s="69" t="n">
        <x:v>344875</x:v>
      </x:c>
      <x:c r="F507" s="69" t="n">
        <x:f>Actuals!E498</x:f>
        <x:v>344875</x:v>
      </x:c>
      <x:c r="G507" s="70" t="n">
        <x:f>E507-F507</x:f>
        <x:v>0</x:v>
      </x:c>
    </x:row>
    <x:row r="508">
      <x:c r="C508" s="45" t="n">
        <x:v>46203</x:v>
      </x:c>
      <x:c r="D508" t="str">
        <x:v>interest.B</x:v>
      </x:c>
      <x:c r="E508" s="69" t="n">
        <x:v>119536</x:v>
      </x:c>
      <x:c r="F508" s="69" t="n">
        <x:f>Actuals!E499</x:f>
        <x:v>119536</x:v>
      </x:c>
      <x:c r="G508" s="70" t="n">
        <x:f>E508-F508</x:f>
        <x:v>0</x:v>
      </x:c>
    </x:row>
    <x:row r="509">
      <x:c r="C509" s="45" t="n">
        <x:v>46203</x:v>
      </x:c>
      <x:c r="D509" t="str">
        <x:v>interest.C</x:v>
      </x:c>
      <x:c r="E509" s="69" t="n">
        <x:v>90988</x:v>
      </x:c>
      <x:c r="F509" s="69" t="n">
        <x:f>Actuals!E500</x:f>
        <x:v>90988</x:v>
      </x:c>
      <x:c r="G509" s="70" t="n">
        <x:f>E509-F509</x:f>
        <x:v>0</x:v>
      </x:c>
    </x:row>
    <x:row r="510">
      <x:c r="C510" s="45" t="n">
        <x:v>46203</x:v>
      </x:c>
      <x:c r="D510" t="str">
        <x:v>interest.D</x:v>
      </x:c>
      <x:c r="E510" s="69" t="n">
        <x:v>67492.83</x:v>
      </x:c>
      <x:c r="F510" s="69" t="n">
        <x:f>Actuals!E501</x:f>
        <x:v>67492.83</x:v>
      </x:c>
      <x:c r="G510" s="70" t="n">
        <x:f>E510-F510</x:f>
        <x:v>0</x:v>
      </x:c>
    </x:row>
    <x:row r="511">
      <x:c r="C511" s="45" t="n">
        <x:v>46203</x:v>
      </x:c>
      <x:c r="D511" t="str">
        <x:v>principal.A1</x:v>
      </x:c>
      <x:c r="E511" s="69" t="n">
        <x:v>0</x:v>
      </x:c>
      <x:c r="F511" s="69" t="n">
        <x:f>Actuals!E502</x:f>
        <x:v>0</x:v>
      </x:c>
      <x:c r="G511" s="70" t="n">
        <x:f>E511-F511</x:f>
        <x:v>0</x:v>
      </x:c>
    </x:row>
    <x:row r="512">
      <x:c r="C512" s="45" t="n">
        <x:v>46203</x:v>
      </x:c>
      <x:c r="D512" t="str">
        <x:v>principal.A2a</x:v>
      </x:c>
      <x:c r="E512" s="69" t="n">
        <x:v>21801950.38</x:v>
      </x:c>
      <x:c r="F512" s="69" t="n">
        <x:f>Actuals!E503</x:f>
        <x:v>21802002.43</x:v>
      </x:c>
      <x:c r="G512" s="70" t="n">
        <x:f>E512-F512</x:f>
        <x:v>-52.05000000074506</x:v>
      </x:c>
    </x:row>
    <x:row r="513">
      <x:c r="C513" s="45" t="n">
        <x:v>46203</x:v>
      </x:c>
      <x:c r="D513" t="str">
        <x:v>principal.A2b</x:v>
      </x:c>
      <x:c r="E513" s="69" t="n">
        <x:v>10060665.72</x:v>
      </x:c>
      <x:c r="F513" s="69" t="n">
        <x:f>Actuals!E504</x:f>
        <x:v>10060689.75</x:v>
      </x:c>
      <x:c r="G513" s="70" t="n">
        <x:f>E513-F513</x:f>
        <x:v>-24.029999999329448</x:v>
      </x:c>
    </x:row>
    <x:row r="514">
      <x:c r="C514" s="45" t="n">
        <x:v>46203</x:v>
      </x:c>
      <x:c r="D514" t="str">
        <x:v>principal.A3</x:v>
      </x:c>
      <x:c r="E514" s="69" t="n">
        <x:v>0</x:v>
      </x:c>
      <x:c r="F514" s="69" t="n">
        <x:f>Actuals!E505</x:f>
        <x:v>0</x:v>
      </x:c>
      <x:c r="G514" s="70" t="n">
        <x:f>E514-F514</x:f>
        <x:v>0</x:v>
      </x:c>
    </x:row>
    <x:row r="515">
      <x:c r="C515" s="45" t="n">
        <x:v>46203</x:v>
      </x:c>
      <x:c r="D515" t="str">
        <x:v>principal.A4</x:v>
      </x:c>
      <x:c r="E515" s="69" t="n">
        <x:v>0</x:v>
      </x:c>
      <x:c r="F515" s="69" t="n">
        <x:f>Actuals!E506</x:f>
        <x:v>0</x:v>
      </x:c>
      <x:c r="G515" s="70" t="n">
        <x:f>E515-F515</x:f>
        <x:v>0</x:v>
      </x:c>
    </x:row>
    <x:row r="516">
      <x:c r="C516" s="45" t="n">
        <x:v>46203</x:v>
      </x:c>
      <x:c r="D516" t="str">
        <x:v>principal.B</x:v>
      </x:c>
      <x:c r="E516" s="69" t="n">
        <x:v>0</x:v>
      </x:c>
      <x:c r="F516" s="69" t="n">
        <x:f>Actuals!E507</x:f>
        <x:v>0</x:v>
      </x:c>
      <x:c r="G516" s="70" t="n">
        <x:f>E516-F516</x:f>
        <x:v>0</x:v>
      </x:c>
    </x:row>
    <x:row r="517">
      <x:c r="C517" s="45" t="n">
        <x:v>46203</x:v>
      </x:c>
      <x:c r="D517" t="str">
        <x:v>principal.C</x:v>
      </x:c>
      <x:c r="E517" s="69" t="n">
        <x:v>0</x:v>
      </x:c>
      <x:c r="F517" s="69" t="n">
        <x:f>Actuals!E508</x:f>
        <x:v>0</x:v>
      </x:c>
      <x:c r="G517" s="70" t="n">
        <x:f>E517-F517</x:f>
        <x:v>0</x:v>
      </x:c>
    </x:row>
    <x:row r="518">
      <x:c r="C518" s="45" t="n">
        <x:v>46203</x:v>
      </x:c>
      <x:c r="D518" t="str">
        <x:v>principal.D</x:v>
      </x:c>
      <x:c r="E518" s="69" t="n">
        <x:v>0</x:v>
      </x:c>
      <x:c r="F518" s="69" t="n">
        <x:f>Actuals!E509</x:f>
        <x:v>0</x:v>
      </x:c>
      <x:c r="G518" s="70" t="n">
        <x:f>E518-F518</x:f>
        <x:v>0</x:v>
      </x:c>
    </x:row>
    <x:row r="519">
      <x:c r="C519" s="45" t="n">
        <x:v>46203</x:v>
      </x:c>
      <x:c r="D519" t="str">
        <x:v>note_end.A1</x:v>
      </x:c>
      <x:c r="E519" s="69" t="n">
        <x:v>0</x:v>
      </x:c>
      <x:c r="F519" s="69" t="n">
        <x:f>Actuals!E510</x:f>
        <x:v>0</x:v>
      </x:c>
      <x:c r="G519" s="70" t="n">
        <x:f>E519-F519</x:f>
        <x:v>0</x:v>
      </x:c>
    </x:row>
    <x:row r="520">
      <x:c r="C520" s="45" t="n">
        <x:v>46203</x:v>
      </x:c>
      <x:c r="D520" t="str">
        <x:v>note_end.A2a</x:v>
      </x:c>
      <x:c r="E520" s="69" t="n">
        <x:v>132024796.27</x:v>
      </x:c>
      <x:c r="F520" s="69" t="n">
        <x:f>Actuals!E511</x:f>
        <x:v>132024744.22</x:v>
      </x:c>
      <x:c r="G520" s="70" t="n">
        <x:f>E520-F520</x:f>
        <x:v>52.04999999701977</x:v>
      </x:c>
    </x:row>
    <x:row r="521">
      <x:c r="C521" s="45" t="n">
        <x:v>46203</x:v>
      </x:c>
      <x:c r="D521" t="str">
        <x:v>note_end.A2b</x:v>
      </x:c>
      <x:c r="E521" s="69" t="n">
        <x:v>60923785.27</x:v>
      </x:c>
      <x:c r="F521" s="69" t="n">
        <x:f>Actuals!E512</x:f>
        <x:v>60923761.24</x:v>
      </x:c>
      <x:c r="G521" s="70" t="n">
        <x:f>E521-F521</x:f>
        <x:v>24.030000001192093</x:v>
      </x:c>
    </x:row>
    <x:row r="522">
      <x:c r="C522" s="45" t="n">
        <x:v>46203</x:v>
      </x:c>
      <x:c r="D522" t="str">
        <x:v>note_end.A3</x:v>
      </x:c>
      <x:c r="E522" s="69" t="n">
        <x:v>452100000</x:v>
      </x:c>
      <x:c r="F522" s="69" t="n">
        <x:f>Actuals!E513</x:f>
        <x:v>452100000</x:v>
      </x:c>
      <x:c r="G522" s="70" t="n">
        <x:f>E522-F522</x:f>
        <x:v>0</x:v>
      </x:c>
    </x:row>
    <x:row r="523">
      <x:c r="C523" s="45" t="n">
        <x:v>46203</x:v>
      </x:c>
      <x:c r="D523" t="str">
        <x:v>note_end.A4</x:v>
      </x:c>
      <x:c r="E523" s="69" t="n">
        <x:v>89000000</x:v>
      </x:c>
      <x:c r="F523" s="69" t="n">
        <x:f>Actuals!E514</x:f>
        <x:v>89000000</x:v>
      </x:c>
      <x:c r="G523" s="70" t="n">
        <x:f>E523-F523</x:f>
        <x:v>0</x:v>
      </x:c>
    </x:row>
    <x:row r="524">
      <x:c r="C524" s="45" t="n">
        <x:v>46203</x:v>
      </x:c>
      <x:c r="D524" t="str">
        <x:v>note_end.B</x:v>
      </x:c>
      <x:c r="E524" s="69" t="n">
        <x:v>28920000</x:v>
      </x:c>
      <x:c r="F524" s="69" t="n">
        <x:f>Actuals!E515</x:f>
        <x:v>28920000</x:v>
      </x:c>
      <x:c r="G524" s="70" t="n">
        <x:f>E524-F524</x:f>
        <x:v>0</x:v>
      </x:c>
    </x:row>
    <x:row r="525">
      <x:c r="C525" s="45" t="n">
        <x:v>46203</x:v>
      </x:c>
      <x:c r="D525" t="str">
        <x:v>note_end.C</x:v>
      </x:c>
      <x:c r="E525" s="69" t="n">
        <x:v>21160000</x:v>
      </x:c>
      <x:c r="F525" s="69" t="n">
        <x:f>Actuals!E516</x:f>
        <x:v>21160000</x:v>
      </x:c>
      <x:c r="G525" s="70" t="n">
        <x:f>E525-F525</x:f>
        <x:v>0</x:v>
      </x:c>
    </x:row>
    <x:row r="526">
      <x:c r="C526" s="45" t="n">
        <x:v>46203</x:v>
      </x:c>
      <x:c r="D526" t="str">
        <x:v>note_end.D</x:v>
      </x:c>
      <x:c r="E526" s="69" t="n">
        <x:v>14110000</x:v>
      </x:c>
      <x:c r="F526" s="69" t="n">
        <x:f>Actuals!E517</x:f>
        <x:v>14110000</x:v>
      </x:c>
      <x:c r="G526" s="70" t="n">
        <x:f>E526-F526</x:f>
        <x:v>0</x:v>
      </x:c>
    </x:row>
    <x:row r="527">
      <x:c r="C527" s="45" t="n">
        <x:v>46203</x:v>
      </x:c>
      <x:c r="D527" t="str">
        <x:v>priority_principal</x:v>
      </x:c>
      <x:c r="E527" s="69" t="n">
        <x:v>0</x:v>
      </x:c>
      <x:c r="F527" s="69" t="n">
        <x:f>Actuals!E518</x:f>
        <x:v>0</x:v>
      </x:c>
      <x:c r="G527" s="70" t="n">
        <x:f>E527-F527</x:f>
        <x:v>0</x:v>
      </x:c>
    </x:row>
    <x:row r="528">
      <x:c r="C528" s="45" t="n">
        <x:v>46203</x:v>
      </x:c>
      <x:c r="D528" t="str">
        <x:v>secondary_principal</x:v>
      </x:c>
      <x:c r="E528" s="69" t="n">
        <x:v>0</x:v>
      </x:c>
      <x:c r="F528" s="69" t="n">
        <x:f>Actuals!E519</x:f>
        <x:v>0</x:v>
      </x:c>
      <x:c r="G528" s="70" t="n">
        <x:f>E528-F528</x:f>
        <x:v>0</x:v>
      </x:c>
    </x:row>
    <x:row r="529">
      <x:c r="C529" s="45" t="n">
        <x:v>46203</x:v>
      </x:c>
      <x:c r="D529" t="str">
        <x:v>tertiary_principal</x:v>
      </x:c>
      <x:c r="E529" s="69" t="n">
        <x:v>7173270.44</x:v>
      </x:c>
      <x:c r="F529" s="69" t="n">
        <x:f>Actuals!E520</x:f>
        <x:v>7173270.44</x:v>
      </x:c>
      <x:c r="G529" s="70" t="n">
        <x:f>E529-F529</x:f>
        <x:v>0</x:v>
      </x:c>
    </x:row>
    <x:row r="530">
      <x:c r="C530" s="45" t="n">
        <x:v>46203</x:v>
      </x:c>
      <x:c r="D530" t="str">
        <x:v>quaternary_principal</x:v>
      </x:c>
      <x:c r="E530" s="69" t="n">
        <x:v>14110000</x:v>
      </x:c>
      <x:c r="F530" s="69" t="n">
        <x:f>Actuals!E521</x:f>
        <x:v>14110000</x:v>
      </x:c>
      <x:c r="G530" s="70" t="n">
        <x:f>E530-F530</x:f>
        <x:v>0</x:v>
      </x:c>
    </x:row>
    <x:row r="531">
      <x:c r="C531" s="45" t="n">
        <x:v>46203</x:v>
      </x:c>
      <x:c r="D531" t="str">
        <x:v>regular_principal</x:v>
      </x:c>
      <x:c r="E531" s="69" t="n">
        <x:v>10579345.66</x:v>
      </x:c>
      <x:c r="F531" s="69" t="n">
        <x:f>Actuals!E522</x:f>
        <x:v>10579421.74</x:v>
      </x:c>
      <x:c r="G531" s="70" t="n">
        <x:f>E531-F531</x:f>
        <x:v>-76.0800000000745</x:v>
      </x:c>
    </x:row>
    <x:row r="532">
      <x:c r="C532" s="45" t="n">
        <x:v>46203</x:v>
      </x:c>
      <x:c r="D532" t="str">
        <x:v>oc_target</x:v>
      </x:c>
      <x:c r="E532" s="69" t="n">
        <x:v>10579345.66</x:v>
      </x:c>
      <x:c r="F532" s="69" t="n">
        <x:f>Actuals!E523</x:f>
        <x:v>10579421.74</x:v>
      </x:c>
      <x:c r="G532" s="70" t="n">
        <x:f>E532-F532</x:f>
        <x:v>-76.0800000000745</x:v>
      </x:c>
    </x:row>
    <x:row r="533">
      <x:c r="C533" s="45" t="n">
        <x:v>46234</x:v>
      </x:c>
      <x:c r="D533" t="str">
        <x:v>servicing_fee</x:v>
      </x:c>
      <x:c r="E533" s="69" t="n">
        <x:v>674014.94</x:v>
      </x:c>
      <x:c r="F533" s="69" t="n">
        <x:f>Actuals!E524</x:f>
        <x:v>674014.94</x:v>
      </x:c>
      <x:c r="G533" s="70" t="n">
        <x:f>E533-F533</x:f>
        <x:v>0</x:v>
      </x:c>
    </x:row>
    <x:row r="534">
      <x:c r="C534" s="45" t="n">
        <x:v>46234</x:v>
      </x:c>
      <x:c r="D534" t="str">
        <x:v>total_note_interest</x:v>
      </x:c>
      <x:c r="E534" s="69" t="n">
        <x:v>3056727.12</x:v>
      </x:c>
      <x:c r="F534" s="69" t="n">
        <x:f>Actuals!E525</x:f>
        <x:v>3056727.12</x:v>
      </x:c>
      <x:c r="G534" s="70" t="n">
        <x:f>E534-F534</x:f>
        <x:v>0</x:v>
      </x:c>
    </x:row>
    <x:row r="535">
      <x:c r="C535" s="45" t="n">
        <x:v>46234</x:v>
      </x:c>
      <x:c r="D535" t="str">
        <x:v>total_note_principal</x:v>
      </x:c>
      <x:c r="E535" s="69" t="n">
        <x:v>33035610.79</x:v>
      </x:c>
      <x:c r="F535" s="69" t="n">
        <x:f>Actuals!E526</x:f>
        <x:v>33035686.87</x:v>
      </x:c>
      <x:c r="G535" s="70" t="n">
        <x:f>E535-F535</x:f>
        <x:v>-76.08000000193715</x:v>
      </x:c>
    </x:row>
    <x:row r="536">
      <x:c r="C536" s="45" t="n">
        <x:v>46234</x:v>
      </x:c>
      <x:c r="D536" t="str">
        <x:v>residual_distribution</x:v>
      </x:c>
      <x:c r="E536" s="69" t="n">
        <x:v>2385323.97</x:v>
      </x:c>
      <x:c r="F536" s="69" t="n">
        <x:f>Actuals!E527</x:f>
        <x:v>2385247.89</x:v>
      </x:c>
      <x:c r="G536" s="70" t="n">
        <x:f>E536-F536</x:f>
        <x:v>76.0800000000745</x:v>
      </x:c>
    </x:row>
    <x:row r="537">
      <x:c r="C537" s="45" t="n">
        <x:v>46234</x:v>
      </x:c>
      <x:c r="D537" t="str">
        <x:v>reserve_deposit</x:v>
      </x:c>
      <x:c r="E537" s="69" t="n">
        <x:v>0</x:v>
      </x:c>
      <x:c r="F537" s="69" t="n">
        <x:f>Actuals!E528</x:f>
        <x:v>0</x:v>
      </x:c>
      <x:c r="G537" s="70" t="n">
        <x:f>E537-F537</x:f>
        <x:v>0</x:v>
      </x:c>
    </x:row>
    <x:row r="538">
      <x:c r="C538" s="45" t="n">
        <x:v>46234</x:v>
      </x:c>
      <x:c r="D538" t="str">
        <x:v>reserve_end</x:v>
      </x:c>
      <x:c r="E538" s="69" t="n">
        <x:v>3526448.55</x:v>
      </x:c>
      <x:c r="F538" s="69" t="n">
        <x:f>Actuals!E529</x:f>
        <x:v>3526448.55</x:v>
      </x:c>
      <x:c r="G538" s="70" t="n">
        <x:f>E538-F538</x:f>
        <x:v>0</x:v>
      </x:c>
    </x:row>
    <x:row r="539">
      <x:c r="C539" s="45" t="n">
        <x:v>46234</x:v>
      </x:c>
      <x:c r="D539" t="str">
        <x:v>reserve_release</x:v>
      </x:c>
      <x:c r="E539" s="69" t="n">
        <x:v>10653.2</x:v>
      </x:c>
      <x:c r="F539" s="69" t="n">
        <x:f>Actuals!E530</x:f>
        <x:v>10653.2</x:v>
      </x:c>
      <x:c r="G539" s="70" t="n">
        <x:f>E539-F539</x:f>
        <x:v>0</x:v>
      </x:c>
    </x:row>
    <x:row r="540">
      <x:c r="C540" s="45" t="n">
        <x:v>46234</x:v>
      </x:c>
      <x:c r="D540" t="str">
        <x:v>interest.A1</x:v>
      </x:c>
      <x:c r="E540" s="69" t="n">
        <x:v>0</x:v>
      </x:c>
      <x:c r="F540" s="69" t="n">
        <x:f>Actuals!E531</x:f>
        <x:v>0</x:v>
      </x:c>
      <x:c r="G540" s="70" t="n">
        <x:f>E540-F540</x:f>
        <x:v>0</x:v>
      </x:c>
    </x:row>
    <x:row r="541">
      <x:c r="C541" s="45" t="n">
        <x:v>46234</x:v>
      </x:c>
      <x:c r="D541" t="str">
        <x:v>interest.A2a</x:v>
      </x:c>
      <x:c r="E541" s="69" t="n">
        <x:v>504994.65</x:v>
      </x:c>
      <x:c r="F541" s="69" t="n">
        <x:f>Actuals!E532</x:f>
        <x:v>504994.65</x:v>
      </x:c>
      <x:c r="G541" s="70" t="n">
        <x:f>E541-F541</x:f>
        <x:v>0</x:v>
      </x:c>
    </x:row>
    <x:row r="542">
      <x:c r="C542" s="45" t="n">
        <x:v>46234</x:v>
      </x:c>
      <x:c r="D542" t="str">
        <x:v>interest.A2b</x:v>
      </x:c>
      <x:c r="E542" s="69" t="n">
        <x:v>241000.64</x:v>
      </x:c>
      <x:c r="F542" s="69" t="n">
        <x:f>Actuals!E533</x:f>
        <x:v>241000.64</x:v>
      </x:c>
      <x:c r="G542" s="70" t="n">
        <x:f>E542-F542</x:f>
        <x:v>0</x:v>
      </x:c>
    </x:row>
    <x:row r="543">
      <x:c r="C543" s="45" t="n">
        <x:v>46234</x:v>
      </x:c>
      <x:c r="D543" t="str">
        <x:v>interest.A3</x:v>
      </x:c>
      <x:c r="E543" s="69" t="n">
        <x:v>1687840</x:v>
      </x:c>
      <x:c r="F543" s="69" t="n">
        <x:f>Actuals!E534</x:f>
        <x:v>1687840</x:v>
      </x:c>
      <x:c r="G543" s="70" t="n">
        <x:f>E543-F543</x:f>
        <x:v>0</x:v>
      </x:c>
    </x:row>
    <x:row r="544">
      <x:c r="C544" s="45" t="n">
        <x:v>46234</x:v>
      </x:c>
      <x:c r="D544" t="str">
        <x:v>interest.A4</x:v>
      </x:c>
      <x:c r="E544" s="69" t="n">
        <x:v>344875</x:v>
      </x:c>
      <x:c r="F544" s="69" t="n">
        <x:f>Actuals!E535</x:f>
        <x:v>344875</x:v>
      </x:c>
      <x:c r="G544" s="70" t="n">
        <x:f>E544-F544</x:f>
        <x:v>0</x:v>
      </x:c>
    </x:row>
    <x:row r="545">
      <x:c r="C545" s="45" t="n">
        <x:v>46234</x:v>
      </x:c>
      <x:c r="D545" t="str">
        <x:v>interest.B</x:v>
      </x:c>
      <x:c r="E545" s="69" t="n">
        <x:v>119536</x:v>
      </x:c>
      <x:c r="F545" s="69" t="n">
        <x:f>Actuals!E536</x:f>
        <x:v>119536</x:v>
      </x:c>
      <x:c r="G545" s="70" t="n">
        <x:f>E545-F545</x:f>
        <x:v>0</x:v>
      </x:c>
    </x:row>
    <x:row r="546">
      <x:c r="C546" s="45" t="n">
        <x:v>46234</x:v>
      </x:c>
      <x:c r="D546" t="str">
        <x:v>interest.C</x:v>
      </x:c>
      <x:c r="E546" s="69" t="n">
        <x:v>90988</x:v>
      </x:c>
      <x:c r="F546" s="69" t="n">
        <x:f>Actuals!E537</x:f>
        <x:v>90988</x:v>
      </x:c>
      <x:c r="G546" s="70" t="n">
        <x:f>E546-F546</x:f>
        <x:v>0</x:v>
      </x:c>
    </x:row>
    <x:row r="547">
      <x:c r="C547" s="45" t="n">
        <x:v>46234</x:v>
      </x:c>
      <x:c r="D547" t="str">
        <x:v>interest.D</x:v>
      </x:c>
      <x:c r="E547" s="69" t="n">
        <x:v>67492.83</x:v>
      </x:c>
      <x:c r="F547" s="69" t="n">
        <x:f>Actuals!E538</x:f>
        <x:v>67492.83</x:v>
      </x:c>
      <x:c r="G547" s="70" t="n">
        <x:f>E547-F547</x:f>
        <x:v>0</x:v>
      </x:c>
    </x:row>
    <x:row r="548">
      <x:c r="C548" s="45" t="n">
        <x:v>46234</x:v>
      </x:c>
      <x:c r="D548" t="str">
        <x:v>principal.A1</x:v>
      </x:c>
      <x:c r="E548" s="69" t="n">
        <x:v>0</x:v>
      </x:c>
      <x:c r="F548" s="69" t="n">
        <x:f>Actuals!E539</x:f>
        <x:v>0</x:v>
      </x:c>
      <x:c r="G548" s="70" t="n">
        <x:f>E548-F548</x:f>
        <x:v>0</x:v>
      </x:c>
    </x:row>
    <x:row r="549">
      <x:c r="C549" s="45" t="n">
        <x:v>46234</x:v>
      </x:c>
      <x:c r="D549" t="str">
        <x:v>principal.A2a</x:v>
      </x:c>
      <x:c r="E549" s="69" t="n">
        <x:v>22604570.35</x:v>
      </x:c>
      <x:c r="F549" s="69" t="n">
        <x:f>Actuals!E540</x:f>
        <x:v>22604622.4</x:v>
      </x:c>
      <x:c r="G549" s="70" t="n">
        <x:f>E549-F549</x:f>
        <x:v>-52.04999999701977</x:v>
      </x:c>
    </x:row>
    <x:row r="550">
      <x:c r="C550" s="45" t="n">
        <x:v>46234</x:v>
      </x:c>
      <x:c r="D550" t="str">
        <x:v>principal.A2b</x:v>
      </x:c>
      <x:c r="E550" s="69" t="n">
        <x:v>10431040.44</x:v>
      </x:c>
      <x:c r="F550" s="69" t="n">
        <x:f>Actuals!E541</x:f>
        <x:v>10431064.47</x:v>
      </x:c>
      <x:c r="G550" s="70" t="n">
        <x:f>E550-F550</x:f>
        <x:v>-24.030000001192093</x:v>
      </x:c>
    </x:row>
    <x:row r="551">
      <x:c r="C551" s="45" t="n">
        <x:v>46234</x:v>
      </x:c>
      <x:c r="D551" t="str">
        <x:v>principal.A3</x:v>
      </x:c>
      <x:c r="E551" s="69" t="n">
        <x:v>0</x:v>
      </x:c>
      <x:c r="F551" s="69" t="n">
        <x:f>Actuals!E542</x:f>
        <x:v>0</x:v>
      </x:c>
      <x:c r="G551" s="70" t="n">
        <x:f>E551-F551</x:f>
        <x:v>0</x:v>
      </x:c>
    </x:row>
    <x:row r="552">
      <x:c r="C552" s="45" t="n">
        <x:v>46234</x:v>
      </x:c>
      <x:c r="D552" t="str">
        <x:v>principal.A4</x:v>
      </x:c>
      <x:c r="E552" s="69" t="n">
        <x:v>0</x:v>
      </x:c>
      <x:c r="F552" s="69" t="n">
        <x:f>Actuals!E543</x:f>
        <x:v>0</x:v>
      </x:c>
      <x:c r="G552" s="70" t="n">
        <x:f>E552-F552</x:f>
        <x:v>0</x:v>
      </x:c>
    </x:row>
    <x:row r="553">
      <x:c r="C553" s="45" t="n">
        <x:v>46234</x:v>
      </x:c>
      <x:c r="D553" t="str">
        <x:v>principal.B</x:v>
      </x:c>
      <x:c r="E553" s="69" t="n">
        <x:v>0</x:v>
      </x:c>
      <x:c r="F553" s="69" t="n">
        <x:f>Actuals!E544</x:f>
        <x:v>0</x:v>
      </x:c>
      <x:c r="G553" s="70" t="n">
        <x:f>E553-F553</x:f>
        <x:v>0</x:v>
      </x:c>
    </x:row>
    <x:row r="554">
      <x:c r="C554" s="45" t="n">
        <x:v>46234</x:v>
      </x:c>
      <x:c r="D554" t="str">
        <x:v>principal.C</x:v>
      </x:c>
      <x:c r="E554" s="69" t="n">
        <x:v>0</x:v>
      </x:c>
      <x:c r="F554" s="69" t="n">
        <x:f>Actuals!E545</x:f>
        <x:v>0</x:v>
      </x:c>
      <x:c r="G554" s="70" t="n">
        <x:f>E554-F554</x:f>
        <x:v>0</x:v>
      </x:c>
    </x:row>
    <x:row r="555">
      <x:c r="C555" s="45" t="n">
        <x:v>46234</x:v>
      </x:c>
      <x:c r="D555" t="str">
        <x:v>principal.D</x:v>
      </x:c>
      <x:c r="E555" s="69" t="n">
        <x:v>0</x:v>
      </x:c>
      <x:c r="F555" s="69" t="n">
        <x:f>Actuals!E546</x:f>
        <x:v>0</x:v>
      </x:c>
      <x:c r="G555" s="70" t="n">
        <x:f>E555-F555</x:f>
        <x:v>0</x:v>
      </x:c>
    </x:row>
    <x:row r="556">
      <x:c r="C556" s="45" t="n">
        <x:v>46234</x:v>
      </x:c>
      <x:c r="D556" t="str">
        <x:v>note_end.A1</x:v>
      </x:c>
      <x:c r="E556" s="69" t="n">
        <x:v>0</x:v>
      </x:c>
      <x:c r="F556" s="69" t="n">
        <x:f>Actuals!E547</x:f>
        <x:v>0</x:v>
      </x:c>
      <x:c r="G556" s="70" t="n">
        <x:f>E556-F556</x:f>
        <x:v>0</x:v>
      </x:c>
    </x:row>
    <x:row r="557">
      <x:c r="C557" s="45" t="n">
        <x:v>46234</x:v>
      </x:c>
      <x:c r="D557" t="str">
        <x:v>note_end.A2a</x:v>
      </x:c>
      <x:c r="E557" s="69" t="n">
        <x:v>109420173.87</x:v>
      </x:c>
      <x:c r="F557" s="69" t="n">
        <x:f>Actuals!E548</x:f>
        <x:v>109420121.82</x:v>
      </x:c>
      <x:c r="G557" s="70" t="n">
        <x:f>E557-F557</x:f>
        <x:v>52.05000001192093</x:v>
      </x:c>
    </x:row>
    <x:row r="558">
      <x:c r="C558" s="45" t="n">
        <x:v>46234</x:v>
      </x:c>
      <x:c r="D558" t="str">
        <x:v>note_end.A2b</x:v>
      </x:c>
      <x:c r="E558" s="69" t="n">
        <x:v>50492720.8</x:v>
      </x:c>
      <x:c r="F558" s="69" t="n">
        <x:f>Actuals!E549</x:f>
        <x:v>50492696.77</x:v>
      </x:c>
      <x:c r="G558" s="70" t="n">
        <x:f>E558-F558</x:f>
        <x:v>24.029999993741512</x:v>
      </x:c>
    </x:row>
    <x:row r="559">
      <x:c r="C559" s="45" t="n">
        <x:v>46234</x:v>
      </x:c>
      <x:c r="D559" t="str">
        <x:v>note_end.A3</x:v>
      </x:c>
      <x:c r="E559" s="69" t="n">
        <x:v>452100000</x:v>
      </x:c>
      <x:c r="F559" s="69" t="n">
        <x:f>Actuals!E550</x:f>
        <x:v>452100000</x:v>
      </x:c>
      <x:c r="G559" s="70" t="n">
        <x:f>E559-F559</x:f>
        <x:v>0</x:v>
      </x:c>
    </x:row>
    <x:row r="560">
      <x:c r="C560" s="45" t="n">
        <x:v>46234</x:v>
      </x:c>
      <x:c r="D560" t="str">
        <x:v>note_end.A4</x:v>
      </x:c>
      <x:c r="E560" s="69" t="n">
        <x:v>89000000</x:v>
      </x:c>
      <x:c r="F560" s="69" t="n">
        <x:f>Actuals!E551</x:f>
        <x:v>89000000</x:v>
      </x:c>
      <x:c r="G560" s="70" t="n">
        <x:f>E560-F560</x:f>
        <x:v>0</x:v>
      </x:c>
    </x:row>
    <x:row r="561">
      <x:c r="C561" s="45" t="n">
        <x:v>46234</x:v>
      </x:c>
      <x:c r="D561" t="str">
        <x:v>note_end.B</x:v>
      </x:c>
      <x:c r="E561" s="69" t="n">
        <x:v>28920000</x:v>
      </x:c>
      <x:c r="F561" s="69" t="n">
        <x:f>Actuals!E552</x:f>
        <x:v>28920000</x:v>
      </x:c>
      <x:c r="G561" s="70" t="n">
        <x:f>E561-F561</x:f>
        <x:v>0</x:v>
      </x:c>
    </x:row>
    <x:row r="562">
      <x:c r="C562" s="45" t="n">
        <x:v>46234</x:v>
      </x:c>
      <x:c r="D562" t="str">
        <x:v>note_end.C</x:v>
      </x:c>
      <x:c r="E562" s="69" t="n">
        <x:v>21160000</x:v>
      </x:c>
      <x:c r="F562" s="69" t="n">
        <x:f>Actuals!E553</x:f>
        <x:v>21160000</x:v>
      </x:c>
      <x:c r="G562" s="70" t="n">
        <x:f>E562-F562</x:f>
        <x:v>0</x:v>
      </x:c>
    </x:row>
    <x:row r="563">
      <x:c r="C563" s="45" t="n">
        <x:v>46234</x:v>
      </x:c>
      <x:c r="D563" t="str">
        <x:v>note_end.D</x:v>
      </x:c>
      <x:c r="E563" s="69" t="n">
        <x:v>14110000</x:v>
      </x:c>
      <x:c r="F563" s="69" t="n">
        <x:f>Actuals!E554</x:f>
        <x:v>14110000</x:v>
      </x:c>
      <x:c r="G563" s="70" t="n">
        <x:f>E563-F563</x:f>
        <x:v>0</x:v>
      </x:c>
    </x:row>
    <x:row r="564">
      <x:c r="C564" s="45" t="n">
        <x:v>46234</x:v>
      </x:c>
      <x:c r="D564" t="str">
        <x:v>priority_principal</x:v>
      </x:c>
      <x:c r="E564" s="69" t="n">
        <x:v>0</x:v>
      </x:c>
      <x:c r="F564" s="69" t="n">
        <x:f>Actuals!E555</x:f>
        <x:v>0</x:v>
      </x:c>
      <x:c r="G564" s="70" t="n">
        <x:f>E564-F564</x:f>
        <x:v>0</x:v>
      </x:c>
    </x:row>
    <x:row r="565">
      <x:c r="C565" s="45" t="n">
        <x:v>46234</x:v>
      </x:c>
      <x:c r="D565" t="str">
        <x:v>secondary_principal</x:v>
      </x:c>
      <x:c r="E565" s="69" t="n">
        <x:v>0</x:v>
      </x:c>
      <x:c r="F565" s="69" t="n">
        <x:f>Actuals!E556</x:f>
        <x:v>0</x:v>
      </x:c>
      <x:c r="G565" s="70" t="n">
        <x:f>E565-F565</x:f>
        <x:v>0</x:v>
      </x:c>
    </x:row>
    <x:row r="566">
      <x:c r="C566" s="45" t="n">
        <x:v>46234</x:v>
      </x:c>
      <x:c r="D566" t="str">
        <x:v>tertiary_principal</x:v>
      </x:c>
      <x:c r="E566" s="69" t="n">
        <x:v>8346265.13</x:v>
      </x:c>
      <x:c r="F566" s="69" t="n">
        <x:f>Actuals!E557</x:f>
        <x:v>8346265.13</x:v>
      </x:c>
      <x:c r="G566" s="70" t="n">
        <x:f>E566-F566</x:f>
        <x:v>0</x:v>
      </x:c>
    </x:row>
    <x:row r="567">
      <x:c r="C567" s="45" t="n">
        <x:v>46234</x:v>
      </x:c>
      <x:c r="D567" t="str">
        <x:v>quaternary_principal</x:v>
      </x:c>
      <x:c r="E567" s="69" t="n">
        <x:v>14110000</x:v>
      </x:c>
      <x:c r="F567" s="69" t="n">
        <x:f>Actuals!E558</x:f>
        <x:v>14110000</x:v>
      </x:c>
      <x:c r="G567" s="70" t="n">
        <x:f>E567-F567</x:f>
        <x:v>0</x:v>
      </x:c>
    </x:row>
    <x:row r="568">
      <x:c r="C568" s="45" t="n">
        <x:v>46234</x:v>
      </x:c>
      <x:c r="D568" t="str">
        <x:v>regular_principal</x:v>
      </x:c>
      <x:c r="E568" s="69" t="n">
        <x:v>10579345.66</x:v>
      </x:c>
      <x:c r="F568" s="69" t="n">
        <x:f>Actuals!E559</x:f>
        <x:v>10579421.74</x:v>
      </x:c>
      <x:c r="G568" s="70" t="n">
        <x:f>E568-F568</x:f>
        <x:v>-76.0800000000745</x:v>
      </x:c>
    </x:row>
    <x:row r="569">
      <x:c r="C569" s="45" t="n">
        <x:v>46234</x:v>
      </x:c>
      <x:c r="D569" t="str">
        <x:v>oc_target</x:v>
      </x:c>
      <x:c r="E569" s="69" t="n">
        <x:v>10579345.66</x:v>
      </x:c>
      <x:c r="F569" s="69" t="n">
        <x:f>Actuals!E560</x:f>
        <x:v>10579421.74</x:v>
      </x:c>
      <x:c r="G569" s="70" t="n">
        <x:f>E569-F569</x:f>
        <x:v>-76.0800000000745</x:v>
      </x:c>
    </x:row>
    <x:row r="570">
      <x:c r="C570" s="45" t="n">
        <x:v>46265</x:v>
      </x:c>
      <x:c r="D570" t="str">
        <x:v>servicing_fee</x:v>
      </x:c>
      <x:c r="E570" s="69" t="n">
        <x:v>646485.2</x:v>
      </x:c>
      <x:c r="F570" s="69" t="n">
        <x:f>Actuals!E561</x:f>
        <x:v>646485.2</x:v>
      </x:c>
      <x:c r="G570" s="70" t="n">
        <x:f>E570-F570</x:f>
        <x:v>0</x:v>
      </x:c>
    </x:row>
    <x:row r="571">
      <x:c r="C571" s="45" t="n">
        <x:v>46265</x:v>
      </x:c>
      <x:c r="D571" t="str">
        <x:v>total_note_interest</x:v>
      </x:c>
      <x:c r="E571" s="69" t="n">
        <x:v>2905242.77</x:v>
      </x:c>
      <x:c r="F571" s="69" t="n">
        <x:f>Actuals!E562</x:f>
        <x:v>2905242.77</x:v>
      </x:c>
      <x:c r="G571" s="70" t="n">
        <x:f>E571-F571</x:f>
        <x:v>0</x:v>
      </x:c>
    </x:row>
    <x:row r="572">
      <x:c r="C572" s="45" t="n">
        <x:v>46265</x:v>
      </x:c>
      <x:c r="D572" t="str">
        <x:v>total_note_principal</x:v>
      </x:c>
      <x:c r="E572" s="69" t="n">
        <x:v>30811400.09</x:v>
      </x:c>
      <x:c r="F572" s="69" t="n">
        <x:f>Actuals!E563</x:f>
        <x:v>30811476.17</x:v>
      </x:c>
      <x:c r="G572" s="70" t="n">
        <x:f>E572-F572</x:f>
        <x:v>-76.08000000193715</x:v>
      </x:c>
    </x:row>
    <x:row r="573">
      <x:c r="C573" s="45" t="n">
        <x:v>46265</x:v>
      </x:c>
      <x:c r="D573" t="str">
        <x:v>residual_distribution</x:v>
      </x:c>
      <x:c r="E573" s="69" t="n">
        <x:v>1756372.02</x:v>
      </x:c>
      <x:c r="F573" s="69" t="n">
        <x:f>Actuals!E564</x:f>
        <x:v>1756295.94</x:v>
      </x:c>
      <x:c r="G573" s="70" t="n">
        <x:f>E573-F573</x:f>
        <x:v>76.0800000000745</x:v>
      </x:c>
    </x:row>
    <x:row r="574">
      <x:c r="C574" s="45" t="n">
        <x:v>46265</x:v>
      </x:c>
      <x:c r="D574" t="str">
        <x:v>reserve_deposit</x:v>
      </x:c>
      <x:c r="E574" s="69" t="n">
        <x:v>0</x:v>
      </x:c>
      <x:c r="F574" s="69" t="n">
        <x:f>Actuals!E565</x:f>
        <x:v>0</x:v>
      </x:c>
      <x:c r="G574" s="70" t="n">
        <x:f>E574-F574</x:f>
        <x:v>0</x:v>
      </x:c>
    </x:row>
    <x:row r="575">
      <x:c r="C575" s="45" t="n">
        <x:v>46265</x:v>
      </x:c>
      <x:c r="D575" t="str">
        <x:v>reserve_end</x:v>
      </x:c>
      <x:c r="E575" s="69" t="n">
        <x:v>3526448.55</x:v>
      </x:c>
      <x:c r="F575" s="69" t="n">
        <x:f>Actuals!E566</x:f>
        <x:v>3526448.55</x:v>
      </x:c>
      <x:c r="G575" s="70" t="n">
        <x:f>E575-F575</x:f>
        <x:v>0</x:v>
      </x:c>
    </x:row>
    <x:row r="576">
      <x:c r="C576" s="45" t="n">
        <x:v>46265</x:v>
      </x:c>
      <x:c r="D576" t="str">
        <x:v>reserve_release</x:v>
      </x:c>
      <x:c r="E576" s="69" t="n">
        <x:v>10722.61</x:v>
      </x:c>
      <x:c r="F576" s="69" t="n">
        <x:f>Actuals!E567</x:f>
        <x:v>10722.61</x:v>
      </x:c>
      <x:c r="G576" s="70" t="n">
        <x:f>E576-F576</x:f>
        <x:v>0</x:v>
      </x:c>
    </x:row>
    <x:row r="577">
      <x:c r="C577" s="45" t="n">
        <x:v>46265</x:v>
      </x:c>
      <x:c r="D577" t="str">
        <x:v>interest.A1</x:v>
      </x:c>
      <x:c r="E577" s="69" t="n">
        <x:v>0</x:v>
      </x:c>
      <x:c r="F577" s="69" t="n">
        <x:f>Actuals!E568</x:f>
        <x:v>0</x:v>
      </x:c>
      <x:c r="G577" s="70" t="n">
        <x:f>E577-F577</x:f>
        <x:v>0</x:v>
      </x:c>
    </x:row>
    <x:row r="578">
      <x:c r="C578" s="45" t="n">
        <x:v>46265</x:v>
      </x:c>
      <x:c r="D578" t="str">
        <x:v>interest.A2a</x:v>
      </x:c>
      <x:c r="E578" s="69" t="n">
        <x:v>418531.97</x:v>
      </x:c>
      <x:c r="F578" s="69" t="n">
        <x:f>Actuals!E569</x:f>
        <x:v>418531.97</x:v>
      </x:c>
      <x:c r="G578" s="70" t="n">
        <x:f>E578-F578</x:f>
        <x:v>0</x:v>
      </x:c>
    </x:row>
    <x:row r="579">
      <x:c r="C579" s="45" t="n">
        <x:v>46265</x:v>
      </x:c>
      <x:c r="D579" t="str">
        <x:v>interest.A2b</x:v>
      </x:c>
      <x:c r="E579" s="69" t="n">
        <x:v>175978.97</x:v>
      </x:c>
      <x:c r="F579" s="69" t="n">
        <x:f>Actuals!E570</x:f>
        <x:v>175978.97</x:v>
      </x:c>
      <x:c r="G579" s="70" t="n">
        <x:f>E579-F579</x:f>
        <x:v>0</x:v>
      </x:c>
    </x:row>
    <x:row r="580">
      <x:c r="C580" s="45" t="n">
        <x:v>46265</x:v>
      </x:c>
      <x:c r="D580" t="str">
        <x:v>interest.A3</x:v>
      </x:c>
      <x:c r="E580" s="69" t="n">
        <x:v>1687840</x:v>
      </x:c>
      <x:c r="F580" s="69" t="n">
        <x:f>Actuals!E571</x:f>
        <x:v>1687840</x:v>
      </x:c>
      <x:c r="G580" s="70" t="n">
        <x:f>E580-F580</x:f>
        <x:v>0</x:v>
      </x:c>
    </x:row>
    <x:row r="581">
      <x:c r="C581" s="45" t="n">
        <x:v>46265</x:v>
      </x:c>
      <x:c r="D581" t="str">
        <x:v>interest.A4</x:v>
      </x:c>
      <x:c r="E581" s="69" t="n">
        <x:v>344875</x:v>
      </x:c>
      <x:c r="F581" s="69" t="n">
        <x:f>Actuals!E572</x:f>
        <x:v>344875</x:v>
      </x:c>
      <x:c r="G581" s="70" t="n">
        <x:f>E581-F581</x:f>
        <x:v>0</x:v>
      </x:c>
    </x:row>
    <x:row r="582">
      <x:c r="C582" s="45" t="n">
        <x:v>46265</x:v>
      </x:c>
      <x:c r="D582" t="str">
        <x:v>interest.B</x:v>
      </x:c>
      <x:c r="E582" s="69" t="n">
        <x:v>119536</x:v>
      </x:c>
      <x:c r="F582" s="69" t="n">
        <x:f>Actuals!E573</x:f>
        <x:v>119536</x:v>
      </x:c>
      <x:c r="G582" s="70" t="n">
        <x:f>E582-F582</x:f>
        <x:v>0</x:v>
      </x:c>
    </x:row>
    <x:row r="583">
      <x:c r="C583" s="45" t="n">
        <x:v>46265</x:v>
      </x:c>
      <x:c r="D583" t="str">
        <x:v>interest.C</x:v>
      </x:c>
      <x:c r="E583" s="69" t="n">
        <x:v>90988</x:v>
      </x:c>
      <x:c r="F583" s="69" t="n">
        <x:f>Actuals!E574</x:f>
        <x:v>90988</x:v>
      </x:c>
      <x:c r="G583" s="70" t="n">
        <x:f>E583-F583</x:f>
        <x:v>0</x:v>
      </x:c>
    </x:row>
    <x:row r="584">
      <x:c r="C584" s="45" t="n">
        <x:v>46265</x:v>
      </x:c>
      <x:c r="D584" t="str">
        <x:v>interest.D</x:v>
      </x:c>
      <x:c r="E584" s="69" t="n">
        <x:v>67492.83</x:v>
      </x:c>
      <x:c r="F584" s="69" t="n">
        <x:f>Actuals!E575</x:f>
        <x:v>67492.83</x:v>
      </x:c>
      <x:c r="G584" s="70" t="n">
        <x:f>E584-F584</x:f>
        <x:v>0</x:v>
      </x:c>
    </x:row>
    <x:row r="585">
      <x:c r="C585" s="45" t="n">
        <x:v>46265</x:v>
      </x:c>
      <x:c r="D585" t="str">
        <x:v>principal.A1</x:v>
      </x:c>
      <x:c r="E585" s="69" t="n">
        <x:v>0</x:v>
      </x:c>
      <x:c r="F585" s="69" t="n">
        <x:f>Actuals!E576</x:f>
        <x:v>0</x:v>
      </x:c>
      <x:c r="G585" s="70" t="n">
        <x:f>E585-F585</x:f>
        <x:v>0</x:v>
      </x:c>
    </x:row>
    <x:row r="586">
      <x:c r="C586" s="45" t="n">
        <x:v>46265</x:v>
      </x:c>
      <x:c r="D586" t="str">
        <x:v>principal.A2a</x:v>
      </x:c>
      <x:c r="E586" s="69" t="n">
        <x:v>21082657.3</x:v>
      </x:c>
      <x:c r="F586" s="69" t="n">
        <x:f>Actuals!E577</x:f>
        <x:v>21082709.35</x:v>
      </x:c>
      <x:c r="G586" s="70" t="n">
        <x:f>E586-F586</x:f>
        <x:v>-52.05000000074506</x:v>
      </x:c>
    </x:row>
    <x:row r="587">
      <x:c r="C587" s="45" t="n">
        <x:v>46265</x:v>
      </x:c>
      <x:c r="D587" t="str">
        <x:v>principal.A2b</x:v>
      </x:c>
      <x:c r="E587" s="69" t="n">
        <x:v>9728742.79</x:v>
      </x:c>
      <x:c r="F587" s="69" t="n">
        <x:f>Actuals!E578</x:f>
        <x:v>9728766.82</x:v>
      </x:c>
      <x:c r="G587" s="70" t="n">
        <x:f>E587-F587</x:f>
        <x:v>-24.030000001192093</x:v>
      </x:c>
    </x:row>
    <x:row r="588">
      <x:c r="C588" s="45" t="n">
        <x:v>46265</x:v>
      </x:c>
      <x:c r="D588" t="str">
        <x:v>principal.A3</x:v>
      </x:c>
      <x:c r="E588" s="69" t="n">
        <x:v>0</x:v>
      </x:c>
      <x:c r="F588" s="69" t="n">
        <x:f>Actuals!E579</x:f>
        <x:v>0</x:v>
      </x:c>
      <x:c r="G588" s="70" t="n">
        <x:f>E588-F588</x:f>
        <x:v>0</x:v>
      </x:c>
    </x:row>
    <x:row r="589">
      <x:c r="C589" s="45" t="n">
        <x:v>46265</x:v>
      </x:c>
      <x:c r="D589" t="str">
        <x:v>principal.A4</x:v>
      </x:c>
      <x:c r="E589" s="69" t="n">
        <x:v>0</x:v>
      </x:c>
      <x:c r="F589" s="69" t="n">
        <x:f>Actuals!E580</x:f>
        <x:v>0</x:v>
      </x:c>
      <x:c r="G589" s="70" t="n">
        <x:f>E589-F589</x:f>
        <x:v>0</x:v>
      </x:c>
    </x:row>
    <x:row r="590">
      <x:c r="C590" s="45" t="n">
        <x:v>46265</x:v>
      </x:c>
      <x:c r="D590" t="str">
        <x:v>principal.B</x:v>
      </x:c>
      <x:c r="E590" s="69" t="n">
        <x:v>0</x:v>
      </x:c>
      <x:c r="F590" s="69" t="n">
        <x:f>Actuals!E581</x:f>
        <x:v>0</x:v>
      </x:c>
      <x:c r="G590" s="70" t="n">
        <x:f>E590-F590</x:f>
        <x:v>0</x:v>
      </x:c>
    </x:row>
    <x:row r="591">
      <x:c r="C591" s="45" t="n">
        <x:v>46265</x:v>
      </x:c>
      <x:c r="D591" t="str">
        <x:v>principal.C</x:v>
      </x:c>
      <x:c r="E591" s="69" t="n">
        <x:v>0</x:v>
      </x:c>
      <x:c r="F591" s="69" t="n">
        <x:f>Actuals!E582</x:f>
        <x:v>0</x:v>
      </x:c>
      <x:c r="G591" s="70" t="n">
        <x:f>E591-F591</x:f>
        <x:v>0</x:v>
      </x:c>
    </x:row>
    <x:row r="592">
      <x:c r="C592" s="45" t="n">
        <x:v>46265</x:v>
      </x:c>
      <x:c r="D592" t="str">
        <x:v>principal.D</x:v>
      </x:c>
      <x:c r="E592" s="69" t="n">
        <x:v>0</x:v>
      </x:c>
      <x:c r="F592" s="69" t="n">
        <x:f>Actuals!E583</x:f>
        <x:v>0</x:v>
      </x:c>
      <x:c r="G592" s="70" t="n">
        <x:f>E592-F592</x:f>
        <x:v>0</x:v>
      </x:c>
    </x:row>
    <x:row r="593">
      <x:c r="C593" s="45" t="n">
        <x:v>46265</x:v>
      </x:c>
      <x:c r="D593" t="str">
        <x:v>note_end.A1</x:v>
      </x:c>
      <x:c r="E593" s="69" t="n">
        <x:v>0</x:v>
      </x:c>
      <x:c r="F593" s="69" t="n">
        <x:f>Actuals!E584</x:f>
        <x:v>0</x:v>
      </x:c>
      <x:c r="G593" s="70" t="n">
        <x:f>E593-F593</x:f>
        <x:v>0</x:v>
      </x:c>
    </x:row>
    <x:row r="594">
      <x:c r="C594" s="45" t="n">
        <x:v>46265</x:v>
      </x:c>
      <x:c r="D594" t="str">
        <x:v>note_end.A2a</x:v>
      </x:c>
      <x:c r="E594" s="69" t="n">
        <x:v>88337464.52</x:v>
      </x:c>
      <x:c r="F594" s="69" t="n">
        <x:f>Actuals!E585</x:f>
        <x:v>88337412.47</x:v>
      </x:c>
      <x:c r="G594" s="70" t="n">
        <x:f>E594-F594</x:f>
        <x:v>52.04999999701977</x:v>
      </x:c>
    </x:row>
    <x:row r="595">
      <x:c r="C595" s="45" t="n">
        <x:v>46265</x:v>
      </x:c>
      <x:c r="D595" t="str">
        <x:v>note_end.A2b</x:v>
      </x:c>
      <x:c r="E595" s="69" t="n">
        <x:v>40763953.98</x:v>
      </x:c>
      <x:c r="F595" s="69" t="n">
        <x:f>Actuals!E586</x:f>
        <x:v>40763929.95</x:v>
      </x:c>
      <x:c r="G595" s="70" t="n">
        <x:f>E595-F595</x:f>
        <x:v>24.029999993741512</x:v>
      </x:c>
    </x:row>
    <x:row r="596">
      <x:c r="C596" s="45" t="n">
        <x:v>46265</x:v>
      </x:c>
      <x:c r="D596" t="str">
        <x:v>note_end.A3</x:v>
      </x:c>
      <x:c r="E596" s="69" t="n">
        <x:v>452100000</x:v>
      </x:c>
      <x:c r="F596" s="69" t="n">
        <x:f>Actuals!E587</x:f>
        <x:v>452100000</x:v>
      </x:c>
      <x:c r="G596" s="70" t="n">
        <x:f>E596-F596</x:f>
        <x:v>0</x:v>
      </x:c>
    </x:row>
    <x:row r="597">
      <x:c r="C597" s="45" t="n">
        <x:v>46265</x:v>
      </x:c>
      <x:c r="D597" t="str">
        <x:v>note_end.A4</x:v>
      </x:c>
      <x:c r="E597" s="69" t="n">
        <x:v>89000000</x:v>
      </x:c>
      <x:c r="F597" s="69" t="n">
        <x:f>Actuals!E588</x:f>
        <x:v>89000000</x:v>
      </x:c>
      <x:c r="G597" s="70" t="n">
        <x:f>E597-F597</x:f>
        <x:v>0</x:v>
      </x:c>
    </x:row>
    <x:row r="598">
      <x:c r="C598" s="45" t="n">
        <x:v>46265</x:v>
      </x:c>
      <x:c r="D598" t="str">
        <x:v>note_end.B</x:v>
      </x:c>
      <x:c r="E598" s="69" t="n">
        <x:v>28920000</x:v>
      </x:c>
      <x:c r="F598" s="69" t="n">
        <x:f>Actuals!E589</x:f>
        <x:v>28920000</x:v>
      </x:c>
      <x:c r="G598" s="70" t="n">
        <x:f>E598-F598</x:f>
        <x:v>0</x:v>
      </x:c>
    </x:row>
    <x:row r="599">
      <x:c r="C599" s="45" t="n">
        <x:v>46265</x:v>
      </x:c>
      <x:c r="D599" t="str">
        <x:v>note_end.C</x:v>
      </x:c>
      <x:c r="E599" s="69" t="n">
        <x:v>21160000</x:v>
      </x:c>
      <x:c r="F599" s="69" t="n">
        <x:f>Actuals!E590</x:f>
        <x:v>21160000</x:v>
      </x:c>
      <x:c r="G599" s="70" t="n">
        <x:f>E599-F599</x:f>
        <x:v>0</x:v>
      </x:c>
    </x:row>
    <x:row r="600">
      <x:c r="C600" s="45" t="n">
        <x:v>46265</x:v>
      </x:c>
      <x:c r="D600" t="str">
        <x:v>note_end.D</x:v>
      </x:c>
      <x:c r="E600" s="69" t="n">
        <x:v>14110000</x:v>
      </x:c>
      <x:c r="F600" s="69" t="n">
        <x:f>Actuals!E591</x:f>
        <x:v>14110000</x:v>
      </x:c>
      <x:c r="G600" s="70" t="n">
        <x:f>E600-F600</x:f>
        <x:v>0</x:v>
      </x:c>
    </x:row>
    <x:row r="601">
      <x:c r="C601" s="45" t="n">
        <x:v>46265</x:v>
      </x:c>
      <x:c r="D601" t="str">
        <x:v>priority_principal</x:v>
      </x:c>
      <x:c r="E601" s="69" t="n">
        <x:v>0</x:v>
      </x:c>
      <x:c r="F601" s="69" t="n">
        <x:f>Actuals!E592</x:f>
        <x:v>0</x:v>
      </x:c>
      <x:c r="G601" s="70" t="n">
        <x:f>E601-F601</x:f>
        <x:v>0</x:v>
      </x:c>
    </x:row>
    <x:row r="602">
      <x:c r="C602" s="45" t="n">
        <x:v>46265</x:v>
      </x:c>
      <x:c r="D602" t="str">
        <x:v>secondary_principal</x:v>
      </x:c>
      <x:c r="E602" s="69" t="n">
        <x:v>0</x:v>
      </x:c>
      <x:c r="F602" s="69" t="n">
        <x:f>Actuals!E593</x:f>
        <x:v>0</x:v>
      </x:c>
      <x:c r="G602" s="70" t="n">
        <x:f>E602-F602</x:f>
        <x:v>0</x:v>
      </x:c>
    </x:row>
    <x:row r="603">
      <x:c r="C603" s="45" t="n">
        <x:v>46265</x:v>
      </x:c>
      <x:c r="D603" t="str">
        <x:v>tertiary_principal</x:v>
      </x:c>
      <x:c r="E603" s="69" t="n">
        <x:v>6122054.43</x:v>
      </x:c>
      <x:c r="F603" s="69" t="n">
        <x:f>Actuals!E594</x:f>
        <x:v>6122054.43</x:v>
      </x:c>
      <x:c r="G603" s="70" t="n">
        <x:f>E603-F603</x:f>
        <x:v>0</x:v>
      </x:c>
    </x:row>
    <x:row r="604">
      <x:c r="C604" s="45" t="n">
        <x:v>46265</x:v>
      </x:c>
      <x:c r="D604" t="str">
        <x:v>quaternary_principal</x:v>
      </x:c>
      <x:c r="E604" s="69" t="n">
        <x:v>14110000</x:v>
      </x:c>
      <x:c r="F604" s="69" t="n">
        <x:f>Actuals!E595</x:f>
        <x:v>14110000</x:v>
      </x:c>
      <x:c r="G604" s="70" t="n">
        <x:f>E604-F604</x:f>
        <x:v>0</x:v>
      </x:c>
    </x:row>
    <x:row r="605">
      <x:c r="C605" s="45" t="n">
        <x:v>46265</x:v>
      </x:c>
      <x:c r="D605" t="str">
        <x:v>regular_principal</x:v>
      </x:c>
      <x:c r="E605" s="69" t="n">
        <x:v>10579345.66</x:v>
      </x:c>
      <x:c r="F605" s="69" t="n">
        <x:f>Actuals!E596</x:f>
        <x:v>10579421.74</x:v>
      </x:c>
      <x:c r="G605" s="70" t="n">
        <x:f>E605-F605</x:f>
        <x:v>-76.0800000000745</x:v>
      </x:c>
    </x:row>
    <x:row r="606">
      <x:c r="C606" s="45" t="n">
        <x:v>46265</x:v>
      </x:c>
      <x:c r="D606" t="str">
        <x:v>oc_target</x:v>
      </x:c>
      <x:c r="E606" s="69" t="n">
        <x:v>10579345.66</x:v>
      </x:c>
      <x:c r="F606" s="69" t="n">
        <x:f>Actuals!E597</x:f>
        <x:v>10579421.74</x:v>
      </x:c>
      <x:c r="G606" s="70" t="n">
        <x:f>E606-F606</x:f>
        <x:v>-76.0800000000745</x:v>
      </x:c>
    </x:row>
    <x:row r="610" ht="28" customHeight="1">
      <x:c r="C610" s="75" t="str">
        <x:v>Period</x:v>
      </x:c>
      <x:c r="D610" s="76" t="str">
        <x:v>Deal</x:v>
      </x:c>
      <x:c r="E610" s="76" t="str">
        <x:v>Quantity</x:v>
      </x:c>
      <x:c r="F610" s="76" t="str">
        <x:v>Loan tape</x:v>
      </x:c>
      <x:c r="G610" s="76" t="str">
        <x:v>Certificate</x:v>
      </x:c>
      <x:c r="H610" s="76" t="str">
        <x:v>Difference</x:v>
      </x:c>
      <x:c r="I610" s="56" t="str">
        <x:v>Unit</x:v>
      </x:c>
    </x:row>
    <x:row r="611">
      <x:c r="C611" s="45" t="n">
        <x:v>45412</x:v>
      </x:c>
      <x:c r="D611" t="str">
        <x:v>CAOT-2024-2</x:v>
      </x:c>
      <x:c r="E611" t="str">
        <x:v>outstanding_loan_count</x:v>
      </x:c>
      <x:c r="F611" s="77" t="n">
        <x:f>'Loan tape'!F6</x:f>
        <x:v>84027</x:v>
      </x:c>
      <x:c r="G611" s="77" t="n">
        <x:f>'Loan tape'!G6</x:f>
        <x:v>84026</x:v>
      </x:c>
      <x:c r="H611" s="77" t="n">
        <x:f>F611-G611</x:f>
        <x:v>1</x:v>
      </x:c>
      <x:c r="I611" t="str">
        <x:v>loans</x:v>
      </x:c>
    </x:row>
    <x:row r="612">
      <x:c r="C612" s="45" t="n">
        <x:v>45412</x:v>
      </x:c>
      <x:c r="D612" t="str">
        <x:v>CAOT-2024-2</x:v>
      </x:c>
      <x:c r="E612" t="str">
        <x:v>pool_begin</x:v>
      </x:c>
      <x:c r="F612" s="70" t="n">
        <x:f>'Loan tape'!F7</x:f>
        <x:v>1612068003.47</x:v>
      </x:c>
      <x:c r="G612" s="70" t="n">
        <x:f>'Loan tape'!G7</x:f>
        <x:v>1612091400.06</x:v>
      </x:c>
      <x:c r="H612" s="70" t="n">
        <x:f>F612-G612</x:f>
        <x:v>-23396.58999991417</x:v>
      </x:c>
      <x:c r="I612" t="str">
        <x:v>USD</x:v>
      </x:c>
    </x:row>
    <x:row r="613">
      <x:c r="C613" s="45" t="n">
        <x:v>45412</x:v>
      </x:c>
      <x:c r="D613" t="str">
        <x:v>CAOT-2024-2</x:v>
      </x:c>
      <x:c r="E613" t="str">
        <x:v>pool_end</x:v>
      </x:c>
      <x:c r="F613" s="70" t="n">
        <x:f>'Loan tape'!F8</x:f>
        <x:v>1561129857.51</x:v>
      </x:c>
      <x:c r="G613" s="70" t="n">
        <x:f>'Loan tape'!G8</x:f>
        <x:v>1561130350.98</x:v>
      </x:c>
      <x:c r="H613" s="70" t="n">
        <x:f>F613-G613</x:f>
        <x:v>-493.47000002861023</x:v>
      </x:c>
      <x:c r="I613" t="str">
        <x:v>USD</x:v>
      </x:c>
    </x:row>
    <x:row r="614">
      <x:c r="C614" s="45" t="n">
        <x:v>45412</x:v>
      </x:c>
      <x:c r="D614" t="str">
        <x:v>CAOT-2024-2</x:v>
      </x:c>
      <x:c r="E614" t="str">
        <x:v>principal_collected</x:v>
      </x:c>
      <x:c r="F614" s="70" t="n">
        <x:f>'Loan tape'!F9</x:f>
        <x:v>50988629.57</x:v>
      </x:c>
      <x:c r="G614" s="70" t="n">
        <x:f>'Loan tape'!G9</x:f>
        <x:v>50961049.08</x:v>
      </x:c>
      <x:c r="H614" s="70" t="n">
        <x:f>F614-G614</x:f>
        <x:v>27580.490000002086</x:v>
      </x:c>
      <x:c r="I614" t="str">
        <x:v>USD</x:v>
      </x:c>
    </x:row>
    <x:row r="615">
      <x:c r="C615" s="45" t="n">
        <x:v>45412</x:v>
      </x:c>
      <x:c r="D615" t="str">
        <x:v>CAOT-2024-2</x:v>
      </x:c>
      <x:c r="E615" t="str">
        <x:v>interest_collected</x:v>
      </x:c>
      <x:c r="F615" s="70" t="n">
        <x:f>'Loan tape'!F10</x:f>
        <x:v>13011909.93</x:v>
      </x:c>
      <x:c r="G615" s="70" t="n">
        <x:f>'Loan tape'!G10</x:f>
        <x:v>14300555.35</x:v>
      </x:c>
      <x:c r="H615" s="70" t="n">
        <x:f>F615-G615</x:f>
        <x:v>-1288645.42</x:v>
      </x:c>
      <x:c r="I615" t="str">
        <x:v>USD</x:v>
      </x:c>
    </x:row>
    <x:row r="616">
      <x:c r="C616" s="45" t="n">
        <x:v>45412</x:v>
      </x:c>
      <x:c r="D616" t="str">
        <x:v>CAOT-2024-2</x:v>
      </x:c>
      <x:c r="E616" t="str">
        <x:v>gross_chargeoffs_raw</x:v>
      </x:c>
      <x:c r="F616" s="70" t="n">
        <x:f>'Loan tape'!F11</x:f>
        <x:v>0</x:v>
      </x:c>
      <x:c r="G616" s="70" t="n">
        <x:f>'Loan tape'!G11</x:f>
        <x:v>0</x:v>
      </x:c>
      <x:c r="H616" s="70" t="n">
        <x:f>F616-G616</x:f>
        <x:v>0</x:v>
      </x:c>
      <x:c r="I616" t="str">
        <x:v>USD</x:v>
      </x:c>
    </x:row>
    <x:row r="617">
      <x:c r="C617" s="45" t="n">
        <x:v>45412</x:v>
      </x:c>
      <x:c r="D617" t="str">
        <x:v>CAOT-2024-2</x:v>
      </x:c>
      <x:c r="E617" t="str">
        <x:v>recoveries</x:v>
      </x:c>
      <x:c r="F617" s="70" t="n">
        <x:f>'Loan tape'!F12</x:f>
        <x:v>0</x:v>
      </x:c>
      <x:c r="G617" s="70" t="n">
        <x:f>'Loan tape'!G12</x:f>
        <x:v>0</x:v>
      </x:c>
      <x:c r="H617" s="70" t="n">
        <x:f>F617-G617</x:f>
        <x:v>0</x:v>
      </x:c>
      <x:c r="I617" t="str">
        <x:v>USD</x:v>
      </x:c>
    </x:row>
    <x:row r="618">
      <x:c r="C618" s="45" t="n">
        <x:v>45443</x:v>
      </x:c>
      <x:c r="D618" t="str">
        <x:v>CAOT-2024-2</x:v>
      </x:c>
      <x:c r="E618" t="str">
        <x:v>outstanding_loan_count</x:v>
      </x:c>
      <x:c r="F618" s="77" t="n">
        <x:f>'Loan tape'!F13</x:f>
        <x:v>82448</x:v>
      </x:c>
      <x:c r="G618" s="77" t="n">
        <x:f>'Loan tape'!G13</x:f>
        <x:v>82444</x:v>
      </x:c>
      <x:c r="H618" s="77" t="n">
        <x:f>F618-G618</x:f>
        <x:v>4</x:v>
      </x:c>
      <x:c r="I618" t="str">
        <x:v>loans</x:v>
      </x:c>
    </x:row>
    <x:row r="619">
      <x:c r="C619" s="45" t="n">
        <x:v>45443</x:v>
      </x:c>
      <x:c r="D619" t="str">
        <x:v>CAOT-2024-2</x:v>
      </x:c>
      <x:c r="E619" t="str">
        <x:v>pool_begin</x:v>
      </x:c>
      <x:c r="F619" s="70" t="n">
        <x:f>'Loan tape'!F14</x:f>
        <x:v>1561129857.51</x:v>
      </x:c>
      <x:c r="G619" s="70" t="n">
        <x:f>'Loan tape'!G14</x:f>
        <x:v>1561130350.98</x:v>
      </x:c>
      <x:c r="H619" s="70" t="n">
        <x:f>F619-G619</x:f>
        <x:v>-493.47000002861023</x:v>
      </x:c>
      <x:c r="I619" t="str">
        <x:v>USD</x:v>
      </x:c>
    </x:row>
    <x:row r="620">
      <x:c r="C620" s="45" t="n">
        <x:v>45443</x:v>
      </x:c>
      <x:c r="D620" t="str">
        <x:v>CAOT-2024-2</x:v>
      </x:c>
      <x:c r="E620" t="str">
        <x:v>pool_end</x:v>
      </x:c>
      <x:c r="F620" s="70" t="n">
        <x:f>'Loan tape'!F15</x:f>
        <x:v>1510088162.96</x:v>
      </x:c>
      <x:c r="G620" s="70" t="n">
        <x:f>'Loan tape'!G15</x:f>
        <x:v>1510094461.01</x:v>
      </x:c>
      <x:c r="H620" s="70" t="n">
        <x:f>F620-G620</x:f>
        <x:v>-6298.049999952316</x:v>
      </x:c>
      <x:c r="I620" t="str">
        <x:v>USD</x:v>
      </x:c>
    </x:row>
    <x:row r="621">
      <x:c r="C621" s="45" t="n">
        <x:v>45443</x:v>
      </x:c>
      <x:c r="D621" t="str">
        <x:v>CAOT-2024-2</x:v>
      </x:c>
      <x:c r="E621" t="str">
        <x:v>principal_collected</x:v>
      </x:c>
      <x:c r="F621" s="70" t="n">
        <x:f>'Loan tape'!F16</x:f>
        <x:v>50943959.94</x:v>
      </x:c>
      <x:c r="G621" s="70" t="n">
        <x:f>'Loan tape'!G16</x:f>
        <x:v>50889925.38</x:v>
      </x:c>
      <x:c r="H621" s="70" t="n">
        <x:f>F621-G621</x:f>
        <x:v>54034.55999999493</x:v>
      </x:c>
      <x:c r="I621" t="str">
        <x:v>USD</x:v>
      </x:c>
    </x:row>
    <x:row r="622">
      <x:c r="C622" s="45" t="n">
        <x:v>45443</x:v>
      </x:c>
      <x:c r="D622" t="str">
        <x:v>CAOT-2024-2</x:v>
      </x:c>
      <x:c r="E622" t="str">
        <x:v>interest_collected</x:v>
      </x:c>
      <x:c r="F622" s="70" t="n">
        <x:f>'Loan tape'!F17</x:f>
        <x:v>13295025.31</x:v>
      </x:c>
      <x:c r="G622" s="70" t="n">
        <x:f>'Loan tape'!G17</x:f>
        <x:v>14463456.12</x:v>
      </x:c>
      <x:c r="H622" s="70" t="n">
        <x:f>F622-G622</x:f>
        <x:v>-1168430.8099999987</x:v>
      </x:c>
      <x:c r="I622" t="str">
        <x:v>USD</x:v>
      </x:c>
    </x:row>
    <x:row r="623">
      <x:c r="C623" s="45" t="n">
        <x:v>45443</x:v>
      </x:c>
      <x:c r="D623" t="str">
        <x:v>CAOT-2024-2</x:v>
      </x:c>
      <x:c r="E623" t="str">
        <x:v>gross_chargeoffs_raw</x:v>
      </x:c>
      <x:c r="F623" s="70" t="n">
        <x:f>'Loan tape'!F18</x:f>
        <x:v>145964.59</x:v>
      </x:c>
      <x:c r="G623" s="70" t="n">
        <x:f>'Loan tape'!G18</x:f>
        <x:v>145964.59</x:v>
      </x:c>
      <x:c r="H623" s="70" t="n">
        <x:f>F623-G623</x:f>
        <x:v>0</x:v>
      </x:c>
      <x:c r="I623" t="str">
        <x:v>USD</x:v>
      </x:c>
    </x:row>
    <x:row r="624">
      <x:c r="C624" s="45" t="n">
        <x:v>45443</x:v>
      </x:c>
      <x:c r="D624" t="str">
        <x:v>CAOT-2024-2</x:v>
      </x:c>
      <x:c r="E624" t="str">
        <x:v>recoveries</x:v>
      </x:c>
      <x:c r="F624" s="70" t="n">
        <x:f>'Loan tape'!F19</x:f>
        <x:v>106662.42</x:v>
      </x:c>
      <x:c r="G624" s="70" t="n">
        <x:f>'Loan tape'!G19</x:f>
        <x:v>105757.42</x:v>
      </x:c>
      <x:c r="H624" s="70" t="n">
        <x:f>F624-G624</x:f>
        <x:v>905</x:v>
      </x:c>
      <x:c r="I624" t="str">
        <x:v>USD</x:v>
      </x:c>
    </x:row>
    <x:row r="625">
      <x:c r="C625" s="45" t="n">
        <x:v>45473</x:v>
      </x:c>
      <x:c r="D625" t="str">
        <x:v>CAOT-2024-2</x:v>
      </x:c>
      <x:c r="E625" t="str">
        <x:v>outstanding_loan_count</x:v>
      </x:c>
      <x:c r="F625" s="77" t="n">
        <x:f>'Loan tape'!F20</x:f>
        <x:v>80433</x:v>
      </x:c>
      <x:c r="G625" s="77" t="n">
        <x:f>'Loan tape'!G20</x:f>
        <x:v>80433</x:v>
      </x:c>
      <x:c r="H625" s="77" t="n">
        <x:f>F625-G625</x:f>
        <x:v>0</x:v>
      </x:c>
      <x:c r="I625" t="str">
        <x:v>loans</x:v>
      </x:c>
    </x:row>
    <x:row r="626">
      <x:c r="C626" s="45" t="n">
        <x:v>45473</x:v>
      </x:c>
      <x:c r="D626" t="str">
        <x:v>CAOT-2024-2</x:v>
      </x:c>
      <x:c r="E626" t="str">
        <x:v>pool_begin</x:v>
      </x:c>
      <x:c r="F626" s="70" t="n">
        <x:f>'Loan tape'!F21</x:f>
        <x:v>1510088162.96</x:v>
      </x:c>
      <x:c r="G626" s="70" t="n">
        <x:f>'Loan tape'!G21</x:f>
        <x:v>1510094461.01</x:v>
      </x:c>
      <x:c r="H626" s="70" t="n">
        <x:f>F626-G626</x:f>
        <x:v>-6298.049999952316</x:v>
      </x:c>
      <x:c r="I626" t="str">
        <x:v>USD</x:v>
      </x:c>
    </x:row>
    <x:row r="627">
      <x:c r="C627" s="45" t="n">
        <x:v>45473</x:v>
      </x:c>
      <x:c r="D627" t="str">
        <x:v>CAOT-2024-2</x:v>
      </x:c>
      <x:c r="E627" t="str">
        <x:v>pool_end</x:v>
      </x:c>
      <x:c r="F627" s="70" t="n">
        <x:f>'Loan tape'!F22</x:f>
        <x:v>1462788183.59</x:v>
      </x:c>
      <x:c r="G627" s="70" t="n">
        <x:f>'Loan tape'!G22</x:f>
        <x:v>1462792329.64</x:v>
      </x:c>
      <x:c r="H627" s="70" t="n">
        <x:f>F627-G627</x:f>
        <x:v>-4146.050000190735</x:v>
      </x:c>
      <x:c r="I627" t="str">
        <x:v>USD</x:v>
      </x:c>
    </x:row>
    <x:row r="628">
      <x:c r="C628" s="45" t="n">
        <x:v>45473</x:v>
      </x:c>
      <x:c r="D628" t="str">
        <x:v>CAOT-2024-2</x:v>
      </x:c>
      <x:c r="E628" t="str">
        <x:v>principal_collected</x:v>
      </x:c>
      <x:c r="F628" s="70" t="n">
        <x:f>'Loan tape'!F23</x:f>
        <x:v>47004060.52</x:v>
      </x:c>
      <x:c r="G628" s="70" t="n">
        <x:f>'Loan tape'!G23</x:f>
        <x:v>46933935.41</x:v>
      </x:c>
      <x:c r="H628" s="70" t="n">
        <x:f>F628-G628</x:f>
        <x:v>70125.11000000685</x:v>
      </x:c>
      <x:c r="I628" t="str">
        <x:v>USD</x:v>
      </x:c>
    </x:row>
    <x:row r="629">
      <x:c r="C629" s="45" t="n">
        <x:v>45473</x:v>
      </x:c>
      <x:c r="D629" t="str">
        <x:v>CAOT-2024-2</x:v>
      </x:c>
      <x:c r="E629" t="str">
        <x:v>interest_collected</x:v>
      </x:c>
      <x:c r="F629" s="70" t="n">
        <x:f>'Loan tape'!F24</x:f>
        <x:v>12701343.23</x:v>
      </x:c>
      <x:c r="G629" s="70" t="n">
        <x:f>'Loan tape'!G24</x:f>
        <x:v>13812678.76</x:v>
      </x:c>
      <x:c r="H629" s="70" t="n">
        <x:f>F629-G629</x:f>
        <x:v>-1111335.5299999993</x:v>
      </x:c>
      <x:c r="I629" t="str">
        <x:v>USD</x:v>
      </x:c>
    </x:row>
    <x:row r="630">
      <x:c r="C630" s="45" t="n">
        <x:v>45473</x:v>
      </x:c>
      <x:c r="D630" t="str">
        <x:v>CAOT-2024-2</x:v>
      </x:c>
      <x:c r="E630" t="str">
        <x:v>gross_chargeoffs_raw</x:v>
      </x:c>
      <x:c r="F630" s="70" t="n">
        <x:f>'Loan tape'!F25</x:f>
        <x:v>368195.96</x:v>
      </x:c>
      <x:c r="G630" s="70" t="n">
        <x:f>'Loan tape'!G25</x:f>
        <x:v>368195.96</x:v>
      </x:c>
      <x:c r="H630" s="70" t="n">
        <x:f>F630-G630</x:f>
        <x:v>0</x:v>
      </x:c>
      <x:c r="I630" t="str">
        <x:v>USD</x:v>
      </x:c>
    </x:row>
    <x:row r="631">
      <x:c r="C631" s="45" t="n">
        <x:v>45473</x:v>
      </x:c>
      <x:c r="D631" t="str">
        <x:v>CAOT-2024-2</x:v>
      </x:c>
      <x:c r="E631" t="str">
        <x:v>recoveries</x:v>
      </x:c>
      <x:c r="F631" s="70" t="n">
        <x:f>'Loan tape'!F26</x:f>
        <x:v>177135.46</x:v>
      </x:c>
      <x:c r="G631" s="70" t="n">
        <x:f>'Loan tape'!G26</x:f>
        <x:v>176985.46</x:v>
      </x:c>
      <x:c r="H631" s="70" t="n">
        <x:f>F631-G631</x:f>
        <x:v>150</x:v>
      </x:c>
      <x:c r="I631" t="str">
        <x:v>USD</x:v>
      </x:c>
    </x:row>
    <x:row r="632">
      <x:c r="C632" s="45" t="n">
        <x:v>45504</x:v>
      </x:c>
      <x:c r="D632" t="str">
        <x:v>CAOT-2024-2</x:v>
      </x:c>
      <x:c r="E632" t="str">
        <x:v>outstanding_loan_count</x:v>
      </x:c>
      <x:c r="F632" s="77" t="n">
        <x:f>'Loan tape'!F27</x:f>
        <x:v>78175</x:v>
      </x:c>
      <x:c r="G632" s="77" t="n">
        <x:f>'Loan tape'!G27</x:f>
        <x:v>78171</x:v>
      </x:c>
      <x:c r="H632" s="77" t="n">
        <x:f>F632-G632</x:f>
        <x:v>4</x:v>
      </x:c>
      <x:c r="I632" t="str">
        <x:v>loans</x:v>
      </x:c>
    </x:row>
    <x:row r="633">
      <x:c r="C633" s="45" t="n">
        <x:v>45504</x:v>
      </x:c>
      <x:c r="D633" t="str">
        <x:v>CAOT-2024-2</x:v>
      </x:c>
      <x:c r="E633" t="str">
        <x:v>pool_begin</x:v>
      </x:c>
      <x:c r="F633" s="70" t="n">
        <x:f>'Loan tape'!F28</x:f>
        <x:v>1462788183.59</x:v>
      </x:c>
      <x:c r="G633" s="70" t="n">
        <x:f>'Loan tape'!G28</x:f>
        <x:v>1462792329.64</x:v>
      </x:c>
      <x:c r="H633" s="70" t="n">
        <x:f>F633-G633</x:f>
        <x:v>-4146.050000190735</x:v>
      </x:c>
      <x:c r="I633" t="str">
        <x:v>USD</x:v>
      </x:c>
    </x:row>
    <x:row r="634">
      <x:c r="C634" s="45" t="n">
        <x:v>45504</x:v>
      </x:c>
      <x:c r="D634" t="str">
        <x:v>CAOT-2024-2</x:v>
      </x:c>
      <x:c r="E634" t="str">
        <x:v>pool_end</x:v>
      </x:c>
      <x:c r="F634" s="70" t="n">
        <x:f>'Loan tape'!F29</x:f>
        <x:v>1413667891.32</x:v>
      </x:c>
      <x:c r="G634" s="70" t="n">
        <x:f>'Loan tape'!G29</x:f>
        <x:v>1413672225.02</x:v>
      </x:c>
      <x:c r="H634" s="70" t="n">
        <x:f>F634-G634</x:f>
        <x:v>-4333.700000047684</x:v>
      </x:c>
      <x:c r="I634" t="str">
        <x:v>USD</x:v>
      </x:c>
    </x:row>
    <x:row r="635">
      <x:c r="C635" s="45" t="n">
        <x:v>45504</x:v>
      </x:c>
      <x:c r="D635" t="str">
        <x:v>CAOT-2024-2</x:v>
      </x:c>
      <x:c r="E635" t="str">
        <x:v>principal_collected</x:v>
      </x:c>
      <x:c r="F635" s="70" t="n">
        <x:f>'Loan tape'!F30</x:f>
        <x:v>47041552.25</x:v>
      </x:c>
      <x:c r="G635" s="70" t="n">
        <x:f>'Loan tape'!G30</x:f>
        <x:v>46975156.29</x:v>
      </x:c>
      <x:c r="H635" s="70" t="n">
        <x:f>F635-G635</x:f>
        <x:v>66395.9600000009</x:v>
      </x:c>
      <x:c r="I635" t="str">
        <x:v>USD</x:v>
      </x:c>
    </x:row>
    <x:row r="636">
      <x:c r="C636" s="45" t="n">
        <x:v>45504</x:v>
      </x:c>
      <x:c r="D636" t="str">
        <x:v>CAOT-2024-2</x:v>
      </x:c>
      <x:c r="E636" t="str">
        <x:v>interest_collected</x:v>
      </x:c>
      <x:c r="F636" s="70" t="n">
        <x:f>'Loan tape'!F31</x:f>
        <x:v>12186877.4</x:v>
      </x:c>
      <x:c r="G636" s="70" t="n">
        <x:f>'Loan tape'!G31</x:f>
        <x:v>13258409.02</x:v>
      </x:c>
      <x:c r="H636" s="70" t="n">
        <x:f>F636-G636</x:f>
        <x:v>-1071531.6199999992</x:v>
      </x:c>
      <x:c r="I636" t="str">
        <x:v>USD</x:v>
      </x:c>
    </x:row>
    <x:row r="637">
      <x:c r="C637" s="45" t="n">
        <x:v>45504</x:v>
      </x:c>
      <x:c r="D637" t="str">
        <x:v>CAOT-2024-2</x:v>
      </x:c>
      <x:c r="E637" t="str">
        <x:v>gross_chargeoffs_raw</x:v>
      </x:c>
      <x:c r="F637" s="70" t="n">
        <x:f>'Loan tape'!F32</x:f>
        <x:v>2144948.33</x:v>
      </x:c>
      <x:c r="G637" s="70" t="n">
        <x:f>'Loan tape'!G32</x:f>
        <x:v>2144948.33</x:v>
      </x:c>
      <x:c r="H637" s="70" t="n">
        <x:f>F637-G637</x:f>
        <x:v>0</x:v>
      </x:c>
      <x:c r="I637" t="str">
        <x:v>USD</x:v>
      </x:c>
    </x:row>
    <x:row r="638">
      <x:c r="C638" s="45" t="n">
        <x:v>45504</x:v>
      </x:c>
      <x:c r="D638" t="str">
        <x:v>CAOT-2024-2</x:v>
      </x:c>
      <x:c r="E638" t="str">
        <x:v>recoveries</x:v>
      </x:c>
      <x:c r="F638" s="70" t="n">
        <x:f>'Loan tape'!F33</x:f>
        <x:v>490815.69</x:v>
      </x:c>
      <x:c r="G638" s="70" t="n">
        <x:f>'Loan tape'!G33</x:f>
        <x:v>490815.69</x:v>
      </x:c>
      <x:c r="H638" s="70" t="n">
        <x:f>F638-G638</x:f>
        <x:v>0</x:v>
      </x:c>
      <x:c r="I638" t="str">
        <x:v>USD</x:v>
      </x:c>
    </x:row>
    <x:row r="639">
      <x:c r="C639" s="45" t="n">
        <x:v>45535</x:v>
      </x:c>
      <x:c r="D639" t="str">
        <x:v>CAOT-2024-2</x:v>
      </x:c>
      <x:c r="E639" t="str">
        <x:v>outstanding_loan_count</x:v>
      </x:c>
      <x:c r="F639" s="77" t="n">
        <x:f>'Loan tape'!F34</x:f>
        <x:v>75851</x:v>
      </x:c>
      <x:c r="G639" s="77" t="n">
        <x:f>'Loan tape'!G34</x:f>
        <x:v>75851</x:v>
      </x:c>
      <x:c r="H639" s="77" t="n">
        <x:f>F639-G639</x:f>
        <x:v>0</x:v>
      </x:c>
      <x:c r="I639" t="str">
        <x:v>loans</x:v>
      </x:c>
    </x:row>
    <x:row r="640">
      <x:c r="C640" s="45" t="n">
        <x:v>45535</x:v>
      </x:c>
      <x:c r="D640" t="str">
        <x:v>CAOT-2024-2</x:v>
      </x:c>
      <x:c r="E640" t="str">
        <x:v>pool_begin</x:v>
      </x:c>
      <x:c r="F640" s="70" t="n">
        <x:f>'Loan tape'!F35</x:f>
        <x:v>1413667891.32</x:v>
      </x:c>
      <x:c r="G640" s="70" t="n">
        <x:f>'Loan tape'!G35</x:f>
        <x:v>1413672225.02</x:v>
      </x:c>
      <x:c r="H640" s="70" t="n">
        <x:f>F640-G640</x:f>
        <x:v>-4333.700000047684</x:v>
      </x:c>
      <x:c r="I640" t="str">
        <x:v>USD</x:v>
      </x:c>
    </x:row>
    <x:row r="641">
      <x:c r="C641" s="45" t="n">
        <x:v>45535</x:v>
      </x:c>
      <x:c r="D641" t="str">
        <x:v>CAOT-2024-2</x:v>
      </x:c>
      <x:c r="E641" t="str">
        <x:v>pool_end</x:v>
      </x:c>
      <x:c r="F641" s="70" t="n">
        <x:f>'Loan tape'!F36</x:f>
        <x:v>1363370518.36</x:v>
      </x:c>
      <x:c r="G641" s="70" t="n">
        <x:f>'Loan tape'!G36</x:f>
        <x:v>1363375340.38</x:v>
      </x:c>
      <x:c r="H641" s="70" t="n">
        <x:f>F641-G641</x:f>
        <x:v>-4822.020000219345</x:v>
      </x:c>
      <x:c r="I641" t="str">
        <x:v>USD</x:v>
      </x:c>
    </x:row>
    <x:row r="642">
      <x:c r="C642" s="45" t="n">
        <x:v>45535</x:v>
      </x:c>
      <x:c r="D642" t="str">
        <x:v>CAOT-2024-2</x:v>
      </x:c>
      <x:c r="E642" t="str">
        <x:v>principal_collected</x:v>
      </x:c>
      <x:c r="F642" s="70" t="n">
        <x:f>'Loan tape'!F37</x:f>
        <x:v>47026462.98</x:v>
      </x:c>
      <x:c r="G642" s="70" t="n">
        <x:f>'Loan tape'!G37</x:f>
        <x:v>46978883.18</x:v>
      </x:c>
      <x:c r="H642" s="70" t="n">
        <x:f>F642-G642</x:f>
        <x:v>47579.79999999702</x:v>
      </x:c>
      <x:c r="I642" t="str">
        <x:v>USD</x:v>
      </x:c>
    </x:row>
    <x:row r="643">
      <x:c r="C643" s="45" t="n">
        <x:v>45535</x:v>
      </x:c>
      <x:c r="D643" t="str">
        <x:v>CAOT-2024-2</x:v>
      </x:c>
      <x:c r="E643" t="str">
        <x:v>interest_collected</x:v>
      </x:c>
      <x:c r="F643" s="70" t="n">
        <x:f>'Loan tape'!F38</x:f>
        <x:v>12251107.92</x:v>
      </x:c>
      <x:c r="G643" s="70" t="n">
        <x:f>'Loan tape'!G38</x:f>
        <x:v>13377615.39</x:v>
      </x:c>
      <x:c r="H643" s="70" t="n">
        <x:f>F643-G643</x:f>
        <x:v>-1126507.4700000007</x:v>
      </x:c>
      <x:c r="I643" t="str">
        <x:v>USD</x:v>
      </x:c>
    </x:row>
    <x:row r="644">
      <x:c r="C644" s="45" t="n">
        <x:v>45535</x:v>
      </x:c>
      <x:c r="D644" t="str">
        <x:v>CAOT-2024-2</x:v>
      </x:c>
      <x:c r="E644" t="str">
        <x:v>gross_chargeoffs_raw</x:v>
      </x:c>
      <x:c r="F644" s="70" t="n">
        <x:f>'Loan tape'!F39</x:f>
        <x:v>3538442.23</x:v>
      </x:c>
      <x:c r="G644" s="70" t="n">
        <x:f>'Loan tape'!G39</x:f>
        <x:v>3318001.46</x:v>
      </x:c>
      <x:c r="H644" s="70" t="n">
        <x:f>F644-G644</x:f>
        <x:v>220440.77000000002</x:v>
      </x:c>
      <x:c r="I644" t="str">
        <x:v>USD</x:v>
      </x:c>
    </x:row>
    <x:row r="645">
      <x:c r="C645" s="45" t="n">
        <x:v>45535</x:v>
      </x:c>
      <x:c r="D645" t="str">
        <x:v>CAOT-2024-2</x:v>
      </x:c>
      <x:c r="E645" t="str">
        <x:v>recoveries</x:v>
      </x:c>
      <x:c r="F645" s="70" t="n">
        <x:f>'Loan tape'!F40</x:f>
        <x:v>623364.85</x:v>
      </x:c>
      <x:c r="G645" s="70" t="n">
        <x:f>'Loan tape'!G40</x:f>
        <x:v>621439.8</x:v>
      </x:c>
      <x:c r="H645" s="70" t="n">
        <x:f>F645-G645</x:f>
        <x:v>1925.0499999999302</x:v>
      </x:c>
      <x:c r="I645" t="str">
        <x:v>USD</x:v>
      </x:c>
    </x:row>
    <x:row r="646">
      <x:c r="C646" s="45" t="n">
        <x:v>45565</x:v>
      </x:c>
      <x:c r="D646" t="str">
        <x:v>CAOT-2024-2</x:v>
      </x:c>
      <x:c r="E646" t="str">
        <x:v>outstanding_loan_count</x:v>
      </x:c>
      <x:c r="F646" s="77" t="n">
        <x:f>'Loan tape'!F41</x:f>
        <x:v>73506</x:v>
      </x:c>
      <x:c r="G646" s="77" t="n">
        <x:f>'Loan tape'!G41</x:f>
        <x:v>73506</x:v>
      </x:c>
      <x:c r="H646" s="77" t="n">
        <x:f>F646-G646</x:f>
        <x:v>0</x:v>
      </x:c>
      <x:c r="I646" t="str">
        <x:v>loans</x:v>
      </x:c>
    </x:row>
    <x:row r="647">
      <x:c r="C647" s="45" t="n">
        <x:v>45565</x:v>
      </x:c>
      <x:c r="D647" t="str">
        <x:v>CAOT-2024-2</x:v>
      </x:c>
      <x:c r="E647" t="str">
        <x:v>pool_begin</x:v>
      </x:c>
      <x:c r="F647" s="70" t="n">
        <x:f>'Loan tape'!F42</x:f>
        <x:v>1363370518.36</x:v>
      </x:c>
      <x:c r="G647" s="70" t="n">
        <x:f>'Loan tape'!G42</x:f>
        <x:v>1363375340.38</x:v>
      </x:c>
      <x:c r="H647" s="70" t="n">
        <x:f>F647-G647</x:f>
        <x:v>-4822.020000219345</x:v>
      </x:c>
      <x:c r="I647" t="str">
        <x:v>USD</x:v>
      </x:c>
    </x:row>
    <x:row r="648">
      <x:c r="C648" s="45" t="n">
        <x:v>45565</x:v>
      </x:c>
      <x:c r="D648" t="str">
        <x:v>CAOT-2024-2</x:v>
      </x:c>
      <x:c r="E648" t="str">
        <x:v>pool_end</x:v>
      </x:c>
      <x:c r="F648" s="70" t="n">
        <x:f>'Loan tape'!F43</x:f>
        <x:v>1320181283.01</x:v>
      </x:c>
      <x:c r="G648" s="70" t="n">
        <x:f>'Loan tape'!G43</x:f>
        <x:v>1320184265.64</x:v>
      </x:c>
      <x:c r="H648" s="70" t="n">
        <x:f>F648-G648</x:f>
        <x:v>-2982.630000114441</x:v>
      </x:c>
      <x:c r="I648" t="str">
        <x:v>USD</x:v>
      </x:c>
    </x:row>
    <x:row r="649">
      <x:c r="C649" s="45" t="n">
        <x:v>45565</x:v>
      </x:c>
      <x:c r="D649" t="str">
        <x:v>CAOT-2024-2</x:v>
      </x:c>
      <x:c r="E649" t="str">
        <x:v>principal_collected</x:v>
      </x:c>
      <x:c r="F649" s="70" t="n">
        <x:f>'Loan tape'!F44</x:f>
        <x:v>40684973.07</x:v>
      </x:c>
      <x:c r="G649" s="70" t="n">
        <x:f>'Loan tape'!G44</x:f>
        <x:v>40680145.98</x:v>
      </x:c>
      <x:c r="H649" s="70" t="n">
        <x:f>F649-G649</x:f>
        <x:v>4827.090000003576</x:v>
      </x:c>
      <x:c r="I649" t="str">
        <x:v>USD</x:v>
      </x:c>
    </x:row>
    <x:row r="650">
      <x:c r="C650" s="45" t="n">
        <x:v>45565</x:v>
      </x:c>
      <x:c r="D650" t="str">
        <x:v>CAOT-2024-2</x:v>
      </x:c>
      <x:c r="E650" t="str">
        <x:v>interest_collected</x:v>
      </x:c>
      <x:c r="F650" s="70" t="n">
        <x:f>'Loan tape'!F45</x:f>
        <x:v>11543407.43</x:v>
      </x:c>
      <x:c r="G650" s="70" t="n">
        <x:f>'Loan tape'!G45</x:f>
        <x:v>12557075.21</x:v>
      </x:c>
      <x:c r="H650" s="70" t="n">
        <x:f>F650-G650</x:f>
        <x:v>-1013667.7800000012</x:v>
      </x:c>
      <x:c r="I650" t="str">
        <x:v>USD</x:v>
      </x:c>
    </x:row>
    <x:row r="651">
      <x:c r="C651" s="45" t="n">
        <x:v>45565</x:v>
      </x:c>
      <x:c r="D651" t="str">
        <x:v>CAOT-2024-2</x:v>
      </x:c>
      <x:c r="E651" t="str">
        <x:v>gross_chargeoffs_raw</x:v>
      </x:c>
      <x:c r="F651" s="70" t="n">
        <x:f>'Loan tape'!F46</x:f>
        <x:v>3112202.98</x:v>
      </x:c>
      <x:c r="G651" s="70" t="n">
        <x:f>'Loan tape'!G46</x:f>
        <x:v>2510928.76</x:v>
      </x:c>
      <x:c r="H651" s="70" t="n">
        <x:f>F651-G651</x:f>
        <x:v>601274.2200000002</x:v>
      </x:c>
      <x:c r="I651" t="str">
        <x:v>USD</x:v>
      </x:c>
    </x:row>
    <x:row r="652">
      <x:c r="C652" s="45" t="n">
        <x:v>45565</x:v>
      </x:c>
      <x:c r="D652" t="str">
        <x:v>CAOT-2024-2</x:v>
      </x:c>
      <x:c r="E652" t="str">
        <x:v>recoveries</x:v>
      </x:c>
      <x:c r="F652" s="70" t="n">
        <x:f>'Loan tape'!F47</x:f>
        <x:v>765939.53</x:v>
      </x:c>
      <x:c r="G652" s="70" t="n">
        <x:f>'Loan tape'!G47</x:f>
        <x:v>765217.95</x:v>
      </x:c>
      <x:c r="H652" s="70" t="n">
        <x:f>F652-G652</x:f>
        <x:v>721.5800000000745</x:v>
      </x:c>
      <x:c r="I652" t="str">
        <x:v>USD</x:v>
      </x:c>
    </x:row>
    <x:row r="653">
      <x:c r="C653" s="45" t="n">
        <x:v>45596</x:v>
      </x:c>
      <x:c r="D653" t="str">
        <x:v>CAOT-2024-2</x:v>
      </x:c>
      <x:c r="E653" t="str">
        <x:v>outstanding_loan_count</x:v>
      </x:c>
      <x:c r="F653" s="77" t="n">
        <x:f>'Loan tape'!F48</x:f>
        <x:v>70943</x:v>
      </x:c>
      <x:c r="G653" s="77" t="n">
        <x:f>'Loan tape'!G48</x:f>
        <x:v>70942</x:v>
      </x:c>
      <x:c r="H653" s="77" t="n">
        <x:f>F653-G653</x:f>
        <x:v>1</x:v>
      </x:c>
      <x:c r="I653" t="str">
        <x:v>loans</x:v>
      </x:c>
    </x:row>
    <x:row r="654">
      <x:c r="C654" s="45" t="n">
        <x:v>45596</x:v>
      </x:c>
      <x:c r="D654" t="str">
        <x:v>CAOT-2024-2</x:v>
      </x:c>
      <x:c r="E654" t="str">
        <x:v>pool_begin</x:v>
      </x:c>
      <x:c r="F654" s="70" t="n">
        <x:f>'Loan tape'!F49</x:f>
        <x:v>1320181283.01</x:v>
      </x:c>
      <x:c r="G654" s="70" t="n">
        <x:f>'Loan tape'!G49</x:f>
        <x:v>1320184265.64</x:v>
      </x:c>
      <x:c r="H654" s="70" t="n">
        <x:f>F654-G654</x:f>
        <x:v>-2982.630000114441</x:v>
      </x:c>
      <x:c r="I654" t="str">
        <x:v>USD</x:v>
      </x:c>
    </x:row>
    <x:row r="655">
      <x:c r="C655" s="45" t="n">
        <x:v>45596</x:v>
      </x:c>
      <x:c r="D655" t="str">
        <x:v>CAOT-2024-2</x:v>
      </x:c>
      <x:c r="E655" t="str">
        <x:v>pool_end</x:v>
      </x:c>
      <x:c r="F655" s="70" t="n">
        <x:f>'Loan tape'!F50</x:f>
        <x:v>1273002145.97</x:v>
      </x:c>
      <x:c r="G655" s="70" t="n">
        <x:f>'Loan tape'!G50</x:f>
        <x:v>1273005477.74</x:v>
      </x:c>
      <x:c r="H655" s="70" t="n">
        <x:f>F655-G655</x:f>
        <x:v>-3331.7699999809265</x:v>
      </x:c>
      <x:c r="I655" t="str">
        <x:v>USD</x:v>
      </x:c>
    </x:row>
    <x:row r="656">
      <x:c r="C656" s="45" t="n">
        <x:v>45596</x:v>
      </x:c>
      <x:c r="D656" t="str">
        <x:v>CAOT-2024-2</x:v>
      </x:c>
      <x:c r="E656" t="str">
        <x:v>principal_collected</x:v>
      </x:c>
      <x:c r="F656" s="70" t="n">
        <x:f>'Loan tape'!F51</x:f>
        <x:v>44173790.8</x:v>
      </x:c>
      <x:c r="G656" s="70" t="n">
        <x:f>'Loan tape'!G51</x:f>
        <x:v>44123227.69</x:v>
      </x:c>
      <x:c r="H656" s="70" t="n">
        <x:f>F656-G656</x:f>
        <x:v>50563.109999999404</x:v>
      </x:c>
      <x:c r="I656" t="str">
        <x:v>USD</x:v>
      </x:c>
    </x:row>
    <x:row r="657">
      <x:c r="C657" s="45" t="n">
        <x:v>45596</x:v>
      </x:c>
      <x:c r="D657" t="str">
        <x:v>CAOT-2024-2</x:v>
      </x:c>
      <x:c r="E657" t="str">
        <x:v>interest_collected</x:v>
      </x:c>
      <x:c r="F657" s="70" t="n">
        <x:f>'Loan tape'!F52</x:f>
        <x:v>11045425.25</x:v>
      </x:c>
      <x:c r="G657" s="70" t="n">
        <x:f>'Loan tape'!G52</x:f>
        <x:v>12056903.79</x:v>
      </x:c>
      <x:c r="H657" s="70" t="n">
        <x:f>F657-G657</x:f>
        <x:v>-1011478.5399999991</x:v>
      </x:c>
      <x:c r="I657" t="str">
        <x:v>USD</x:v>
      </x:c>
    </x:row>
    <x:row r="658">
      <x:c r="C658" s="45" t="n">
        <x:v>45596</x:v>
      </x:c>
      <x:c r="D658" t="str">
        <x:v>CAOT-2024-2</x:v>
      </x:c>
      <x:c r="E658" t="str">
        <x:v>gross_chargeoffs_raw</x:v>
      </x:c>
      <x:c r="F658" s="70" t="n">
        <x:f>'Loan tape'!F53</x:f>
        <x:v>3625331.62</x:v>
      </x:c>
      <x:c r="G658" s="70" t="n">
        <x:f>'Loan tape'!G53</x:f>
        <x:v>3055560.21</x:v>
      </x:c>
      <x:c r="H658" s="70" t="n">
        <x:f>F658-G658</x:f>
        <x:v>569771.4100000001</x:v>
      </x:c>
      <x:c r="I658" t="str">
        <x:v>USD</x:v>
      </x:c>
    </x:row>
    <x:row r="659">
      <x:c r="C659" s="45" t="n">
        <x:v>45596</x:v>
      </x:c>
      <x:c r="D659" t="str">
        <x:v>CAOT-2024-2</x:v>
      </x:c>
      <x:c r="E659" t="str">
        <x:v>recoveries</x:v>
      </x:c>
      <x:c r="F659" s="70" t="n">
        <x:f>'Loan tape'!F54</x:f>
        <x:v>972517.74</x:v>
      </x:c>
      <x:c r="G659" s="70" t="n">
        <x:f>'Loan tape'!G54</x:f>
        <x:v>972387.08</x:v>
      </x:c>
      <x:c r="H659" s="70" t="n">
        <x:f>F659-G659</x:f>
        <x:v>130.6600000000326</x:v>
      </x:c>
      <x:c r="I659" t="str">
        <x:v>USD</x:v>
      </x:c>
    </x:row>
    <x:row r="660">
      <x:c r="C660" s="45" t="n">
        <x:v>45626</x:v>
      </x:c>
      <x:c r="D660" t="str">
        <x:v>CAOT-2024-2</x:v>
      </x:c>
      <x:c r="E660" t="str">
        <x:v>outstanding_loan_count</x:v>
      </x:c>
      <x:c r="F660" s="77" t="n">
        <x:f>'Loan tape'!F55</x:f>
        <x:v>68718</x:v>
      </x:c>
      <x:c r="G660" s="77" t="n">
        <x:f>'Loan tape'!G55</x:f>
        <x:v>68718</x:v>
      </x:c>
      <x:c r="H660" s="77" t="n">
        <x:f>F660-G660</x:f>
        <x:v>0</x:v>
      </x:c>
      <x:c r="I660" t="str">
        <x:v>loans</x:v>
      </x:c>
    </x:row>
    <x:row r="661">
      <x:c r="C661" s="45" t="n">
        <x:v>45626</x:v>
      </x:c>
      <x:c r="D661" t="str">
        <x:v>CAOT-2024-2</x:v>
      </x:c>
      <x:c r="E661" t="str">
        <x:v>pool_begin</x:v>
      </x:c>
      <x:c r="F661" s="70" t="n">
        <x:f>'Loan tape'!F56</x:f>
        <x:v>1273002145.97</x:v>
      </x:c>
      <x:c r="G661" s="70" t="n">
        <x:f>'Loan tape'!G56</x:f>
        <x:v>1273005477.74</x:v>
      </x:c>
      <x:c r="H661" s="70" t="n">
        <x:f>F661-G661</x:f>
        <x:v>-3331.7699999809265</x:v>
      </x:c>
      <x:c r="I661" t="str">
        <x:v>USD</x:v>
      </x:c>
    </x:row>
    <x:row r="662">
      <x:c r="C662" s="45" t="n">
        <x:v>45626</x:v>
      </x:c>
      <x:c r="D662" t="str">
        <x:v>CAOT-2024-2</x:v>
      </x:c>
      <x:c r="E662" t="str">
        <x:v>pool_end</x:v>
      </x:c>
      <x:c r="F662" s="70" t="n">
        <x:f>'Loan tape'!F57</x:f>
        <x:v>1230183966.7</x:v>
      </x:c>
      <x:c r="G662" s="70" t="n">
        <x:f>'Loan tape'!G57</x:f>
        <x:v>1230185396.22</x:v>
      </x:c>
      <x:c r="H662" s="70" t="n">
        <x:f>F662-G662</x:f>
        <x:v>-1429.5199999809265</x:v>
      </x:c>
      <x:c r="I662" t="str">
        <x:v>USD</x:v>
      </x:c>
    </x:row>
    <x:row r="663">
      <x:c r="C663" s="45" t="n">
        <x:v>45626</x:v>
      </x:c>
      <x:c r="D663" t="str">
        <x:v>CAOT-2024-2</x:v>
      </x:c>
      <x:c r="E663" t="str">
        <x:v>principal_collected</x:v>
      </x:c>
      <x:c r="F663" s="70" t="n">
        <x:f>'Loan tape'!F58</x:f>
        <x:v>39993327.28</x:v>
      </x:c>
      <x:c r="G663" s="70" t="n">
        <x:f>'Loan tape'!G58</x:f>
        <x:v>39949484.07</x:v>
      </x:c>
      <x:c r="H663" s="70" t="n">
        <x:f>F663-G663</x:f>
        <x:v>43843.210000000894</x:v>
      </x:c>
      <x:c r="I663" t="str">
        <x:v>USD</x:v>
      </x:c>
    </x:row>
    <x:row r="664">
      <x:c r="C664" s="45" t="n">
        <x:v>45626</x:v>
      </x:c>
      <x:c r="D664" t="str">
        <x:v>CAOT-2024-2</x:v>
      </x:c>
      <x:c r="E664" t="str">
        <x:v>interest_collected</x:v>
      </x:c>
      <x:c r="F664" s="70" t="n">
        <x:f>'Loan tape'!F59</x:f>
        <x:v>10702616.78</x:v>
      </x:c>
      <x:c r="G664" s="70" t="n">
        <x:f>'Loan tape'!G59</x:f>
        <x:v>11707201.44</x:v>
      </x:c>
      <x:c r="H664" s="70" t="n">
        <x:f>F664-G664</x:f>
        <x:v>-1004584.6600000001</x:v>
      </x:c>
      <x:c r="I664" t="str">
        <x:v>USD</x:v>
      </x:c>
    </x:row>
    <x:row r="665">
      <x:c r="C665" s="45" t="n">
        <x:v>45626</x:v>
      </x:c>
      <x:c r="D665" t="str">
        <x:v>CAOT-2024-2</x:v>
      </x:c>
      <x:c r="E665" t="str">
        <x:v>gross_chargeoffs_raw</x:v>
      </x:c>
      <x:c r="F665" s="70" t="n">
        <x:f>'Loan tape'!F60</x:f>
        <x:v>3541647.49</x:v>
      </x:c>
      <x:c r="G665" s="70" t="n">
        <x:f>'Loan tape'!G60</x:f>
        <x:v>2870597.45</x:v>
      </x:c>
      <x:c r="H665" s="70" t="n">
        <x:f>F665-G665</x:f>
        <x:v>671050.04</x:v>
      </x:c>
      <x:c r="I665" t="str">
        <x:v>USD</x:v>
      </x:c>
    </x:row>
    <x:row r="666">
      <x:c r="C666" s="45" t="n">
        <x:v>45626</x:v>
      </x:c>
      <x:c r="D666" t="str">
        <x:v>CAOT-2024-2</x:v>
      </x:c>
      <x:c r="E666" t="str">
        <x:v>recoveries</x:v>
      </x:c>
      <x:c r="F666" s="70" t="n">
        <x:f>'Loan tape'!F61</x:f>
        <x:v>970184.05</x:v>
      </x:c>
      <x:c r="G666" s="70" t="n">
        <x:f>'Loan tape'!G61</x:f>
        <x:v>965301.4</x:v>
      </x:c>
      <x:c r="H666" s="70" t="n">
        <x:f>F666-G666</x:f>
        <x:v>4882.650000000023</x:v>
      </x:c>
      <x:c r="I666" t="str">
        <x:v>USD</x:v>
      </x:c>
    </x:row>
    <x:row r="667">
      <x:c r="C667" s="45" t="n">
        <x:v>45657</x:v>
      </x:c>
      <x:c r="D667" t="str">
        <x:v>CAOT-2024-2</x:v>
      </x:c>
      <x:c r="E667" t="str">
        <x:v>outstanding_loan_count</x:v>
      </x:c>
      <x:c r="F667" s="77" t="n">
        <x:f>'Loan tape'!F62</x:f>
        <x:v>67033</x:v>
      </x:c>
      <x:c r="G667" s="77" t="n">
        <x:f>'Loan tape'!G62</x:f>
        <x:v>67032</x:v>
      </x:c>
      <x:c r="H667" s="77" t="n">
        <x:f>F667-G667</x:f>
        <x:v>1</x:v>
      </x:c>
      <x:c r="I667" t="str">
        <x:v>loans</x:v>
      </x:c>
    </x:row>
    <x:row r="668">
      <x:c r="C668" s="45" t="n">
        <x:v>45657</x:v>
      </x:c>
      <x:c r="D668" t="str">
        <x:v>CAOT-2024-2</x:v>
      </x:c>
      <x:c r="E668" t="str">
        <x:v>pool_begin</x:v>
      </x:c>
      <x:c r="F668" s="70" t="n">
        <x:f>'Loan tape'!F63</x:f>
        <x:v>1230183966.7</x:v>
      </x:c>
      <x:c r="G668" s="70" t="n">
        <x:f>'Loan tape'!G63</x:f>
        <x:v>1230185396.22</x:v>
      </x:c>
      <x:c r="H668" s="70" t="n">
        <x:f>F668-G668</x:f>
        <x:v>-1429.5199999809265</x:v>
      </x:c>
      <x:c r="I668" t="str">
        <x:v>USD</x:v>
      </x:c>
    </x:row>
    <x:row r="669">
      <x:c r="C669" s="45" t="n">
        <x:v>45657</x:v>
      </x:c>
      <x:c r="D669" t="str">
        <x:v>CAOT-2024-2</x:v>
      </x:c>
      <x:c r="E669" t="str">
        <x:v>pool_end</x:v>
      </x:c>
      <x:c r="F669" s="70" t="n">
        <x:f>'Loan tape'!F64</x:f>
        <x:v>1188804878.83</x:v>
      </x:c>
      <x:c r="G669" s="70" t="n">
        <x:f>'Loan tape'!G64</x:f>
        <x:v>1188805856.49</x:v>
      </x:c>
      <x:c r="H669" s="70" t="n">
        <x:f>F669-G669</x:f>
        <x:v>-977.6600000858307</x:v>
      </x:c>
      <x:c r="I669" t="str">
        <x:v>USD</x:v>
      </x:c>
    </x:row>
    <x:row r="670">
      <x:c r="C670" s="45" t="n">
        <x:v>45657</x:v>
      </x:c>
      <x:c r="D670" t="str">
        <x:v>CAOT-2024-2</x:v>
      </x:c>
      <x:c r="E670" t="str">
        <x:v>principal_collected</x:v>
      </x:c>
      <x:c r="F670" s="70" t="n">
        <x:f>'Loan tape'!F65</x:f>
        <x:v>38875413.02</x:v>
      </x:c>
      <x:c r="G670" s="70" t="n">
        <x:f>'Loan tape'!G65</x:f>
        <x:v>38871141.55</x:v>
      </x:c>
      <x:c r="H670" s="70" t="n">
        <x:f>F670-G670</x:f>
        <x:v>4271.4700000062585</x:v>
      </x:c>
      <x:c r="I670" t="str">
        <x:v>USD</x:v>
      </x:c>
    </x:row>
    <x:row r="671">
      <x:c r="C671" s="45" t="n">
        <x:v>45657</x:v>
      </x:c>
      <x:c r="D671" t="str">
        <x:v>CAOT-2024-2</x:v>
      </x:c>
      <x:c r="E671" t="str">
        <x:v>interest_collected</x:v>
      </x:c>
      <x:c r="F671" s="70" t="n">
        <x:f>'Loan tape'!F66</x:f>
        <x:v>10331118.84</x:v>
      </x:c>
      <x:c r="G671" s="70" t="n">
        <x:f>'Loan tape'!G66</x:f>
        <x:v>11305451.74</x:v>
      </x:c>
      <x:c r="H671" s="70" t="n">
        <x:f>F671-G671</x:f>
        <x:v>-974332.9000000004</x:v>
      </x:c>
      <x:c r="I671" t="str">
        <x:v>USD</x:v>
      </x:c>
    </x:row>
    <x:row r="672">
      <x:c r="C672" s="45" t="n">
        <x:v>45657</x:v>
      </x:c>
      <x:c r="D672" t="str">
        <x:v>CAOT-2024-2</x:v>
      </x:c>
      <x:c r="E672" t="str">
        <x:v>gross_chargeoffs_raw</x:v>
      </x:c>
      <x:c r="F672" s="70" t="n">
        <x:f>'Loan tape'!F67</x:f>
        <x:v>3420538.51</x:v>
      </x:c>
      <x:c r="G672" s="70" t="n">
        <x:f>'Loan tape'!G67</x:f>
        <x:v>2508398.18</x:v>
      </x:c>
      <x:c r="H672" s="70" t="n">
        <x:f>F672-G672</x:f>
        <x:v>912140.3299999996</x:v>
      </x:c>
      <x:c r="I672" t="str">
        <x:v>USD</x:v>
      </x:c>
    </x:row>
    <x:row r="673">
      <x:c r="C673" s="45" t="n">
        <x:v>45657</x:v>
      </x:c>
      <x:c r="D673" t="str">
        <x:v>CAOT-2024-2</x:v>
      </x:c>
      <x:c r="E673" t="str">
        <x:v>recoveries</x:v>
      </x:c>
      <x:c r="F673" s="70" t="n">
        <x:f>'Loan tape'!F68</x:f>
        <x:v>856683.08</x:v>
      </x:c>
      <x:c r="G673" s="70" t="n">
        <x:f>'Loan tape'!G68</x:f>
        <x:v>852399.9</x:v>
      </x:c>
      <x:c r="H673" s="70" t="n">
        <x:f>F673-G673</x:f>
        <x:v>4283.179999999935</x:v>
      </x:c>
      <x:c r="I673" t="str">
        <x:v>USD</x:v>
      </x:c>
    </x:row>
    <x:row r="674">
      <x:c r="C674" s="45" t="n">
        <x:v>45688</x:v>
      </x:c>
      <x:c r="D674" t="str">
        <x:v>CAOT-2024-2</x:v>
      </x:c>
      <x:c r="E674" t="str">
        <x:v>outstanding_loan_count</x:v>
      </x:c>
      <x:c r="F674" s="77" t="n">
        <x:f>'Loan tape'!F69</x:f>
        <x:v>65219</x:v>
      </x:c>
      <x:c r="G674" s="77" t="n">
        <x:f>'Loan tape'!G69</x:f>
        <x:v>65217</x:v>
      </x:c>
      <x:c r="H674" s="77" t="n">
        <x:f>F674-G674</x:f>
        <x:v>2</x:v>
      </x:c>
      <x:c r="I674" t="str">
        <x:v>loans</x:v>
      </x:c>
    </x:row>
    <x:row r="675">
      <x:c r="C675" s="45" t="n">
        <x:v>45688</x:v>
      </x:c>
      <x:c r="D675" t="str">
        <x:v>CAOT-2024-2</x:v>
      </x:c>
      <x:c r="E675" t="str">
        <x:v>pool_begin</x:v>
      </x:c>
      <x:c r="F675" s="70" t="n">
        <x:f>'Loan tape'!F70</x:f>
        <x:v>1188804878.83</x:v>
      </x:c>
      <x:c r="G675" s="70" t="n">
        <x:f>'Loan tape'!G70</x:f>
        <x:v>1188805856.49</x:v>
      </x:c>
      <x:c r="H675" s="70" t="n">
        <x:f>F675-G675</x:f>
        <x:v>-977.6600000858307</x:v>
      </x:c>
      <x:c r="I675" t="str">
        <x:v>USD</x:v>
      </x:c>
    </x:row>
    <x:row r="676">
      <x:c r="C676" s="45" t="n">
        <x:v>45688</x:v>
      </x:c>
      <x:c r="D676" t="str">
        <x:v>CAOT-2024-2</x:v>
      </x:c>
      <x:c r="E676" t="str">
        <x:v>pool_end</x:v>
      </x:c>
      <x:c r="F676" s="70" t="n">
        <x:f>'Loan tape'!F71</x:f>
        <x:v>1144918088.75</x:v>
      </x:c>
      <x:c r="G676" s="70" t="n">
        <x:f>'Loan tape'!G71</x:f>
        <x:v>1144917128.02</x:v>
      </x:c>
      <x:c r="H676" s="70" t="n">
        <x:f>F676-G676</x:f>
        <x:v>960.7300000190735</x:v>
      </x:c>
      <x:c r="I676" t="str">
        <x:v>USD</x:v>
      </x:c>
    </x:row>
    <x:row r="677">
      <x:c r="C677" s="45" t="n">
        <x:v>45688</x:v>
      </x:c>
      <x:c r="D677" t="str">
        <x:v>CAOT-2024-2</x:v>
      </x:c>
      <x:c r="E677" t="str">
        <x:v>principal_collected</x:v>
      </x:c>
      <x:c r="F677" s="70" t="n">
        <x:f>'Loan tape'!F72</x:f>
        <x:v>41410498.66</x:v>
      </x:c>
      <x:c r="G677" s="70" t="n">
        <x:f>'Loan tape'!G72</x:f>
        <x:v>41410326.79</x:v>
      </x:c>
      <x:c r="H677" s="70" t="n">
        <x:f>F677-G677</x:f>
        <x:v>171.8699999973178</x:v>
      </x:c>
      <x:c r="I677" t="str">
        <x:v>USD</x:v>
      </x:c>
    </x:row>
    <x:row r="678">
      <x:c r="C678" s="45" t="n">
        <x:v>45688</x:v>
      </x:c>
      <x:c r="D678" t="str">
        <x:v>CAOT-2024-2</x:v>
      </x:c>
      <x:c r="E678" t="str">
        <x:v>interest_collected</x:v>
      </x:c>
      <x:c r="F678" s="70" t="n">
        <x:f>'Loan tape'!F73</x:f>
        <x:v>10464932.77</x:v>
      </x:c>
      <x:c r="G678" s="70" t="n">
        <x:f>'Loan tape'!G73</x:f>
        <x:v>11509062.81</x:v>
      </x:c>
      <x:c r="H678" s="70" t="n">
        <x:f>F678-G678</x:f>
        <x:v>-1044130.040000001</x:v>
      </x:c>
      <x:c r="I678" t="str">
        <x:v>USD</x:v>
      </x:c>
    </x:row>
    <x:row r="679">
      <x:c r="C679" s="45" t="n">
        <x:v>45688</x:v>
      </x:c>
      <x:c r="D679" t="str">
        <x:v>CAOT-2024-2</x:v>
      </x:c>
      <x:c r="E679" t="str">
        <x:v>gross_chargeoffs_raw</x:v>
      </x:c>
      <x:c r="F679" s="70" t="n">
        <x:f>'Loan tape'!F74</x:f>
        <x:v>3630754.85</x:v>
      </x:c>
      <x:c r="G679" s="70" t="n">
        <x:f>'Loan tape'!G74</x:f>
        <x:v>2478401.68</x:v>
      </x:c>
      <x:c r="H679" s="70" t="n">
        <x:f>F679-G679</x:f>
        <x:v>1152353.17</x:v>
      </x:c>
      <x:c r="I679" t="str">
        <x:v>USD</x:v>
      </x:c>
    </x:row>
    <x:row r="680">
      <x:c r="C680" s="45" t="n">
        <x:v>45688</x:v>
      </x:c>
      <x:c r="D680" t="str">
        <x:v>CAOT-2024-2</x:v>
      </x:c>
      <x:c r="E680" t="str">
        <x:v>recoveries</x:v>
      </x:c>
      <x:c r="F680" s="70" t="n">
        <x:f>'Loan tape'!F75</x:f>
        <x:v>907076.56</x:v>
      </x:c>
      <x:c r="G680" s="70" t="n">
        <x:f>'Loan tape'!G75</x:f>
        <x:v>893440.69</x:v>
      </x:c>
      <x:c r="H680" s="70" t="n">
        <x:f>F680-G680</x:f>
        <x:v>13635.870000000112</x:v>
      </x:c>
      <x:c r="I680" t="str">
        <x:v>USD</x:v>
      </x:c>
    </x:row>
    <x:row r="681">
      <x:c r="C681" s="45" t="n">
        <x:v>45716</x:v>
      </x:c>
      <x:c r="D681" t="str">
        <x:v>CAOT-2024-2</x:v>
      </x:c>
      <x:c r="E681" t="str">
        <x:v>outstanding_loan_count</x:v>
      </x:c>
      <x:c r="F681" s="77" t="n">
        <x:f>'Loan tape'!F76</x:f>
        <x:v>63525</x:v>
      </x:c>
      <x:c r="G681" s="77" t="n">
        <x:f>'Loan tape'!G76</x:f>
        <x:v>63524</x:v>
      </x:c>
      <x:c r="H681" s="77" t="n">
        <x:f>F681-G681</x:f>
        <x:v>1</x:v>
      </x:c>
      <x:c r="I681" t="str">
        <x:v>loans</x:v>
      </x:c>
    </x:row>
    <x:row r="682">
      <x:c r="C682" s="45" t="n">
        <x:v>45716</x:v>
      </x:c>
      <x:c r="D682" t="str">
        <x:v>CAOT-2024-2</x:v>
      </x:c>
      <x:c r="E682" t="str">
        <x:v>pool_begin</x:v>
      </x:c>
      <x:c r="F682" s="70" t="n">
        <x:f>'Loan tape'!F77</x:f>
        <x:v>1144918088.75</x:v>
      </x:c>
      <x:c r="G682" s="70" t="n">
        <x:f>'Loan tape'!G77</x:f>
        <x:v>1144917128.02</x:v>
      </x:c>
      <x:c r="H682" s="70" t="n">
        <x:f>F682-G682</x:f>
        <x:v>960.7300000190735</x:v>
      </x:c>
      <x:c r="I682" t="str">
        <x:v>USD</x:v>
      </x:c>
    </x:row>
    <x:row r="683">
      <x:c r="C683" s="45" t="n">
        <x:v>45716</x:v>
      </x:c>
      <x:c r="D683" t="str">
        <x:v>CAOT-2024-2</x:v>
      </x:c>
      <x:c r="E683" t="str">
        <x:v>pool_end</x:v>
      </x:c>
      <x:c r="F683" s="70" t="n">
        <x:f>'Loan tape'!F78</x:f>
        <x:v>1104988793.91</x:v>
      </x:c>
      <x:c r="G683" s="70" t="n">
        <x:f>'Loan tape'!G78</x:f>
        <x:v>1104987677.14</x:v>
      </x:c>
      <x:c r="H683" s="70" t="n">
        <x:f>F683-G683</x:f>
        <x:v>1116.7699999809265</x:v>
      </x:c>
      <x:c r="I683" t="str">
        <x:v>USD</x:v>
      </x:c>
    </x:row>
    <x:row r="684">
      <x:c r="C684" s="45" t="n">
        <x:v>45716</x:v>
      </x:c>
      <x:c r="D684" t="str">
        <x:v>CAOT-2024-2</x:v>
      </x:c>
      <x:c r="E684" t="str">
        <x:v>principal_collected</x:v>
      </x:c>
      <x:c r="F684" s="70" t="n">
        <x:f>'Loan tape'!F79</x:f>
        <x:v>37522932.74</x:v>
      </x:c>
      <x:c r="G684" s="70" t="n">
        <x:f>'Loan tape'!G79</x:f>
        <x:v>37479883.3</x:v>
      </x:c>
      <x:c r="H684" s="70" t="n">
        <x:f>F684-G684</x:f>
        <x:v>43049.44000000507</x:v>
      </x:c>
      <x:c r="I684" t="str">
        <x:v>USD</x:v>
      </x:c>
    </x:row>
    <x:row r="685">
      <x:c r="C685" s="45" t="n">
        <x:v>45716</x:v>
      </x:c>
      <x:c r="D685" t="str">
        <x:v>CAOT-2024-2</x:v>
      </x:c>
      <x:c r="E685" t="str">
        <x:v>interest_collected</x:v>
      </x:c>
      <x:c r="F685" s="70" t="n">
        <x:f>'Loan tape'!F80</x:f>
        <x:v>9626510.76</x:v>
      </x:c>
      <x:c r="G685" s="70" t="n">
        <x:f>'Loan tape'!G80</x:f>
        <x:v>10559601.08</x:v>
      </x:c>
      <x:c r="H685" s="70" t="n">
        <x:f>F685-G685</x:f>
        <x:v>-933090.3200000003</x:v>
      </x:c>
      <x:c r="I685" t="str">
        <x:v>USD</x:v>
      </x:c>
    </x:row>
    <x:row r="686">
      <x:c r="C686" s="45" t="n">
        <x:v>45716</x:v>
      </x:c>
      <x:c r="D686" t="str">
        <x:v>CAOT-2024-2</x:v>
      </x:c>
      <x:c r="E686" t="str">
        <x:v>gross_chargeoffs_raw</x:v>
      </x:c>
      <x:c r="F686" s="70" t="n">
        <x:f>'Loan tape'!F81</x:f>
        <x:v>3405301.35</x:v>
      </x:c>
      <x:c r="G686" s="70" t="n">
        <x:f>'Loan tape'!G81</x:f>
        <x:v>2449567.58</x:v>
      </x:c>
      <x:c r="H686" s="70" t="n">
        <x:f>F686-G686</x:f>
        <x:v>955733.77</x:v>
      </x:c>
      <x:c r="I686" t="str">
        <x:v>USD</x:v>
      </x:c>
    </x:row>
    <x:row r="687">
      <x:c r="C687" s="45" t="n">
        <x:v>45716</x:v>
      </x:c>
      <x:c r="D687" t="str">
        <x:v>CAOT-2024-2</x:v>
      </x:c>
      <x:c r="E687" t="str">
        <x:v>recoveries</x:v>
      </x:c>
      <x:c r="F687" s="70" t="n">
        <x:f>'Loan tape'!F82</x:f>
        <x:v>1122423.25</x:v>
      </x:c>
      <x:c r="G687" s="70" t="n">
        <x:f>'Loan tape'!G82</x:f>
        <x:v>1120598.25</x:v>
      </x:c>
      <x:c r="H687" s="70" t="n">
        <x:f>F687-G687</x:f>
        <x:v>1825</x:v>
      </x:c>
      <x:c r="I687" t="str">
        <x:v>USD</x:v>
      </x:c>
    </x:row>
    <x:row r="688">
      <x:c r="C688" s="45" t="n">
        <x:v>45747</x:v>
      </x:c>
      <x:c r="D688" t="str">
        <x:v>CAOT-2024-2</x:v>
      </x:c>
      <x:c r="E688" t="str">
        <x:v>outstanding_loan_count</x:v>
      </x:c>
      <x:c r="F688" s="77" t="n">
        <x:f>'Loan tape'!F83</x:f>
        <x:v>61533</x:v>
      </x:c>
      <x:c r="G688" s="77" t="n">
        <x:f>'Loan tape'!G83</x:f>
        <x:v>61532</x:v>
      </x:c>
      <x:c r="H688" s="77" t="n">
        <x:f>F688-G688</x:f>
        <x:v>1</x:v>
      </x:c>
      <x:c r="I688" t="str">
        <x:v>loans</x:v>
      </x:c>
    </x:row>
    <x:row r="689">
      <x:c r="C689" s="45" t="n">
        <x:v>45747</x:v>
      </x:c>
      <x:c r="D689" t="str">
        <x:v>CAOT-2024-2</x:v>
      </x:c>
      <x:c r="E689" t="str">
        <x:v>pool_begin</x:v>
      </x:c>
      <x:c r="F689" s="70" t="n">
        <x:f>'Loan tape'!F84</x:f>
        <x:v>1104988793.91</x:v>
      </x:c>
      <x:c r="G689" s="70" t="n">
        <x:f>'Loan tape'!G84</x:f>
        <x:v>1104987677.14</x:v>
      </x:c>
      <x:c r="H689" s="70" t="n">
        <x:f>F689-G689</x:f>
        <x:v>1116.7699999809265</x:v>
      </x:c>
      <x:c r="I689" t="str">
        <x:v>USD</x:v>
      </x:c>
    </x:row>
    <x:row r="690">
      <x:c r="C690" s="45" t="n">
        <x:v>45747</x:v>
      </x:c>
      <x:c r="D690" t="str">
        <x:v>CAOT-2024-2</x:v>
      </x:c>
      <x:c r="E690" t="str">
        <x:v>pool_end</x:v>
      </x:c>
      <x:c r="F690" s="70" t="n">
        <x:f>'Loan tape'!F85</x:f>
        <x:v>1061971717.47</x:v>
      </x:c>
      <x:c r="G690" s="70" t="n">
        <x:f>'Loan tape'!G85</x:f>
        <x:v>1061969860.27</x:v>
      </x:c>
      <x:c r="H690" s="70" t="n">
        <x:f>F690-G690</x:f>
        <x:v>1857.2000000476837</x:v>
      </x:c>
      <x:c r="I690" t="str">
        <x:v>USD</x:v>
      </x:c>
    </x:row>
    <x:row r="691">
      <x:c r="C691" s="45" t="n">
        <x:v>45747</x:v>
      </x:c>
      <x:c r="D691" t="str">
        <x:v>CAOT-2024-2</x:v>
      </x:c>
      <x:c r="E691" t="str">
        <x:v>principal_collected</x:v>
      </x:c>
      <x:c r="F691" s="70" t="n">
        <x:f>'Loan tape'!F86</x:f>
        <x:v>40079556.84</x:v>
      </x:c>
      <x:c r="G691" s="70" t="n">
        <x:f>'Loan tape'!G86</x:f>
        <x:v>40081084.15</x:v>
      </x:c>
      <x:c r="H691" s="70" t="n">
        <x:f>F691-G691</x:f>
        <x:v>-1527.3099999949336</x:v>
      </x:c>
      <x:c r="I691" t="str">
        <x:v>USD</x:v>
      </x:c>
    </x:row>
    <x:row r="692">
      <x:c r="C692" s="45" t="n">
        <x:v>45747</x:v>
      </x:c>
      <x:c r="D692" t="str">
        <x:v>CAOT-2024-2</x:v>
      </x:c>
      <x:c r="E692" t="str">
        <x:v>interest_collected</x:v>
      </x:c>
      <x:c r="F692" s="70" t="n">
        <x:f>'Loan tape'!F87</x:f>
        <x:v>8907327.81</x:v>
      </x:c>
      <x:c r="G692" s="70" t="n">
        <x:f>'Loan tape'!G87</x:f>
        <x:v>9856469.13</x:v>
      </x:c>
      <x:c r="H692" s="70" t="n">
        <x:f>F692-G692</x:f>
        <x:v>-949141.3200000003</x:v>
      </x:c>
      <x:c r="I692" t="str">
        <x:v>USD</x:v>
      </x:c>
    </x:row>
    <x:row r="693">
      <x:c r="C693" s="45" t="n">
        <x:v>45747</x:v>
      </x:c>
      <x:c r="D693" t="str">
        <x:v>CAOT-2024-2</x:v>
      </x:c>
      <x:c r="E693" t="str">
        <x:v>gross_chargeoffs_raw</x:v>
      </x:c>
      <x:c r="F693" s="70" t="n">
        <x:f>'Loan tape'!F88</x:f>
        <x:v>3896912.93</x:v>
      </x:c>
      <x:c r="G693" s="70" t="n">
        <x:f>'Loan tape'!G88</x:f>
        <x:v>2936732.72</x:v>
      </x:c>
      <x:c r="H693" s="70" t="n">
        <x:f>F693-G693</x:f>
        <x:v>960180.21</x:v>
      </x:c>
      <x:c r="I693" t="str">
        <x:v>USD</x:v>
      </x:c>
    </x:row>
    <x:row r="694">
      <x:c r="C694" s="45" t="n">
        <x:v>45747</x:v>
      </x:c>
      <x:c r="D694" t="str">
        <x:v>CAOT-2024-2</x:v>
      </x:c>
      <x:c r="E694" t="str">
        <x:v>recoveries</x:v>
      </x:c>
      <x:c r="F694" s="70" t="n">
        <x:f>'Loan tape'!F89</x:f>
        <x:v>914389.28</x:v>
      </x:c>
      <x:c r="G694" s="70" t="n">
        <x:f>'Loan tape'!G89</x:f>
        <x:v>914814.28</x:v>
      </x:c>
      <x:c r="H694" s="70" t="n">
        <x:f>F694-G694</x:f>
        <x:v>-425</x:v>
      </x:c>
      <x:c r="I694" t="str">
        <x:v>USD</x:v>
      </x:c>
    </x:row>
    <x:row r="695">
      <x:c r="C695" s="45" t="n">
        <x:v>45777</x:v>
      </x:c>
      <x:c r="D695" t="str">
        <x:v>CAOT-2024-2</x:v>
      </x:c>
      <x:c r="E695" t="str">
        <x:v>outstanding_loan_count</x:v>
      </x:c>
      <x:c r="F695" s="77" t="n">
        <x:f>'Loan tape'!F90</x:f>
        <x:v>59605</x:v>
      </x:c>
      <x:c r="G695" s="77" t="n">
        <x:f>'Loan tape'!G90</x:f>
        <x:v>59604</x:v>
      </x:c>
      <x:c r="H695" s="77" t="n">
        <x:f>F695-G695</x:f>
        <x:v>1</x:v>
      </x:c>
      <x:c r="I695" t="str">
        <x:v>loans</x:v>
      </x:c>
    </x:row>
    <x:row r="696">
      <x:c r="C696" s="45" t="n">
        <x:v>45777</x:v>
      </x:c>
      <x:c r="D696" t="str">
        <x:v>CAOT-2024-2</x:v>
      </x:c>
      <x:c r="E696" t="str">
        <x:v>pool_begin</x:v>
      </x:c>
      <x:c r="F696" s="70" t="n">
        <x:f>'Loan tape'!F91</x:f>
        <x:v>1061971717.47</x:v>
      </x:c>
      <x:c r="G696" s="70" t="n">
        <x:f>'Loan tape'!G91</x:f>
        <x:v>1061969860.27</x:v>
      </x:c>
      <x:c r="H696" s="70" t="n">
        <x:f>F696-G696</x:f>
        <x:v>1857.2000000476837</x:v>
      </x:c>
      <x:c r="I696" t="str">
        <x:v>USD</x:v>
      </x:c>
    </x:row>
    <x:row r="697">
      <x:c r="C697" s="45" t="n">
        <x:v>45777</x:v>
      </x:c>
      <x:c r="D697" t="str">
        <x:v>CAOT-2024-2</x:v>
      </x:c>
      <x:c r="E697" t="str">
        <x:v>pool_end</x:v>
      </x:c>
      <x:c r="F697" s="70" t="n">
        <x:f>'Loan tape'!F92</x:f>
        <x:v>1022067374.58</x:v>
      </x:c>
      <x:c r="G697" s="70" t="n">
        <x:f>'Loan tape'!G92</x:f>
        <x:v>1022064165.45</x:v>
      </x:c>
      <x:c r="H697" s="70" t="n">
        <x:f>F697-G697</x:f>
        <x:v>3209.1299999952316</x:v>
      </x:c>
      <x:c r="I697" t="str">
        <x:v>USD</x:v>
      </x:c>
    </x:row>
    <x:row r="698">
      <x:c r="C698" s="45" t="n">
        <x:v>45777</x:v>
      </x:c>
      <x:c r="D698" t="str">
        <x:v>CAOT-2024-2</x:v>
      </x:c>
      <x:c r="E698" t="str">
        <x:v>principal_collected</x:v>
      </x:c>
      <x:c r="F698" s="70" t="n">
        <x:f>'Loan tape'!F93</x:f>
        <x:v>37007298.16</x:v>
      </x:c>
      <x:c r="G698" s="70" t="n">
        <x:f>'Loan tape'!G93</x:f>
        <x:v>37031474.38</x:v>
      </x:c>
      <x:c r="H698" s="70" t="n">
        <x:f>F698-G698</x:f>
        <x:v>-24176.22000000626</x:v>
      </x:c>
      <x:c r="I698" t="str">
        <x:v>USD</x:v>
      </x:c>
    </x:row>
    <x:row r="699">
      <x:c r="C699" s="45" t="n">
        <x:v>45777</x:v>
      </x:c>
      <x:c r="D699" t="str">
        <x:v>CAOT-2024-2</x:v>
      </x:c>
      <x:c r="E699" t="str">
        <x:v>interest_collected</x:v>
      </x:c>
      <x:c r="F699" s="70" t="n">
        <x:f>'Loan tape'!F94</x:f>
        <x:v>8787756.78</x:v>
      </x:c>
      <x:c r="G699" s="70" t="n">
        <x:f>'Loan tape'!G94</x:f>
        <x:v>9693701.23</x:v>
      </x:c>
      <x:c r="H699" s="70" t="n">
        <x:f>F699-G699</x:f>
        <x:v>-905944.4500000011</x:v>
      </x:c>
      <x:c r="I699" t="str">
        <x:v>USD</x:v>
      </x:c>
    </x:row>
    <x:row r="700">
      <x:c r="C700" s="45" t="n">
        <x:v>45777</x:v>
      </x:c>
      <x:c r="D700" t="str">
        <x:v>CAOT-2024-2</x:v>
      </x:c>
      <x:c r="E700" t="str">
        <x:v>gross_chargeoffs_raw</x:v>
      </x:c>
      <x:c r="F700" s="70" t="n">
        <x:f>'Loan tape'!F95</x:f>
        <x:v>3815902.68</x:v>
      </x:c>
      <x:c r="G700" s="70" t="n">
        <x:f>'Loan tape'!G95</x:f>
        <x:v>2874220.44</x:v>
      </x:c>
      <x:c r="H700" s="70" t="n">
        <x:f>F700-G700</x:f>
        <x:v>941682.2400000002</x:v>
      </x:c>
      <x:c r="I700" t="str">
        <x:v>USD</x:v>
      </x:c>
    </x:row>
    <x:row r="701">
      <x:c r="C701" s="45" t="n">
        <x:v>45777</x:v>
      </x:c>
      <x:c r="D701" t="str">
        <x:v>CAOT-2024-2</x:v>
      </x:c>
      <x:c r="E701" t="str">
        <x:v>recoveries</x:v>
      </x:c>
      <x:c r="F701" s="70" t="n">
        <x:f>'Loan tape'!F96</x:f>
        <x:v>1219592.84</x:v>
      </x:c>
      <x:c r="G701" s="70" t="n">
        <x:f>'Loan tape'!G96</x:f>
        <x:v>1218605.34</x:v>
      </x:c>
      <x:c r="H701" s="70" t="n">
        <x:f>F701-G701</x:f>
        <x:v>987.5</x:v>
      </x:c>
      <x:c r="I701" t="str">
        <x:v>USD</x:v>
      </x:c>
    </x:row>
    <x:row r="702">
      <x:c r="C702" s="45" t="n">
        <x:v>45808</x:v>
      </x:c>
      <x:c r="D702" t="str">
        <x:v>CAOT-2024-2</x:v>
      </x:c>
      <x:c r="E702" t="str">
        <x:v>outstanding_loan_count</x:v>
      </x:c>
      <x:c r="F702" s="77" t="n">
        <x:f>'Loan tape'!F97</x:f>
        <x:v>57823</x:v>
      </x:c>
      <x:c r="G702" s="77" t="n">
        <x:f>'Loan tape'!G97</x:f>
        <x:v>57823</x:v>
      </x:c>
      <x:c r="H702" s="77" t="n">
        <x:f>F702-G702</x:f>
        <x:v>0</x:v>
      </x:c>
      <x:c r="I702" t="str">
        <x:v>loans</x:v>
      </x:c>
    </x:row>
    <x:row r="703">
      <x:c r="C703" s="45" t="n">
        <x:v>45808</x:v>
      </x:c>
      <x:c r="D703" t="str">
        <x:v>CAOT-2024-2</x:v>
      </x:c>
      <x:c r="E703" t="str">
        <x:v>pool_begin</x:v>
      </x:c>
      <x:c r="F703" s="70" t="n">
        <x:f>'Loan tape'!F98</x:f>
        <x:v>1022067374.58</x:v>
      </x:c>
      <x:c r="G703" s="70" t="n">
        <x:f>'Loan tape'!G98</x:f>
        <x:v>1022064165.45</x:v>
      </x:c>
      <x:c r="H703" s="70" t="n">
        <x:f>F703-G703</x:f>
        <x:v>3209.1299999952316</x:v>
      </x:c>
      <x:c r="I703" t="str">
        <x:v>USD</x:v>
      </x:c>
    </x:row>
    <x:row r="704">
      <x:c r="C704" s="45" t="n">
        <x:v>45808</x:v>
      </x:c>
      <x:c r="D704" t="str">
        <x:v>CAOT-2024-2</x:v>
      </x:c>
      <x:c r="E704" t="str">
        <x:v>pool_end</x:v>
      </x:c>
      <x:c r="F704" s="70" t="n">
        <x:f>'Loan tape'!F99</x:f>
        <x:v>983630218.08</x:v>
      </x:c>
      <x:c r="G704" s="70" t="n">
        <x:f>'Loan tape'!G99</x:f>
        <x:v>983625997.02</x:v>
      </x:c>
      <x:c r="H704" s="70" t="n">
        <x:f>F704-G704</x:f>
        <x:v>4221.060000061989</x:v>
      </x:c>
      <x:c r="I704" t="str">
        <x:v>USD</x:v>
      </x:c>
    </x:row>
    <x:row r="705">
      <x:c r="C705" s="45" t="n">
        <x:v>45808</x:v>
      </x:c>
      <x:c r="D705" t="str">
        <x:v>CAOT-2024-2</x:v>
      </x:c>
      <x:c r="E705" t="str">
        <x:v>principal_collected</x:v>
      </x:c>
      <x:c r="F705" s="70" t="n">
        <x:f>'Loan tape'!F100</x:f>
        <x:v>35623710.21</x:v>
      </x:c>
      <x:c r="G705" s="70" t="n">
        <x:f>'Loan tape'!G100</x:f>
        <x:v>35600189.49</x:v>
      </x:c>
      <x:c r="H705" s="70" t="n">
        <x:f>F705-G705</x:f>
        <x:v>23520.719999998808</x:v>
      </x:c>
      <x:c r="I705" t="str">
        <x:v>USD</x:v>
      </x:c>
    </x:row>
    <x:row r="706">
      <x:c r="C706" s="45" t="n">
        <x:v>45808</x:v>
      </x:c>
      <x:c r="D706" t="str">
        <x:v>CAOT-2024-2</x:v>
      </x:c>
      <x:c r="E706" t="str">
        <x:v>interest_collected</x:v>
      </x:c>
      <x:c r="F706" s="70" t="n">
        <x:f>'Loan tape'!F101</x:f>
        <x:v>8690976.19</x:v>
      </x:c>
      <x:c r="G706" s="70" t="n">
        <x:f>'Loan tape'!G101</x:f>
        <x:v>9614254.21</x:v>
      </x:c>
      <x:c r="H706" s="70" t="n">
        <x:f>F706-G706</x:f>
        <x:v>-923278.0200000014</x:v>
      </x:c>
      <x:c r="I706" t="str">
        <x:v>USD</x:v>
      </x:c>
    </x:row>
    <x:row r="707">
      <x:c r="C707" s="45" t="n">
        <x:v>45808</x:v>
      </x:c>
      <x:c r="D707" t="str">
        <x:v>CAOT-2024-2</x:v>
      </x:c>
      <x:c r="E707" t="str">
        <x:v>gross_chargeoffs_raw</x:v>
      </x:c>
      <x:c r="F707" s="70" t="n">
        <x:f>'Loan tape'!F102</x:f>
        <x:v>3659541.74</x:v>
      </x:c>
      <x:c r="G707" s="70" t="n">
        <x:f>'Loan tape'!G102</x:f>
        <x:v>2837978.94</x:v>
      </x:c>
      <x:c r="H707" s="70" t="n">
        <x:f>F707-G707</x:f>
        <x:v>821562.8000000003</x:v>
      </x:c>
      <x:c r="I707" t="str">
        <x:v>USD</x:v>
      </x:c>
    </x:row>
    <x:row r="708">
      <x:c r="C708" s="45" t="n">
        <x:v>45808</x:v>
      </x:c>
      <x:c r="D708" t="str">
        <x:v>CAOT-2024-2</x:v>
      </x:c>
      <x:c r="E708" t="str">
        <x:v>recoveries</x:v>
      </x:c>
      <x:c r="F708" s="70" t="n">
        <x:f>'Loan tape'!F103</x:f>
        <x:v>880508.19</x:v>
      </x:c>
      <x:c r="G708" s="70" t="n">
        <x:f>'Loan tape'!G103</x:f>
        <x:v>883959.49</x:v>
      </x:c>
      <x:c r="H708" s="70" t="n">
        <x:f>F708-G708</x:f>
        <x:v>-3451.3000000000466</x:v>
      </x:c>
      <x:c r="I708" t="str">
        <x:v>USD</x:v>
      </x:c>
    </x:row>
    <x:row r="709">
      <x:c r="C709" s="45" t="n">
        <x:v>45838</x:v>
      </x:c>
      <x:c r="D709" t="str">
        <x:v>CAOT-2024-2</x:v>
      </x:c>
      <x:c r="E709" t="str">
        <x:v>outstanding_loan_count</x:v>
      </x:c>
      <x:c r="F709" s="77" t="n">
        <x:f>'Loan tape'!F104</x:f>
        <x:v>56042</x:v>
      </x:c>
      <x:c r="G709" s="77" t="n">
        <x:f>'Loan tape'!G104</x:f>
        <x:v>56042</x:v>
      </x:c>
      <x:c r="H709" s="77" t="n">
        <x:f>F709-G709</x:f>
        <x:v>0</x:v>
      </x:c>
      <x:c r="I709" t="str">
        <x:v>loans</x:v>
      </x:c>
    </x:row>
    <x:row r="710">
      <x:c r="C710" s="45" t="n">
        <x:v>45838</x:v>
      </x:c>
      <x:c r="D710" t="str">
        <x:v>CAOT-2024-2</x:v>
      </x:c>
      <x:c r="E710" t="str">
        <x:v>pool_begin</x:v>
      </x:c>
      <x:c r="F710" s="70" t="n">
        <x:f>'Loan tape'!F105</x:f>
        <x:v>983630218.08</x:v>
      </x:c>
      <x:c r="G710" s="70" t="n">
        <x:f>'Loan tape'!G105</x:f>
        <x:v>983625997.02</x:v>
      </x:c>
      <x:c r="H710" s="70" t="n">
        <x:f>F710-G710</x:f>
        <x:v>4221.060000061989</x:v>
      </x:c>
      <x:c r="I710" t="str">
        <x:v>USD</x:v>
      </x:c>
    </x:row>
    <x:row r="711">
      <x:c r="C711" s="45" t="n">
        <x:v>45838</x:v>
      </x:c>
      <x:c r="D711" t="str">
        <x:v>CAOT-2024-2</x:v>
      </x:c>
      <x:c r="E711" t="str">
        <x:v>pool_end</x:v>
      </x:c>
      <x:c r="F711" s="70" t="n">
        <x:f>'Loan tape'!F106</x:f>
        <x:v>946701375.47</x:v>
      </x:c>
      <x:c r="G711" s="70" t="n">
        <x:f>'Loan tape'!G106</x:f>
        <x:v>946692553.77</x:v>
      </x:c>
      <x:c r="H711" s="70" t="n">
        <x:f>F711-G711</x:f>
        <x:v>8821.700000047684</x:v>
      </x:c>
      <x:c r="I711" t="str">
        <x:v>USD</x:v>
      </x:c>
    </x:row>
    <x:row r="712">
      <x:c r="C712" s="45" t="n">
        <x:v>45838</x:v>
      </x:c>
      <x:c r="D712" t="str">
        <x:v>CAOT-2024-2</x:v>
      </x:c>
      <x:c r="E712" t="str">
        <x:v>principal_collected</x:v>
      </x:c>
      <x:c r="F712" s="70" t="n">
        <x:f>'Loan tape'!F107</x:f>
        <x:v>33663339.8</x:v>
      </x:c>
      <x:c r="G712" s="70" t="n">
        <x:f>'Loan tape'!G107</x:f>
        <x:v>33660856.26</x:v>
      </x:c>
      <x:c r="H712" s="70" t="n">
        <x:f>F712-G712</x:f>
        <x:v>2483.539999999106</x:v>
      </x:c>
      <x:c r="I712" t="str">
        <x:v>USD</x:v>
      </x:c>
    </x:row>
    <x:row r="713">
      <x:c r="C713" s="45" t="n">
        <x:v>45838</x:v>
      </x:c>
      <x:c r="D713" t="str">
        <x:v>CAOT-2024-2</x:v>
      </x:c>
      <x:c r="E713" t="str">
        <x:v>interest_collected</x:v>
      </x:c>
      <x:c r="F713" s="70" t="n">
        <x:f>'Loan tape'!F108</x:f>
        <x:v>8312256.1</x:v>
      </x:c>
      <x:c r="G713" s="70" t="n">
        <x:f>'Loan tape'!G108</x:f>
        <x:v>9177389.23</x:v>
      </x:c>
      <x:c r="H713" s="70" t="n">
        <x:f>F713-G713</x:f>
        <x:v>-865133.1300000008</x:v>
      </x:c>
      <x:c r="I713" t="str">
        <x:v>USD</x:v>
      </x:c>
    </x:row>
    <x:row r="714">
      <x:c r="C714" s="45" t="n">
        <x:v>45838</x:v>
      </x:c>
      <x:c r="D714" t="str">
        <x:v>CAOT-2024-2</x:v>
      </x:c>
      <x:c r="E714" t="str">
        <x:v>gross_chargeoffs_raw</x:v>
      </x:c>
      <x:c r="F714" s="70" t="n">
        <x:f>'Loan tape'!F109</x:f>
        <x:v>4750953.17</x:v>
      </x:c>
      <x:c r="G714" s="70" t="n">
        <x:f>'Loan tape'!G109</x:f>
        <x:v>3272586.99</x:v>
      </x:c>
      <x:c r="H714" s="70" t="n">
        <x:f>F714-G714</x:f>
        <x:v>1478366.1799999997</x:v>
      </x:c>
      <x:c r="I714" t="str">
        <x:v>USD</x:v>
      </x:c>
    </x:row>
    <x:row r="715">
      <x:c r="C715" s="45" t="n">
        <x:v>45838</x:v>
      </x:c>
      <x:c r="D715" t="str">
        <x:v>CAOT-2024-2</x:v>
      </x:c>
      <x:c r="E715" t="str">
        <x:v>recoveries</x:v>
      </x:c>
      <x:c r="F715" s="70" t="n">
        <x:f>'Loan tape'!F110</x:f>
        <x:v>1324038.79</x:v>
      </x:c>
      <x:c r="G715" s="70" t="n">
        <x:f>'Loan tape'!G110</x:f>
        <x:v>1324210.67</x:v>
      </x:c>
      <x:c r="H715" s="70" t="n">
        <x:f>F715-G715</x:f>
        <x:v>-171.87999999988824</x:v>
      </x:c>
      <x:c r="I715" t="str">
        <x:v>USD</x:v>
      </x:c>
    </x:row>
    <x:row r="716">
      <x:c r="C716" s="45" t="n">
        <x:v>45869</x:v>
      </x:c>
      <x:c r="D716" t="str">
        <x:v>CAOT-2024-2</x:v>
      </x:c>
      <x:c r="E716" t="str">
        <x:v>outstanding_loan_count</x:v>
      </x:c>
      <x:c r="F716" s="77" t="n">
        <x:f>'Loan tape'!F111</x:f>
        <x:v>54248</x:v>
      </x:c>
      <x:c r="G716" s="77" t="n">
        <x:f>'Loan tape'!G111</x:f>
        <x:v>54246</x:v>
      </x:c>
      <x:c r="H716" s="77" t="n">
        <x:f>F716-G716</x:f>
        <x:v>2</x:v>
      </x:c>
      <x:c r="I716" t="str">
        <x:v>loans</x:v>
      </x:c>
    </x:row>
    <x:row r="717">
      <x:c r="C717" s="45" t="n">
        <x:v>45869</x:v>
      </x:c>
      <x:c r="D717" t="str">
        <x:v>CAOT-2024-2</x:v>
      </x:c>
      <x:c r="E717" t="str">
        <x:v>pool_begin</x:v>
      </x:c>
      <x:c r="F717" s="70" t="n">
        <x:f>'Loan tape'!F112</x:f>
        <x:v>946701375.47</x:v>
      </x:c>
      <x:c r="G717" s="70" t="n">
        <x:f>'Loan tape'!G112</x:f>
        <x:v>946692553.77</x:v>
      </x:c>
      <x:c r="H717" s="70" t="n">
        <x:f>F717-G717</x:f>
        <x:v>8821.700000047684</x:v>
      </x:c>
      <x:c r="I717" t="str">
        <x:v>USD</x:v>
      </x:c>
    </x:row>
    <x:row r="718">
      <x:c r="C718" s="45" t="n">
        <x:v>45869</x:v>
      </x:c>
      <x:c r="D718" t="str">
        <x:v>CAOT-2024-2</x:v>
      </x:c>
      <x:c r="E718" t="str">
        <x:v>pool_end</x:v>
      </x:c>
      <x:c r="F718" s="70" t="n">
        <x:f>'Loan tape'!F113</x:f>
        <x:v>907467862.89</x:v>
      </x:c>
      <x:c r="G718" s="70" t="n">
        <x:f>'Loan tape'!G113</x:f>
        <x:v>907461735.19</x:v>
      </x:c>
      <x:c r="H718" s="70" t="n">
        <x:f>F718-G718</x:f>
        <x:v>6127.699999928474</x:v>
      </x:c>
      <x:c r="I718" t="str">
        <x:v>USD</x:v>
      </x:c>
    </x:row>
    <x:row r="719">
      <x:c r="C719" s="45" t="n">
        <x:v>45869</x:v>
      </x:c>
      <x:c r="D719" t="str">
        <x:v>CAOT-2024-2</x:v>
      </x:c>
      <x:c r="E719" t="str">
        <x:v>principal_collected</x:v>
      </x:c>
      <x:c r="F719" s="70" t="n">
        <x:f>'Loan tape'!F114</x:f>
        <x:v>36395798.74</x:v>
      </x:c>
      <x:c r="G719" s="70" t="n">
        <x:f>'Loan tape'!G114</x:f>
        <x:v>36379147.69</x:v>
      </x:c>
      <x:c r="H719" s="70" t="n">
        <x:f>F719-G719</x:f>
        <x:v>16651.05000000447</x:v>
      </x:c>
      <x:c r="I719" t="str">
        <x:v>USD</x:v>
      </x:c>
    </x:row>
    <x:row r="720">
      <x:c r="C720" s="45" t="n">
        <x:v>45869</x:v>
      </x:c>
      <x:c r="D720" t="str">
        <x:v>CAOT-2024-2</x:v>
      </x:c>
      <x:c r="E720" t="str">
        <x:v>interest_collected</x:v>
      </x:c>
      <x:c r="F720" s="70" t="n">
        <x:f>'Loan tape'!F115</x:f>
        <x:v>8020048.55</x:v>
      </x:c>
      <x:c r="G720" s="70" t="n">
        <x:f>'Loan tape'!G115</x:f>
        <x:v>8865312.64</x:v>
      </x:c>
      <x:c r="H720" s="70" t="n">
        <x:f>F720-G720</x:f>
        <x:v>-845264.0900000008</x:v>
      </x:c>
      <x:c r="I720" t="str">
        <x:v>USD</x:v>
      </x:c>
    </x:row>
    <x:row r="721">
      <x:c r="C721" s="45" t="n">
        <x:v>45869</x:v>
      </x:c>
      <x:c r="D721" t="str">
        <x:v>CAOT-2024-2</x:v>
      </x:c>
      <x:c r="E721" t="str">
        <x:v>gross_chargeoffs_raw</x:v>
      </x:c>
      <x:c r="F721" s="70" t="n">
        <x:f>'Loan tape'!F116</x:f>
        <x:v>4145106.45</x:v>
      </x:c>
      <x:c r="G721" s="70" t="n">
        <x:f>'Loan tape'!G116</x:f>
        <x:v>2851670.89</x:v>
      </x:c>
      <x:c r="H721" s="70" t="n">
        <x:f>F721-G721</x:f>
        <x:v>1293435.56</x:v>
      </x:c>
      <x:c r="I721" t="str">
        <x:v>USD</x:v>
      </x:c>
    </x:row>
    <x:row r="722">
      <x:c r="C722" s="45" t="n">
        <x:v>45869</x:v>
      </x:c>
      <x:c r="D722" t="str">
        <x:v>CAOT-2024-2</x:v>
      </x:c>
      <x:c r="E722" t="str">
        <x:v>recoveries</x:v>
      </x:c>
      <x:c r="F722" s="70" t="n">
        <x:f>'Loan tape'!F117</x:f>
        <x:v>1340252.97</x:v>
      </x:c>
      <x:c r="G722" s="70" t="n">
        <x:f>'Loan tape'!G117</x:f>
        <x:v>1335746.54</x:v>
      </x:c>
      <x:c r="H722" s="70" t="n">
        <x:f>F722-G722</x:f>
        <x:v>4506.429999999935</x:v>
      </x:c>
      <x:c r="I722" t="str">
        <x:v>USD</x:v>
      </x:c>
    </x:row>
    <x:row r="723">
      <x:c r="C723" s="45" t="n">
        <x:v>45900</x:v>
      </x:c>
      <x:c r="D723" t="str">
        <x:v>CAOT-2024-2</x:v>
      </x:c>
      <x:c r="E723" t="str">
        <x:v>outstanding_loan_count</x:v>
      </x:c>
      <x:c r="F723" s="77" t="n">
        <x:f>'Loan tape'!F118</x:f>
        <x:v>52434</x:v>
      </x:c>
      <x:c r="G723" s="77" t="n">
        <x:f>'Loan tape'!G118</x:f>
        <x:v>52434</x:v>
      </x:c>
      <x:c r="H723" s="77" t="n">
        <x:f>F723-G723</x:f>
        <x:v>0</x:v>
      </x:c>
      <x:c r="I723" t="str">
        <x:v>loans</x:v>
      </x:c>
    </x:row>
    <x:row r="724">
      <x:c r="C724" s="45" t="n">
        <x:v>45900</x:v>
      </x:c>
      <x:c r="D724" t="str">
        <x:v>CAOT-2024-2</x:v>
      </x:c>
      <x:c r="E724" t="str">
        <x:v>pool_begin</x:v>
      </x:c>
      <x:c r="F724" s="70" t="n">
        <x:f>'Loan tape'!F119</x:f>
        <x:v>907467862.89</x:v>
      </x:c>
      <x:c r="G724" s="70" t="n">
        <x:f>'Loan tape'!G119</x:f>
        <x:v>907461735.19</x:v>
      </x:c>
      <x:c r="H724" s="70" t="n">
        <x:f>F724-G724</x:f>
        <x:v>6127.699999928474</x:v>
      </x:c>
      <x:c r="I724" t="str">
        <x:v>USD</x:v>
      </x:c>
    </x:row>
    <x:row r="725">
      <x:c r="C725" s="45" t="n">
        <x:v>45900</x:v>
      </x:c>
      <x:c r="D725" t="str">
        <x:v>CAOT-2024-2</x:v>
      </x:c>
      <x:c r="E725" t="str">
        <x:v>pool_end</x:v>
      </x:c>
      <x:c r="F725" s="70" t="n">
        <x:f>'Loan tape'!F120</x:f>
        <x:v>870800856.74</x:v>
      </x:c>
      <x:c r="G725" s="70" t="n">
        <x:f>'Loan tape'!G120</x:f>
        <x:v>870792107.85</x:v>
      </x:c>
      <x:c r="H725" s="70" t="n">
        <x:f>F725-G725</x:f>
        <x:v>8748.889999985695</x:v>
      </x:c>
      <x:c r="I725" t="str">
        <x:v>USD</x:v>
      </x:c>
    </x:row>
    <x:row r="726">
      <x:c r="C726" s="45" t="n">
        <x:v>45900</x:v>
      </x:c>
      <x:c r="D726" t="str">
        <x:v>CAOT-2024-2</x:v>
      </x:c>
      <x:c r="E726" t="str">
        <x:v>principal_collected</x:v>
      </x:c>
      <x:c r="F726" s="70" t="n">
        <x:f>'Loan tape'!F121</x:f>
        <x:v>33596751.6</x:v>
      </x:c>
      <x:c r="G726" s="70" t="n">
        <x:f>'Loan tape'!G121</x:f>
        <x:v>33620743.89</x:v>
      </x:c>
      <x:c r="H726" s="70" t="n">
        <x:f>F726-G726</x:f>
        <x:v>-23992.289999999106</x:v>
      </x:c>
      <x:c r="I726" t="str">
        <x:v>USD</x:v>
      </x:c>
    </x:row>
    <x:row r="727">
      <x:c r="C727" s="45" t="n">
        <x:v>45900</x:v>
      </x:c>
      <x:c r="D727" t="str">
        <x:v>CAOT-2024-2</x:v>
      </x:c>
      <x:c r="E727" t="str">
        <x:v>interest_collected</x:v>
      </x:c>
      <x:c r="F727" s="70" t="n">
        <x:f>'Loan tape'!F122</x:f>
        <x:v>7870922.89</x:v>
      </x:c>
      <x:c r="G727" s="70" t="n">
        <x:f>'Loan tape'!G122</x:f>
        <x:v>8706474.64</x:v>
      </x:c>
      <x:c r="H727" s="70" t="n">
        <x:f>F727-G727</x:f>
        <x:v>-835551.7500000009</x:v>
      </x:c>
      <x:c r="I727" t="str">
        <x:v>USD</x:v>
      </x:c>
    </x:row>
    <x:row r="728">
      <x:c r="C728" s="45" t="n">
        <x:v>45900</x:v>
      </x:c>
      <x:c r="D728" t="str">
        <x:v>CAOT-2024-2</x:v>
      </x:c>
      <x:c r="E728" t="str">
        <x:v>gross_chargeoffs_raw</x:v>
      </x:c>
      <x:c r="F728" s="70" t="n">
        <x:f>'Loan tape'!F123</x:f>
        <x:v>4214412.55</x:v>
      </x:c>
      <x:c r="G728" s="70" t="n">
        <x:f>'Loan tape'!G123</x:f>
        <x:v>3048883.45</x:v>
      </x:c>
      <x:c r="H728" s="70" t="n">
        <x:f>F728-G728</x:f>
        <x:v>1165529.0999999996</x:v>
      </x:c>
      <x:c r="I728" t="str">
        <x:v>USD</x:v>
      </x:c>
    </x:row>
    <x:row r="729">
      <x:c r="C729" s="45" t="n">
        <x:v>45900</x:v>
      </x:c>
      <x:c r="D729" t="str">
        <x:v>CAOT-2024-2</x:v>
      </x:c>
      <x:c r="E729" t="str">
        <x:v>recoveries</x:v>
      </x:c>
      <x:c r="F729" s="70" t="n">
        <x:f>'Loan tape'!F124</x:f>
        <x:v>1138012.24</x:v>
      </x:c>
      <x:c r="G729" s="70" t="n">
        <x:f>'Loan tape'!G124</x:f>
        <x:v>1135763.41</x:v>
      </x:c>
      <x:c r="H729" s="70" t="n">
        <x:f>F729-G729</x:f>
        <x:v>2248.8300000000745</x:v>
      </x:c>
      <x:c r="I729" t="str">
        <x:v>USD</x:v>
      </x:c>
    </x:row>
    <x:row r="730">
      <x:c r="C730" s="45" t="n">
        <x:v>45930</x:v>
      </x:c>
      <x:c r="D730" t="str">
        <x:v>CAOT-2024-2</x:v>
      </x:c>
      <x:c r="E730" t="str">
        <x:v>outstanding_loan_count</x:v>
      </x:c>
      <x:c r="F730" s="77" t="n">
        <x:f>'Loan tape'!F125</x:f>
        <x:v>50535</x:v>
      </x:c>
      <x:c r="G730" s="77" t="n">
        <x:f>'Loan tape'!G125</x:f>
        <x:v>50535</x:v>
      </x:c>
      <x:c r="H730" s="77" t="n">
        <x:f>F730-G730</x:f>
        <x:v>0</x:v>
      </x:c>
      <x:c r="I730" t="str">
        <x:v>loans</x:v>
      </x:c>
    </x:row>
    <x:row r="731">
      <x:c r="C731" s="45" t="n">
        <x:v>45930</x:v>
      </x:c>
      <x:c r="D731" t="str">
        <x:v>CAOT-2024-2</x:v>
      </x:c>
      <x:c r="E731" t="str">
        <x:v>pool_begin</x:v>
      </x:c>
      <x:c r="F731" s="70" t="n">
        <x:f>'Loan tape'!F126</x:f>
        <x:v>870800856.74</x:v>
      </x:c>
      <x:c r="G731" s="70" t="n">
        <x:f>'Loan tape'!G126</x:f>
        <x:v>870792107.85</x:v>
      </x:c>
      <x:c r="H731" s="70" t="n">
        <x:f>F731-G731</x:f>
        <x:v>8748.889999985695</x:v>
      </x:c>
      <x:c r="I731" t="str">
        <x:v>USD</x:v>
      </x:c>
    </x:row>
    <x:row r="732">
      <x:c r="C732" s="45" t="n">
        <x:v>45930</x:v>
      </x:c>
      <x:c r="D732" t="str">
        <x:v>CAOT-2024-2</x:v>
      </x:c>
      <x:c r="E732" t="str">
        <x:v>pool_end</x:v>
      </x:c>
      <x:c r="F732" s="70" t="n">
        <x:f>'Loan tape'!F127</x:f>
        <x:v>837480429.07</x:v>
      </x:c>
      <x:c r="G732" s="70" t="n">
        <x:f>'Loan tape'!G127</x:f>
        <x:v>837474137.51</x:v>
      </x:c>
      <x:c r="H732" s="70" t="n">
        <x:f>F732-G732</x:f>
        <x:v>6291.560000061989</x:v>
      </x:c>
      <x:c r="I732" t="str">
        <x:v>USD</x:v>
      </x:c>
    </x:row>
    <x:row r="733">
      <x:c r="C733" s="45" t="n">
        <x:v>45930</x:v>
      </x:c>
      <x:c r="D733" t="str">
        <x:v>CAOT-2024-2</x:v>
      </x:c>
      <x:c r="E733" t="str">
        <x:v>principal_collected</x:v>
      </x:c>
      <x:c r="F733" s="70" t="n">
        <x:f>'Loan tape'!F128</x:f>
        <x:v>30156047.3</x:v>
      </x:c>
      <x:c r="G733" s="70" t="n">
        <x:f>'Loan tape'!G128</x:f>
        <x:v>30172603.67</x:v>
      </x:c>
      <x:c r="H733" s="70" t="n">
        <x:f>F733-G733</x:f>
        <x:v>-16556.370000001043</x:v>
      </x:c>
      <x:c r="I733" t="str">
        <x:v>USD</x:v>
      </x:c>
    </x:row>
    <x:row r="734">
      <x:c r="C734" s="45" t="n">
        <x:v>45930</x:v>
      </x:c>
      <x:c r="D734" t="str">
        <x:v>CAOT-2024-2</x:v>
      </x:c>
      <x:c r="E734" t="str">
        <x:v>interest_collected</x:v>
      </x:c>
      <x:c r="F734" s="70" t="n">
        <x:f>'Loan tape'!F129</x:f>
        <x:v>7337736.17</x:v>
      </x:c>
      <x:c r="G734" s="70" t="n">
        <x:f>'Loan tape'!G129</x:f>
        <x:v>8155261.59</x:v>
      </x:c>
      <x:c r="H734" s="70" t="n">
        <x:f>F734-G734</x:f>
        <x:v>-817525.4199999999</x:v>
      </x:c>
      <x:c r="I734" t="str">
        <x:v>USD</x:v>
      </x:c>
    </x:row>
    <x:row r="735">
      <x:c r="C735" s="45" t="n">
        <x:v>45930</x:v>
      </x:c>
      <x:c r="D735" t="str">
        <x:v>CAOT-2024-2</x:v>
      </x:c>
      <x:c r="E735" t="str">
        <x:v>gross_chargeoffs_raw</x:v>
      </x:c>
      <x:c r="F735" s="70" t="n">
        <x:f>'Loan tape'!F130</x:f>
        <x:v>4829670.62</x:v>
      </x:c>
      <x:c r="G735" s="70" t="n">
        <x:f>'Loan tape'!G130</x:f>
        <x:v>3145366.67</x:v>
      </x:c>
      <x:c r="H735" s="70" t="n">
        <x:f>F735-G735</x:f>
        <x:v>1684303.9500000002</x:v>
      </x:c>
      <x:c r="I735" t="str">
        <x:v>USD</x:v>
      </x:c>
    </x:row>
    <x:row r="736">
      <x:c r="C736" s="45" t="n">
        <x:v>45930</x:v>
      </x:c>
      <x:c r="D736" t="str">
        <x:v>CAOT-2024-2</x:v>
      </x:c>
      <x:c r="E736" t="str">
        <x:v>recoveries</x:v>
      </x:c>
      <x:c r="F736" s="70" t="n">
        <x:f>'Loan tape'!F131</x:f>
        <x:v>1362019.89</x:v>
      </x:c>
      <x:c r="G736" s="70" t="n">
        <x:f>'Loan tape'!G131</x:f>
        <x:v>1183308.05</x:v>
      </x:c>
      <x:c r="H736" s="70" t="n">
        <x:f>F736-G736</x:f>
        <x:v>178711.83999999985</x:v>
      </x:c>
      <x:c r="I736" t="str">
        <x:v>USD</x:v>
      </x:c>
    </x:row>
    <x:row r="737">
      <x:c r="C737" s="45" t="n">
        <x:v>45961</x:v>
      </x:c>
      <x:c r="D737" t="str">
        <x:v>CAOT-2024-2</x:v>
      </x:c>
      <x:c r="E737" t="str">
        <x:v>outstanding_loan_count</x:v>
      </x:c>
      <x:c r="F737" s="77" t="n">
        <x:f>'Loan tape'!F132</x:f>
        <x:v>48742</x:v>
      </x:c>
      <x:c r="G737" s="77" t="n">
        <x:f>'Loan tape'!G132</x:f>
        <x:v>48740</x:v>
      </x:c>
      <x:c r="H737" s="77" t="n">
        <x:f>F737-G737</x:f>
        <x:v>2</x:v>
      </x:c>
      <x:c r="I737" t="str">
        <x:v>loans</x:v>
      </x:c>
    </x:row>
    <x:row r="738">
      <x:c r="C738" s="45" t="n">
        <x:v>45961</x:v>
      </x:c>
      <x:c r="D738" t="str">
        <x:v>CAOT-2024-2</x:v>
      </x:c>
      <x:c r="E738" t="str">
        <x:v>pool_begin</x:v>
      </x:c>
      <x:c r="F738" s="70" t="n">
        <x:f>'Loan tape'!F133</x:f>
        <x:v>837480429.07</x:v>
      </x:c>
      <x:c r="G738" s="70" t="n">
        <x:f>'Loan tape'!G133</x:f>
        <x:v>837474137.51</x:v>
      </x:c>
      <x:c r="H738" s="70" t="n">
        <x:f>F738-G738</x:f>
        <x:v>6291.560000061989</x:v>
      </x:c>
      <x:c r="I738" t="str">
        <x:v>USD</x:v>
      </x:c>
    </x:row>
    <x:row r="739">
      <x:c r="C739" s="45" t="n">
        <x:v>45961</x:v>
      </x:c>
      <x:c r="D739" t="str">
        <x:v>CAOT-2024-2</x:v>
      </x:c>
      <x:c r="E739" t="str">
        <x:v>pool_end</x:v>
      </x:c>
      <x:c r="F739" s="70" t="n">
        <x:f>'Loan tape'!F134</x:f>
        <x:v>804001745.48</x:v>
      </x:c>
      <x:c r="G739" s="70" t="n">
        <x:f>'Loan tape'!G134</x:f>
        <x:v>803995956.68</x:v>
      </x:c>
      <x:c r="H739" s="70" t="n">
        <x:f>F739-G739</x:f>
        <x:v>5788.800000071526</x:v>
      </x:c>
      <x:c r="I739" t="str">
        <x:v>USD</x:v>
      </x:c>
    </x:row>
    <x:row r="740">
      <x:c r="C740" s="45" t="n">
        <x:v>45961</x:v>
      </x:c>
      <x:c r="D740" t="str">
        <x:v>CAOT-2024-2</x:v>
      </x:c>
      <x:c r="E740" t="str">
        <x:v>principal_collected</x:v>
      </x:c>
      <x:c r="F740" s="70" t="n">
        <x:f>'Loan tape'!F135</x:f>
        <x:v>30175542.18</x:v>
      </x:c>
      <x:c r="G740" s="70" t="n">
        <x:f>'Loan tape'!G135</x:f>
        <x:v>30188554.28</x:v>
      </x:c>
      <x:c r="H740" s="70" t="n">
        <x:f>F740-G740</x:f>
        <x:v>-13012.10000000149</x:v>
      </x:c>
      <x:c r="I740" t="str">
        <x:v>USD</x:v>
      </x:c>
    </x:row>
    <x:row r="741">
      <x:c r="C741" s="45" t="n">
        <x:v>45961</x:v>
      </x:c>
      <x:c r="D741" t="str">
        <x:v>CAOT-2024-2</x:v>
      </x:c>
      <x:c r="E741" t="str">
        <x:v>interest_collected</x:v>
      </x:c>
      <x:c r="F741" s="70" t="n">
        <x:f>'Loan tape'!F136</x:f>
        <x:v>7718378.76</x:v>
      </x:c>
      <x:c r="G741" s="70" t="n">
        <x:f>'Loan tape'!G136</x:f>
        <x:v>7792417.72</x:v>
      </x:c>
      <x:c r="H741" s="70" t="n">
        <x:f>F741-G741</x:f>
        <x:v>-74038.95999999996</x:v>
      </x:c>
      <x:c r="I741" t="str">
        <x:v>USD</x:v>
      </x:c>
    </x:row>
    <x:row r="742">
      <x:c r="C742" s="45" t="n">
        <x:v>45961</x:v>
      </x:c>
      <x:c r="D742" t="str">
        <x:v>CAOT-2024-2</x:v>
      </x:c>
      <x:c r="E742" t="str">
        <x:v>gross_chargeoffs_raw</x:v>
      </x:c>
      <x:c r="F742" s="70" t="n">
        <x:f>'Loan tape'!F137</x:f>
        <x:v>4609759.79</x:v>
      </x:c>
      <x:c r="G742" s="70" t="n">
        <x:f>'Loan tape'!G137</x:f>
        <x:v>3289626.55</x:v>
      </x:c>
      <x:c r="H742" s="70" t="n">
        <x:f>F742-G742</x:f>
        <x:v>1320133.2400000002</x:v>
      </x:c>
      <x:c r="I742" t="str">
        <x:v>USD</x:v>
      </x:c>
    </x:row>
    <x:row r="743">
      <x:c r="C743" s="45" t="n">
        <x:v>45961</x:v>
      </x:c>
      <x:c r="D743" t="str">
        <x:v>CAOT-2024-2</x:v>
      </x:c>
      <x:c r="E743" t="str">
        <x:v>recoveries</x:v>
      </x:c>
      <x:c r="F743" s="70" t="n">
        <x:f>'Loan tape'!F138</x:f>
        <x:v>888181.3</x:v>
      </x:c>
      <x:c r="G743" s="70" t="n">
        <x:f>'Loan tape'!G138</x:f>
        <x:v>1039824.12</x:v>
      </x:c>
      <x:c r="H743" s="70" t="n">
        <x:f>F743-G743</x:f>
        <x:v>-151642.81999999995</x:v>
      </x:c>
      <x:c r="I743" t="str">
        <x:v>USD</x:v>
      </x:c>
    </x:row>
    <x:row r="744">
      <x:c r="C744" s="45" t="n">
        <x:v>45991</x:v>
      </x:c>
      <x:c r="D744" t="str">
        <x:v>CAOT-2024-2</x:v>
      </x:c>
      <x:c r="E744" t="str">
        <x:v>outstanding_loan_count</x:v>
      </x:c>
      <x:c r="F744" s="77" t="n">
        <x:f>'Loan tape'!F139</x:f>
        <x:v>47251</x:v>
      </x:c>
      <x:c r="G744" s="77" t="n">
        <x:f>'Loan tape'!G139</x:f>
        <x:v>47251</x:v>
      </x:c>
      <x:c r="H744" s="77" t="n">
        <x:f>F744-G744</x:f>
        <x:v>0</x:v>
      </x:c>
      <x:c r="I744" t="str">
        <x:v>loans</x:v>
      </x:c>
    </x:row>
    <x:row r="745">
      <x:c r="C745" s="45" t="n">
        <x:v>45991</x:v>
      </x:c>
      <x:c r="D745" t="str">
        <x:v>CAOT-2024-2</x:v>
      </x:c>
      <x:c r="E745" t="str">
        <x:v>pool_begin</x:v>
      </x:c>
      <x:c r="F745" s="70" t="n">
        <x:f>'Loan tape'!F140</x:f>
        <x:v>804001745.48</x:v>
      </x:c>
      <x:c r="G745" s="70" t="n">
        <x:f>'Loan tape'!G140</x:f>
        <x:v>803995956.68</x:v>
      </x:c>
      <x:c r="H745" s="70" t="n">
        <x:f>F745-G745</x:f>
        <x:v>5788.800000071526</x:v>
      </x:c>
      <x:c r="I745" t="str">
        <x:v>USD</x:v>
      </x:c>
    </x:row>
    <x:row r="746">
      <x:c r="C746" s="45" t="n">
        <x:v>45991</x:v>
      </x:c>
      <x:c r="D746" t="str">
        <x:v>CAOT-2024-2</x:v>
      </x:c>
      <x:c r="E746" t="str">
        <x:v>pool_end</x:v>
      </x:c>
      <x:c r="F746" s="70" t="n">
        <x:f>'Loan tape'!F141</x:f>
        <x:v>774101784.34</x:v>
      </x:c>
      <x:c r="G746" s="70" t="n">
        <x:f>'Loan tape'!G141</x:f>
        <x:v>774096690.99</x:v>
      </x:c>
      <x:c r="H746" s="70" t="n">
        <x:f>F746-G746</x:f>
        <x:v>5093.350000023842</x:v>
      </x:c>
      <x:c r="I746" t="str">
        <x:v>USD</x:v>
      </x:c>
    </x:row>
    <x:row r="747">
      <x:c r="C747" s="45" t="n">
        <x:v>45991</x:v>
      </x:c>
      <x:c r="D747" t="str">
        <x:v>CAOT-2024-2</x:v>
      </x:c>
      <x:c r="E747" t="str">
        <x:v>principal_collected</x:v>
      </x:c>
      <x:c r="F747" s="70" t="n">
        <x:f>'Loan tape'!F142</x:f>
        <x:v>27301165.54</x:v>
      </x:c>
      <x:c r="G747" s="70" t="n">
        <x:f>'Loan tape'!G142</x:f>
        <x:v>27309578.35</x:v>
      </x:c>
      <x:c r="H747" s="70" t="n">
        <x:f>F747-G747</x:f>
        <x:v>-8412.810000002384</x:v>
      </x:c>
      <x:c r="I747" t="str">
        <x:v>USD</x:v>
      </x:c>
    </x:row>
    <x:row r="748">
      <x:c r="C748" s="45" t="n">
        <x:v>45991</x:v>
      </x:c>
      <x:c r="D748" t="str">
        <x:v>CAOT-2024-2</x:v>
      </x:c>
      <x:c r="E748" t="str">
        <x:v>interest_collected</x:v>
      </x:c>
      <x:c r="F748" s="70" t="n">
        <x:f>'Loan tape'!F143</x:f>
        <x:v>7608917.32</x:v>
      </x:c>
      <x:c r="G748" s="70" t="n">
        <x:f>'Loan tape'!G143</x:f>
        <x:v>7678819.26</x:v>
      </x:c>
      <x:c r="H748" s="70" t="n">
        <x:f>F748-G748</x:f>
        <x:v>-69901.93999999948</x:v>
      </x:c>
      <x:c r="I748" t="str">
        <x:v>USD</x:v>
      </x:c>
    </x:row>
    <x:row r="749">
      <x:c r="C749" s="45" t="n">
        <x:v>45991</x:v>
      </x:c>
      <x:c r="D749" t="str">
        <x:v>CAOT-2024-2</x:v>
      </x:c>
      <x:c r="E749" t="str">
        <x:v>gross_chargeoffs_raw</x:v>
      </x:c>
      <x:c r="F749" s="70" t="n">
        <x:f>'Loan tape'!F144</x:f>
        <x:v>4443249.7</x:v>
      </x:c>
      <x:c r="G749" s="70" t="n">
        <x:f>'Loan tape'!G144</x:f>
        <x:v>2589687.34</x:v>
      </x:c>
      <x:c r="H749" s="70" t="n">
        <x:f>F749-G749</x:f>
        <x:v>1853562.3600000003</x:v>
      </x:c>
      <x:c r="I749" t="str">
        <x:v>USD</x:v>
      </x:c>
    </x:row>
    <x:row r="750">
      <x:c r="C750" s="45" t="n">
        <x:v>45991</x:v>
      </x:c>
      <x:c r="D750" t="str">
        <x:v>CAOT-2024-2</x:v>
      </x:c>
      <x:c r="E750" t="str">
        <x:v>recoveries</x:v>
      </x:c>
      <x:c r="F750" s="70" t="n">
        <x:f>'Loan tape'!F145</x:f>
        <x:v>1420954.02</x:v>
      </x:c>
      <x:c r="G750" s="70" t="n">
        <x:f>'Loan tape'!G145</x:f>
        <x:v>1417138.05</x:v>
      </x:c>
      <x:c r="H750" s="70" t="n">
        <x:f>F750-G750</x:f>
        <x:v>3815.969999999972</x:v>
      </x:c>
      <x:c r="I750" t="str">
        <x:v>USD</x:v>
      </x:c>
    </x:row>
    <x:row r="751">
      <x:c r="C751" s="45" t="n">
        <x:v>46022</x:v>
      </x:c>
      <x:c r="D751" t="str">
        <x:v>CAOT-2024-2</x:v>
      </x:c>
      <x:c r="E751" t="str">
        <x:v>outstanding_loan_count</x:v>
      </x:c>
      <x:c r="F751" s="77" t="n">
        <x:f>'Loan tape'!F146</x:f>
        <x:v>46057</x:v>
      </x:c>
      <x:c r="G751" s="77" t="n">
        <x:f>'Loan tape'!G146</x:f>
        <x:v>46057</x:v>
      </x:c>
      <x:c r="H751" s="77" t="n">
        <x:f>F751-G751</x:f>
        <x:v>0</x:v>
      </x:c>
      <x:c r="I751" t="str">
        <x:v>loans</x:v>
      </x:c>
    </x:row>
    <x:row r="752">
      <x:c r="C752" s="45" t="n">
        <x:v>46022</x:v>
      </x:c>
      <x:c r="D752" t="str">
        <x:v>CAOT-2024-2</x:v>
      </x:c>
      <x:c r="E752" t="str">
        <x:v>pool_begin</x:v>
      </x:c>
      <x:c r="F752" s="70" t="n">
        <x:f>'Loan tape'!F147</x:f>
        <x:v>774101784.34</x:v>
      </x:c>
      <x:c r="G752" s="70" t="n">
        <x:f>'Loan tape'!G147</x:f>
        <x:v>774096690.99</x:v>
      </x:c>
      <x:c r="H752" s="70" t="n">
        <x:f>F752-G752</x:f>
        <x:v>5093.350000023842</x:v>
      </x:c>
      <x:c r="I752" t="str">
        <x:v>USD</x:v>
      </x:c>
    </x:row>
    <x:row r="753">
      <x:c r="C753" s="45" t="n">
        <x:v>46022</x:v>
      </x:c>
      <x:c r="D753" t="str">
        <x:v>CAOT-2024-2</x:v>
      </x:c>
      <x:c r="E753" t="str">
        <x:v>pool_end</x:v>
      </x:c>
      <x:c r="F753" s="70" t="n">
        <x:f>'Loan tape'!F148</x:f>
        <x:v>743395128.42</x:v>
      </x:c>
      <x:c r="G753" s="70" t="n">
        <x:f>'Loan tape'!G148</x:f>
        <x:v>743392701.08</x:v>
      </x:c>
      <x:c r="H753" s="70" t="n">
        <x:f>F753-G753</x:f>
        <x:v>2427.3399999141693</x:v>
      </x:c>
      <x:c r="I753" t="str">
        <x:v>USD</x:v>
      </x:c>
    </x:row>
    <x:row r="754">
      <x:c r="C754" s="45" t="n">
        <x:v>46022</x:v>
      </x:c>
      <x:c r="D754" t="str">
        <x:v>CAOT-2024-2</x:v>
      </x:c>
      <x:c r="E754" t="str">
        <x:v>principal_collected</x:v>
      </x:c>
      <x:c r="F754" s="70" t="n">
        <x:f>'Loan tape'!F149</x:f>
        <x:v>27967678.88</x:v>
      </x:c>
      <x:c r="G754" s="70" t="n">
        <x:f>'Loan tape'!G149</x:f>
        <x:v>27975056.27</x:v>
      </x:c>
      <x:c r="H754" s="70" t="n">
        <x:f>F754-G754</x:f>
        <x:v>-7377.390000000596</x:v>
      </x:c>
      <x:c r="I754" t="str">
        <x:v>USD</x:v>
      </x:c>
    </x:row>
    <x:row r="755">
      <x:c r="C755" s="45" t="n">
        <x:v>46022</x:v>
      </x:c>
      <x:c r="D755" t="str">
        <x:v>CAOT-2024-2</x:v>
      </x:c>
      <x:c r="E755" t="str">
        <x:v>interest_collected</x:v>
      </x:c>
      <x:c r="F755" s="70" t="n">
        <x:f>'Loan tape'!F150</x:f>
        <x:v>7164766.91</x:v>
      </x:c>
      <x:c r="G755" s="70" t="n">
        <x:f>'Loan tape'!G150</x:f>
        <x:v>7223465.93</x:v>
      </x:c>
      <x:c r="H755" s="70" t="n">
        <x:f>F755-G755</x:f>
        <x:v>-58699.01999999955</x:v>
      </x:c>
      <x:c r="I755" t="str">
        <x:v>USD</x:v>
      </x:c>
    </x:row>
    <x:row r="756">
      <x:c r="C756" s="45" t="n">
        <x:v>46022</x:v>
      </x:c>
      <x:c r="D756" t="str">
        <x:v>CAOT-2024-2</x:v>
      </x:c>
      <x:c r="E756" t="str">
        <x:v>gross_chargeoffs_raw</x:v>
      </x:c>
      <x:c r="F756" s="70" t="n">
        <x:f>'Loan tape'!F151</x:f>
        <x:v>3807411.19</x:v>
      </x:c>
      <x:c r="G756" s="70" t="n">
        <x:f>'Loan tape'!G151</x:f>
        <x:v>2728933.64</x:v>
      </x:c>
      <x:c r="H756" s="70" t="n">
        <x:f>F756-G756</x:f>
        <x:v>1078477.5499999998</x:v>
      </x:c>
      <x:c r="I756" t="str">
        <x:v>USD</x:v>
      </x:c>
    </x:row>
    <x:row r="757">
      <x:c r="C757" s="45" t="n">
        <x:v>46022</x:v>
      </x:c>
      <x:c r="D757" t="str">
        <x:v>CAOT-2024-2</x:v>
      </x:c>
      <x:c r="E757" t="str">
        <x:v>recoveries</x:v>
      </x:c>
      <x:c r="F757" s="70" t="n">
        <x:f>'Loan tape'!F152</x:f>
        <x:v>1118445.46</x:v>
      </x:c>
      <x:c r="G757" s="70" t="n">
        <x:f>'Loan tape'!G152</x:f>
        <x:v>1095636.94</x:v>
      </x:c>
      <x:c r="H757" s="70" t="n">
        <x:f>F757-G757</x:f>
        <x:v>22808.52000000002</x:v>
      </x:c>
      <x:c r="I757" t="str">
        <x:v>USD</x:v>
      </x:c>
    </x:row>
    <x:row r="758">
      <x:c r="C758" s="45" t="n">
        <x:v>46053</x:v>
      </x:c>
      <x:c r="D758" t="str">
        <x:v>CAOT-2024-2</x:v>
      </x:c>
      <x:c r="E758" t="str">
        <x:v>outstanding_loan_count</x:v>
      </x:c>
      <x:c r="F758" s="77" t="n">
        <x:f>'Loan tape'!F153</x:f>
        <x:v>44993</x:v>
      </x:c>
      <x:c r="G758" s="77" t="n">
        <x:f>'Loan tape'!G153</x:f>
        <x:v>44992</x:v>
      </x:c>
      <x:c r="H758" s="77" t="n">
        <x:f>F758-G758</x:f>
        <x:v>1</x:v>
      </x:c>
      <x:c r="I758" t="str">
        <x:v>loans</x:v>
      </x:c>
    </x:row>
    <x:row r="759">
      <x:c r="C759" s="45" t="n">
        <x:v>46053</x:v>
      </x:c>
      <x:c r="D759" t="str">
        <x:v>CAOT-2024-2</x:v>
      </x:c>
      <x:c r="E759" t="str">
        <x:v>pool_begin</x:v>
      </x:c>
      <x:c r="F759" s="70" t="n">
        <x:f>'Loan tape'!F154</x:f>
        <x:v>743395128.42</x:v>
      </x:c>
      <x:c r="G759" s="70" t="n">
        <x:f>'Loan tape'!G154</x:f>
        <x:v>743392701.08</x:v>
      </x:c>
      <x:c r="H759" s="70" t="n">
        <x:f>F759-G759</x:f>
        <x:v>2427.3399999141693</x:v>
      </x:c>
      <x:c r="I759" t="str">
        <x:v>USD</x:v>
      </x:c>
    </x:row>
    <x:row r="760">
      <x:c r="C760" s="45" t="n">
        <x:v>46053</x:v>
      </x:c>
      <x:c r="D760" t="str">
        <x:v>CAOT-2024-2</x:v>
      </x:c>
      <x:c r="E760" t="str">
        <x:v>pool_end</x:v>
      </x:c>
      <x:c r="F760" s="70" t="n">
        <x:f>'Loan tape'!F155</x:f>
        <x:v>713514901.66</x:v>
      </x:c>
      <x:c r="G760" s="70" t="n">
        <x:f>'Loan tape'!G155</x:f>
        <x:v>713512987.47</x:v>
      </x:c>
      <x:c r="H760" s="70" t="n">
        <x:f>F760-G760</x:f>
        <x:v>1914.1899999380112</x:v>
      </x:c>
      <x:c r="I760" t="str">
        <x:v>USD</x:v>
      </x:c>
    </x:row>
    <x:row r="761">
      <x:c r="C761" s="45" t="n">
        <x:v>46053</x:v>
      </x:c>
      <x:c r="D761" t="str">
        <x:v>CAOT-2024-2</x:v>
      </x:c>
      <x:c r="E761" t="str">
        <x:v>principal_collected</x:v>
      </x:c>
      <x:c r="F761" s="70" t="n">
        <x:f>'Loan tape'!F156</x:f>
        <x:v>27216961.33</x:v>
      </x:c>
      <x:c r="G761" s="70" t="n">
        <x:f>'Loan tape'!G156</x:f>
        <x:v>27257139.19</x:v>
      </x:c>
      <x:c r="H761" s="70" t="n">
        <x:f>F761-G761</x:f>
        <x:v>-40177.86000000313</x:v>
      </x:c>
      <x:c r="I761" t="str">
        <x:v>USD</x:v>
      </x:c>
    </x:row>
    <x:row r="762">
      <x:c r="C762" s="45" t="n">
        <x:v>46053</x:v>
      </x:c>
      <x:c r="D762" t="str">
        <x:v>CAOT-2024-2</x:v>
      </x:c>
      <x:c r="E762" t="str">
        <x:v>interest_collected</x:v>
      </x:c>
      <x:c r="F762" s="70" t="n">
        <x:f>'Loan tape'!F157</x:f>
        <x:v>7261064.09</x:v>
      </x:c>
      <x:c r="G762" s="70" t="n">
        <x:f>'Loan tape'!G157</x:f>
        <x:v>7330171.7</x:v>
      </x:c>
      <x:c r="H762" s="70" t="n">
        <x:f>F762-G762</x:f>
        <x:v>-69107.61000000034</x:v>
      </x:c>
      <x:c r="I762" t="str">
        <x:v>USD</x:v>
      </x:c>
    </x:row>
    <x:row r="763">
      <x:c r="C763" s="45" t="n">
        <x:v>46053</x:v>
      </x:c>
      <x:c r="D763" t="str">
        <x:v>CAOT-2024-2</x:v>
      </x:c>
      <x:c r="E763" t="str">
        <x:v>gross_chargeoffs_raw</x:v>
      </x:c>
      <x:c r="F763" s="70" t="n">
        <x:f>'Loan tape'!F158</x:f>
        <x:v>3709373.79</x:v>
      </x:c>
      <x:c r="G763" s="70" t="n">
        <x:f>'Loan tape'!G158</x:f>
        <x:v>2622574.42</x:v>
      </x:c>
      <x:c r="H763" s="70" t="n">
        <x:f>F763-G763</x:f>
        <x:v>1086799.37</x:v>
      </x:c>
      <x:c r="I763" t="str">
        <x:v>USD</x:v>
      </x:c>
    </x:row>
    <x:row r="764">
      <x:c r="C764" s="45" t="n">
        <x:v>46053</x:v>
      </x:c>
      <x:c r="D764" t="str">
        <x:v>CAOT-2024-2</x:v>
      </x:c>
      <x:c r="E764" t="str">
        <x:v>recoveries</x:v>
      </x:c>
      <x:c r="F764" s="70" t="n">
        <x:f>'Loan tape'!F159</x:f>
        <x:v>925174.85</x:v>
      </x:c>
      <x:c r="G764" s="70" t="n">
        <x:f>'Loan tape'!G159</x:f>
        <x:v>939037.21</x:v>
      </x:c>
      <x:c r="H764" s="70" t="n">
        <x:f>F764-G764</x:f>
        <x:v>-13862.359999999986</x:v>
      </x:c>
      <x:c r="I764" t="str">
        <x:v>USD</x:v>
      </x:c>
    </x:row>
    <x:row r="765">
      <x:c r="C765" s="45" t="n">
        <x:v>46081</x:v>
      </x:c>
      <x:c r="D765" t="str">
        <x:v>CAOT-2024-2</x:v>
      </x:c>
      <x:c r="E765" t="str">
        <x:v>outstanding_loan_count</x:v>
      </x:c>
      <x:c r="F765" s="77" t="n">
        <x:f>'Loan tape'!F160</x:f>
        <x:v>44012</x:v>
      </x:c>
      <x:c r="G765" s="77" t="n">
        <x:f>'Loan tape'!G160</x:f>
        <x:v>44012</x:v>
      </x:c>
      <x:c r="H765" s="77" t="n">
        <x:f>F765-G765</x:f>
        <x:v>0</x:v>
      </x:c>
      <x:c r="I765" t="str">
        <x:v>loans</x:v>
      </x:c>
    </x:row>
    <x:row r="766">
      <x:c r="C766" s="45" t="n">
        <x:v>46081</x:v>
      </x:c>
      <x:c r="D766" t="str">
        <x:v>CAOT-2024-2</x:v>
      </x:c>
      <x:c r="E766" t="str">
        <x:v>pool_begin</x:v>
      </x:c>
      <x:c r="F766" s="70" t="n">
        <x:f>'Loan tape'!F161</x:f>
        <x:v>713514901.66</x:v>
      </x:c>
      <x:c r="G766" s="70" t="n">
        <x:f>'Loan tape'!G161</x:f>
        <x:v>713512987.47</x:v>
      </x:c>
      <x:c r="H766" s="70" t="n">
        <x:f>F766-G766</x:f>
        <x:v>1914.1899999380112</x:v>
      </x:c>
      <x:c r="I766" t="str">
        <x:v>USD</x:v>
      </x:c>
    </x:row>
    <x:row r="767">
      <x:c r="C767" s="45" t="n">
        <x:v>46081</x:v>
      </x:c>
      <x:c r="D767" t="str">
        <x:v>CAOT-2024-2</x:v>
      </x:c>
      <x:c r="E767" t="str">
        <x:v>pool_end</x:v>
      </x:c>
      <x:c r="F767" s="70" t="n">
        <x:f>'Loan tape'!F162</x:f>
        <x:v>685312182.75</x:v>
      </x:c>
      <x:c r="G767" s="70" t="n">
        <x:f>'Loan tape'!G162</x:f>
        <x:v>685309777.35</x:v>
      </x:c>
      <x:c r="H767" s="70" t="n">
        <x:f>F767-G767</x:f>
        <x:v>2405.399999976158</x:v>
      </x:c>
      <x:c r="I767" t="str">
        <x:v>USD</x:v>
      </x:c>
    </x:row>
    <x:row r="768">
      <x:c r="C768" s="45" t="n">
        <x:v>46081</x:v>
      </x:c>
      <x:c r="D768" t="str">
        <x:v>CAOT-2024-2</x:v>
      </x:c>
      <x:c r="E768" t="str">
        <x:v>principal_collected</x:v>
      </x:c>
      <x:c r="F768" s="70" t="n">
        <x:f>'Loan tape'!F163</x:f>
        <x:v>26291569.41</x:v>
      </x:c>
      <x:c r="G768" s="70" t="n">
        <x:f>'Loan tape'!G163</x:f>
        <x:v>26292991.43</x:v>
      </x:c>
      <x:c r="H768" s="70" t="n">
        <x:f>F768-G768</x:f>
        <x:v>-1422.019999999553</x:v>
      </x:c>
      <x:c r="I768" t="str">
        <x:v>USD</x:v>
      </x:c>
    </x:row>
    <x:row r="769">
      <x:c r="C769" s="45" t="n">
        <x:v>46081</x:v>
      </x:c>
      <x:c r="D769" t="str">
        <x:v>CAOT-2024-2</x:v>
      </x:c>
      <x:c r="E769" t="str">
        <x:v>interest_collected</x:v>
      </x:c>
      <x:c r="F769" s="70" t="n">
        <x:f>'Loan tape'!F164</x:f>
        <x:v>6497549.32</x:v>
      </x:c>
      <x:c r="G769" s="70" t="n">
        <x:f>'Loan tape'!G164</x:f>
        <x:v>6550773.58</x:v>
      </x:c>
      <x:c r="H769" s="70" t="n">
        <x:f>F769-G769</x:f>
        <x:v>-53224.25999999978</x:v>
      </x:c>
      <x:c r="I769" t="str">
        <x:v>USD</x:v>
      </x:c>
    </x:row>
    <x:row r="770">
      <x:c r="C770" s="45" t="n">
        <x:v>46081</x:v>
      </x:c>
      <x:c r="D770" t="str">
        <x:v>CAOT-2024-2</x:v>
      </x:c>
      <x:c r="E770" t="str">
        <x:v>gross_chargeoffs_raw</x:v>
      </x:c>
      <x:c r="F770" s="70" t="n">
        <x:f>'Loan tape'!F165</x:f>
        <x:v>3218524.66</x:v>
      </x:c>
      <x:c r="G770" s="70" t="n">
        <x:f>'Loan tape'!G165</x:f>
        <x:v>1910218.69</x:v>
      </x:c>
      <x:c r="H770" s="70" t="n">
        <x:f>F770-G770</x:f>
        <x:v>1308305.9700000002</x:v>
      </x:c>
      <x:c r="I770" t="str">
        <x:v>USD</x:v>
      </x:c>
    </x:row>
    <x:row r="771">
      <x:c r="C771" s="45" t="n">
        <x:v>46081</x:v>
      </x:c>
      <x:c r="D771" t="str">
        <x:v>CAOT-2024-2</x:v>
      </x:c>
      <x:c r="E771" t="str">
        <x:v>recoveries</x:v>
      </x:c>
      <x:c r="F771" s="70" t="n">
        <x:f>'Loan tape'!F166</x:f>
        <x:v>924702.41</x:v>
      </x:c>
      <x:c r="G771" s="70" t="n">
        <x:f>'Loan tape'!G166</x:f>
        <x:v>921626.66</x:v>
      </x:c>
      <x:c r="H771" s="70" t="n">
        <x:f>F771-G771</x:f>
        <x:v>3075.75</x:v>
      </x:c>
      <x:c r="I771" t="str">
        <x:v>USD</x:v>
      </x:c>
    </x:row>
    <x:row r="772">
      <x:c r="C772" s="45" t="n">
        <x:v>46112</x:v>
      </x:c>
      <x:c r="D772" t="str">
        <x:v>CAOT-2024-2</x:v>
      </x:c>
      <x:c r="E772" t="str">
        <x:v>outstanding_loan_count</x:v>
      </x:c>
      <x:c r="F772" s="77" t="n">
        <x:f>'Loan tape'!F167</x:f>
        <x:v>42883</x:v>
      </x:c>
      <x:c r="G772" s="77" t="n">
        <x:f>'Loan tape'!G167</x:f>
        <x:v>42880</x:v>
      </x:c>
      <x:c r="H772" s="77" t="n">
        <x:f>F772-G772</x:f>
        <x:v>3</x:v>
      </x:c>
      <x:c r="I772" t="str">
        <x:v>loans</x:v>
      </x:c>
    </x:row>
    <x:row r="773">
      <x:c r="C773" s="45" t="n">
        <x:v>46112</x:v>
      </x:c>
      <x:c r="D773" t="str">
        <x:v>CAOT-2024-2</x:v>
      </x:c>
      <x:c r="E773" t="str">
        <x:v>pool_begin</x:v>
      </x:c>
      <x:c r="F773" s="70" t="n">
        <x:f>'Loan tape'!F168</x:f>
        <x:v>685312182.75</x:v>
      </x:c>
      <x:c r="G773" s="70" t="n">
        <x:f>'Loan tape'!G168</x:f>
        <x:v>685309777.35</x:v>
      </x:c>
      <x:c r="H773" s="70" t="n">
        <x:f>F773-G773</x:f>
        <x:v>2405.399999976158</x:v>
      </x:c>
      <x:c r="I773" t="str">
        <x:v>USD</x:v>
      </x:c>
    </x:row>
    <x:row r="774">
      <x:c r="C774" s="45" t="n">
        <x:v>46112</x:v>
      </x:c>
      <x:c r="D774" t="str">
        <x:v>CAOT-2024-2</x:v>
      </x:c>
      <x:c r="E774" t="str">
        <x:v>pool_end</x:v>
      </x:c>
      <x:c r="F774" s="70" t="n">
        <x:f>'Loan tape'!F169</x:f>
        <x:v>653024499.46</x:v>
      </x:c>
      <x:c r="G774" s="70" t="n">
        <x:f>'Loan tape'!G169</x:f>
        <x:v>653021624.37</x:v>
      </x:c>
      <x:c r="H774" s="70" t="n">
        <x:f>F774-G774</x:f>
        <x:v>2875.0900000333786</x:v>
      </x:c>
      <x:c r="I774" t="str">
        <x:v>USD</x:v>
      </x:c>
    </x:row>
    <x:row r="775">
      <x:c r="C775" s="45" t="n">
        <x:v>46112</x:v>
      </x:c>
      <x:c r="D775" t="str">
        <x:v>CAOT-2024-2</x:v>
      </x:c>
      <x:c r="E775" t="str">
        <x:v>principal_collected</x:v>
      </x:c>
      <x:c r="F775" s="70" t="n">
        <x:f>'Loan tape'!F170</x:f>
        <x:v>29347475.29</x:v>
      </x:c>
      <x:c r="G775" s="70" t="n">
        <x:f>'Loan tape'!G170</x:f>
        <x:v>29363553.7</x:v>
      </x:c>
      <x:c r="H775" s="70" t="n">
        <x:f>F775-G775</x:f>
        <x:v>-16078.410000000149</x:v>
      </x:c>
      <x:c r="I775" t="str">
        <x:v>USD</x:v>
      </x:c>
    </x:row>
    <x:row r="776">
      <x:c r="C776" s="45" t="n">
        <x:v>46112</x:v>
      </x:c>
      <x:c r="D776" t="str">
        <x:v>CAOT-2024-2</x:v>
      </x:c>
      <x:c r="E776" t="str">
        <x:v>interest_collected</x:v>
      </x:c>
      <x:c r="F776" s="70" t="n">
        <x:f>'Loan tape'!F171</x:f>
        <x:v>6416658.17</x:v>
      </x:c>
      <x:c r="G776" s="70" t="n">
        <x:f>'Loan tape'!G171</x:f>
        <x:v>6488059.16</x:v>
      </x:c>
      <x:c r="H776" s="70" t="n">
        <x:f>F776-G776</x:f>
        <x:v>-71400.99000000022</x:v>
      </x:c>
      <x:c r="I776" t="str">
        <x:v>USD</x:v>
      </x:c>
    </x:row>
    <x:row r="777">
      <x:c r="C777" s="45" t="n">
        <x:v>46112</x:v>
      </x:c>
      <x:c r="D777" t="str">
        <x:v>CAOT-2024-2</x:v>
      </x:c>
      <x:c r="E777" t="str">
        <x:v>gross_chargeoffs_raw</x:v>
      </x:c>
      <x:c r="F777" s="70" t="n">
        <x:f>'Loan tape'!F172</x:f>
        <x:v>3776680.96</x:v>
      </x:c>
      <x:c r="G777" s="70" t="n">
        <x:f>'Loan tape'!G172</x:f>
        <x:v>2924599.28</x:v>
      </x:c>
      <x:c r="H777" s="70" t="n">
        <x:f>F777-G777</x:f>
        <x:v>852081.6800000002</x:v>
      </x:c>
      <x:c r="I777" t="str">
        <x:v>USD</x:v>
      </x:c>
    </x:row>
    <x:row r="778">
      <x:c r="C778" s="45" t="n">
        <x:v>46112</x:v>
      </x:c>
      <x:c r="D778" t="str">
        <x:v>CAOT-2024-2</x:v>
      </x:c>
      <x:c r="E778" t="str">
        <x:v>recoveries</x:v>
      </x:c>
      <x:c r="F778" s="70" t="n">
        <x:f>'Loan tape'!F173</x:f>
        <x:v>1177330.96</x:v>
      </x:c>
      <x:c r="G778" s="70" t="n">
        <x:f>'Loan tape'!G173</x:f>
        <x:v>1110258.46</x:v>
      </x:c>
      <x:c r="H778" s="70" t="n">
        <x:f>F778-G778</x:f>
        <x:v>67072.5</x:v>
      </x:c>
      <x:c r="I778" t="str">
        <x:v>USD</x:v>
      </x:c>
    </x:row>
    <x:row r="779">
      <x:c r="C779" s="45" t="n">
        <x:v>46142</x:v>
      </x:c>
      <x:c r="D779" t="str">
        <x:v>CAOT-2024-2</x:v>
      </x:c>
      <x:c r="E779" t="str">
        <x:v>outstanding_loan_count</x:v>
      </x:c>
      <x:c r="F779" s="77" t="n">
        <x:f>'Loan tape'!F174</x:f>
        <x:v>41905</x:v>
      </x:c>
      <x:c r="G779" s="77" t="n">
        <x:f>'Loan tape'!G174</x:f>
        <x:v>41905</x:v>
      </x:c>
      <x:c r="H779" s="77" t="n">
        <x:f>F779-G779</x:f>
        <x:v>0</x:v>
      </x:c>
      <x:c r="I779" t="str">
        <x:v>loans</x:v>
      </x:c>
    </x:row>
    <x:row r="780">
      <x:c r="C780" s="45" t="n">
        <x:v>46142</x:v>
      </x:c>
      <x:c r="D780" t="str">
        <x:v>CAOT-2024-2</x:v>
      </x:c>
      <x:c r="E780" t="str">
        <x:v>pool_begin</x:v>
      </x:c>
      <x:c r="F780" s="70" t="n">
        <x:f>'Loan tape'!F175</x:f>
        <x:v>653024499.46</x:v>
      </x:c>
      <x:c r="G780" s="70" t="n">
        <x:f>'Loan tape'!G175</x:f>
        <x:v>653021624.37</x:v>
      </x:c>
      <x:c r="H780" s="70" t="n">
        <x:f>F780-G780</x:f>
        <x:v>2875.0900000333786</x:v>
      </x:c>
      <x:c r="I780" t="str">
        <x:v>USD</x:v>
      </x:c>
    </x:row>
    <x:row r="781">
      <x:c r="C781" s="45" t="n">
        <x:v>46142</x:v>
      </x:c>
      <x:c r="D781" t="str">
        <x:v>CAOT-2024-2</x:v>
      </x:c>
      <x:c r="E781" t="str">
        <x:v>pool_end</x:v>
      </x:c>
      <x:c r="F781" s="70" t="n">
        <x:f>'Loan tape'!F176</x:f>
        <x:v>624350290.76</x:v>
      </x:c>
      <x:c r="G781" s="70" t="n">
        <x:f>'Loan tape'!G176</x:f>
        <x:v>624347159.68</x:v>
      </x:c>
      <x:c r="H781" s="70" t="n">
        <x:f>F781-G781</x:f>
        <x:v>3131.0800000429153</x:v>
      </x:c>
      <x:c r="I781" t="str">
        <x:v>USD</x:v>
      </x:c>
    </x:row>
    <x:row r="782">
      <x:c r="C782" s="45" t="n">
        <x:v>46142</x:v>
      </x:c>
      <x:c r="D782" t="str">
        <x:v>CAOT-2024-2</x:v>
      </x:c>
      <x:c r="E782" t="str">
        <x:v>principal_collected</x:v>
      </x:c>
      <x:c r="F782" s="70" t="n">
        <x:f>'Loan tape'!F177</x:f>
        <x:v>27012743.62</x:v>
      </x:c>
      <x:c r="G782" s="70" t="n">
        <x:f>'Loan tape'!G177</x:f>
        <x:v>27043447.94</x:v>
      </x:c>
      <x:c r="H782" s="70" t="n">
        <x:f>F782-G782</x:f>
        <x:v>-30704.320000000298</x:v>
      </x:c>
      <x:c r="I782" t="str">
        <x:v>USD</x:v>
      </x:c>
    </x:row>
    <x:row r="783">
      <x:c r="C783" s="45" t="n">
        <x:v>46142</x:v>
      </x:c>
      <x:c r="D783" t="str">
        <x:v>CAOT-2024-2</x:v>
      </x:c>
      <x:c r="E783" t="str">
        <x:v>interest_collected</x:v>
      </x:c>
      <x:c r="F783" s="70" t="n">
        <x:f>'Loan tape'!F178</x:f>
        <x:v>6116534.79</x:v>
      </x:c>
      <x:c r="G783" s="70" t="n">
        <x:f>'Loan tape'!G178</x:f>
        <x:v>6182843.11</x:v>
      </x:c>
      <x:c r="H783" s="70" t="n">
        <x:f>F783-G783</x:f>
        <x:v>-66308.3200000003</x:v>
      </x:c>
      <x:c r="I783" t="str">
        <x:v>USD</x:v>
      </x:c>
    </x:row>
    <x:row r="784">
      <x:c r="C784" s="45" t="n">
        <x:v>46142</x:v>
      </x:c>
      <x:c r="D784" t="str">
        <x:v>CAOT-2024-2</x:v>
      </x:c>
      <x:c r="E784" t="str">
        <x:v>gross_chargeoffs_raw</x:v>
      </x:c>
      <x:c r="F784" s="70" t="n">
        <x:f>'Loan tape'!F179</x:f>
        <x:v>2629813.29</x:v>
      </x:c>
      <x:c r="G784" s="70" t="n">
        <x:f>'Loan tape'!G179</x:f>
        <x:v>1631016.75</x:v>
      </x:c>
      <x:c r="H784" s="70" t="n">
        <x:f>F784-G784</x:f>
        <x:v>998796.54</x:v>
      </x:c>
      <x:c r="I784" t="str">
        <x:v>USD</x:v>
      </x:c>
    </x:row>
    <x:row r="785">
      <x:c r="C785" s="45" t="n">
        <x:v>46142</x:v>
      </x:c>
      <x:c r="D785" t="str">
        <x:v>CAOT-2024-2</x:v>
      </x:c>
      <x:c r="E785" t="str">
        <x:v>recoveries</x:v>
      </x:c>
      <x:c r="F785" s="70" t="n">
        <x:f>'Loan tape'!F180</x:f>
        <x:v>883964.18</x:v>
      </x:c>
      <x:c r="G785" s="70" t="n">
        <x:f>'Loan tape'!G180</x:f>
        <x:v>952215.75</x:v>
      </x:c>
      <x:c r="H785" s="70" t="n">
        <x:f>F785-G785</x:f>
        <x:v>-68251.56999999995</x:v>
      </x:c>
      <x:c r="I785" t="str">
        <x:v>USD</x:v>
      </x:c>
    </x:row>
    <x:row r="786">
      <x:c r="C786" s="45" t="n">
        <x:v>46173</x:v>
      </x:c>
      <x:c r="D786" t="str">
        <x:v>CAOT-2024-2</x:v>
      </x:c>
      <x:c r="E786" t="str">
        <x:v>outstanding_loan_count</x:v>
      </x:c>
      <x:c r="F786" s="77" t="n">
        <x:f>'Loan tape'!F181</x:f>
        <x:v>40969</x:v>
      </x:c>
      <x:c r="G786" s="77" t="n">
        <x:f>'Loan tape'!G181</x:f>
        <x:v>40969</x:v>
      </x:c>
      <x:c r="H786" s="77" t="n">
        <x:f>F786-G786</x:f>
        <x:v>0</x:v>
      </x:c>
      <x:c r="I786" t="str">
        <x:v>loans</x:v>
      </x:c>
    </x:row>
    <x:row r="787">
      <x:c r="C787" s="45" t="n">
        <x:v>46173</x:v>
      </x:c>
      <x:c r="D787" t="str">
        <x:v>CAOT-2024-2</x:v>
      </x:c>
      <x:c r="E787" t="str">
        <x:v>pool_begin</x:v>
      </x:c>
      <x:c r="F787" s="70" t="n">
        <x:f>'Loan tape'!F182</x:f>
        <x:v>624350290.76</x:v>
      </x:c>
      <x:c r="G787" s="70" t="n">
        <x:f>'Loan tape'!G182</x:f>
        <x:v>624347159.68</x:v>
      </x:c>
      <x:c r="H787" s="70" t="n">
        <x:f>F787-G787</x:f>
        <x:v>3131.0800000429153</x:v>
      </x:c>
      <x:c r="I787" t="str">
        <x:v>USD</x:v>
      </x:c>
    </x:row>
    <x:row r="788">
      <x:c r="C788" s="45" t="n">
        <x:v>46173</x:v>
      </x:c>
      <x:c r="D788" t="str">
        <x:v>CAOT-2024-2</x:v>
      </x:c>
      <x:c r="E788" t="str">
        <x:v>pool_end</x:v>
      </x:c>
      <x:c r="F788" s="70" t="n">
        <x:f>'Loan tape'!F183</x:f>
        <x:v>597221274.02</x:v>
      </x:c>
      <x:c r="G788" s="70" t="n">
        <x:f>'Loan tape'!G183</x:f>
        <x:v>597219585.64</x:v>
      </x:c>
      <x:c r="H788" s="70" t="n">
        <x:f>F788-G788</x:f>
        <x:v>1688.3799999952316</x:v>
      </x:c>
      <x:c r="I788" t="str">
        <x:v>USD</x:v>
      </x:c>
    </x:row>
    <x:row r="789">
      <x:c r="C789" s="45" t="n">
        <x:v>46173</x:v>
      </x:c>
      <x:c r="D789" t="str">
        <x:v>CAOT-2024-2</x:v>
      </x:c>
      <x:c r="E789" t="str">
        <x:v>principal_collected</x:v>
      </x:c>
      <x:c r="F789" s="70" t="n">
        <x:f>'Loan tape'!F184</x:f>
        <x:v>25259959.56</x:v>
      </x:c>
      <x:c r="G789" s="70" t="n">
        <x:f>'Loan tape'!G184</x:f>
        <x:v>25310330.76</x:v>
      </x:c>
      <x:c r="H789" s="70" t="n">
        <x:f>F789-G789</x:f>
        <x:v>-50371.20000000298</x:v>
      </x:c>
      <x:c r="I789" t="str">
        <x:v>USD</x:v>
      </x:c>
    </x:row>
    <x:row r="790">
      <x:c r="C790" s="45" t="n">
        <x:v>46173</x:v>
      </x:c>
      <x:c r="D790" t="str">
        <x:v>CAOT-2024-2</x:v>
      </x:c>
      <x:c r="E790" t="str">
        <x:v>interest_collected</x:v>
      </x:c>
      <x:c r="F790" s="70" t="n">
        <x:f>'Loan tape'!F185</x:f>
        <x:v>5892105.72</x:v>
      </x:c>
      <x:c r="G790" s="70" t="n">
        <x:f>'Loan tape'!G185</x:f>
        <x:v>5953449.68</x:v>
      </x:c>
      <x:c r="H790" s="70" t="n">
        <x:f>F790-G790</x:f>
        <x:v>-61343.95999999996</x:v>
      </x:c>
      <x:c r="I790" t="str">
        <x:v>USD</x:v>
      </x:c>
    </x:row>
    <x:row r="791">
      <x:c r="C791" s="45" t="n">
        <x:v>46173</x:v>
      </x:c>
      <x:c r="D791" t="str">
        <x:v>CAOT-2024-2</x:v>
      </x:c>
      <x:c r="E791" t="str">
        <x:v>gross_chargeoffs_raw</x:v>
      </x:c>
      <x:c r="F791" s="70" t="n">
        <x:f>'Loan tape'!F186</x:f>
        <x:v>2742277.33</x:v>
      </x:c>
      <x:c r="G791" s="70" t="n">
        <x:f>'Loan tape'!G186</x:f>
        <x:v>1817243.28</x:v>
      </x:c>
      <x:c r="H791" s="70" t="n">
        <x:f>F791-G791</x:f>
        <x:v>925034.05</x:v>
      </x:c>
      <x:c r="I791" t="str">
        <x:v>USD</x:v>
      </x:c>
    </x:row>
    <x:row r="792">
      <x:c r="C792" s="45" t="n">
        <x:v>46173</x:v>
      </x:c>
      <x:c r="D792" t="str">
        <x:v>CAOT-2024-2</x:v>
      </x:c>
      <x:c r="E792" t="str">
        <x:v>recoveries</x:v>
      </x:c>
      <x:c r="F792" s="70" t="n">
        <x:f>'Loan tape'!F187</x:f>
        <x:v>893257.53</x:v>
      </x:c>
      <x:c r="G792" s="70" t="n">
        <x:f>'Loan tape'!G187</x:f>
        <x:v>888152.98</x:v>
      </x:c>
      <x:c r="H792" s="70" t="n">
        <x:f>F792-G792</x:f>
        <x:v>5104.550000000047</x:v>
      </x:c>
      <x:c r="I792" t="str">
        <x:v>USD</x:v>
      </x:c>
    </x:row>
    <x:row r="793">
      <x:c r="C793" s="45" t="n">
        <x:v>46203</x:v>
      </x:c>
      <x:c r="D793" t="str">
        <x:v>CAOT-2024-2</x:v>
      </x:c>
      <x:c r="E793" t="str">
        <x:v>outstanding_loan_count</x:v>
      </x:c>
      <x:c r="F793" s="77" t="n">
        <x:f>'Loan tape'!F188</x:f>
        <x:v>40065</x:v>
      </x:c>
      <x:c r="G793" s="77" t="n">
        <x:f>'Loan tape'!G188</x:f>
        <x:v>40065</x:v>
      </x:c>
      <x:c r="H793" s="77" t="n">
        <x:f>F793-G793</x:f>
        <x:v>0</x:v>
      </x:c>
      <x:c r="I793" t="str">
        <x:v>loans</x:v>
      </x:c>
    </x:row>
    <x:row r="794">
      <x:c r="C794" s="45" t="n">
        <x:v>46203</x:v>
      </x:c>
      <x:c r="D794" t="str">
        <x:v>CAOT-2024-2</x:v>
      </x:c>
      <x:c r="E794" t="str">
        <x:v>pool_begin</x:v>
      </x:c>
      <x:c r="F794" s="70" t="n">
        <x:f>'Loan tape'!F189</x:f>
        <x:v>597221274.02</x:v>
      </x:c>
      <x:c r="G794" s="70" t="n">
        <x:f>'Loan tape'!G189</x:f>
        <x:v>597219585.64</x:v>
      </x:c>
      <x:c r="H794" s="70" t="n">
        <x:f>F794-G794</x:f>
        <x:v>1688.3799999952316</x:v>
      </x:c>
      <x:c r="I794" t="str">
        <x:v>USD</x:v>
      </x:c>
    </x:row>
    <x:row r="795">
      <x:c r="C795" s="45" t="n">
        <x:v>46203</x:v>
      </x:c>
      <x:c r="D795" t="str">
        <x:v>CAOT-2024-2</x:v>
      </x:c>
      <x:c r="E795" t="str">
        <x:v>pool_end</x:v>
      </x:c>
      <x:c r="F795" s="70" t="n">
        <x:f>'Loan tape'!F190</x:f>
        <x:v>570515924.01</x:v>
      </x:c>
      <x:c r="G795" s="70" t="n">
        <x:f>'Loan tape'!G190</x:f>
        <x:v>570514123.18</x:v>
      </x:c>
      <x:c r="H795" s="70" t="n">
        <x:f>F795-G795</x:f>
        <x:v>1800.8300000429153</x:v>
      </x:c>
      <x:c r="I795" t="str">
        <x:v>USD</x:v>
      </x:c>
    </x:row>
    <x:row r="796">
      <x:c r="C796" s="45" t="n">
        <x:v>46203</x:v>
      </x:c>
      <x:c r="D796" t="str">
        <x:v>CAOT-2024-2</x:v>
      </x:c>
      <x:c r="E796" t="str">
        <x:v>principal_collected</x:v>
      </x:c>
      <x:c r="F796" s="70" t="n">
        <x:f>'Loan tape'!F191</x:f>
        <x:v>23920241.24</x:v>
      </x:c>
      <x:c r="G796" s="70" t="n">
        <x:f>'Loan tape'!G191</x:f>
        <x:v>23924432.54</x:v>
      </x:c>
      <x:c r="H796" s="70" t="n">
        <x:f>F796-G796</x:f>
        <x:v>-4191.300000000745</x:v>
      </x:c>
      <x:c r="I796" t="str">
        <x:v>USD</x:v>
      </x:c>
    </x:row>
    <x:row r="797">
      <x:c r="C797" s="45" t="n">
        <x:v>46203</x:v>
      </x:c>
      <x:c r="D797" t="str">
        <x:v>CAOT-2024-2</x:v>
      </x:c>
      <x:c r="E797" t="str">
        <x:v>interest_collected</x:v>
      </x:c>
      <x:c r="F797" s="70" t="n">
        <x:f>'Loan tape'!F192</x:f>
        <x:v>5562254.89</x:v>
      </x:c>
      <x:c r="G797" s="70" t="n">
        <x:f>'Loan tape'!G192</x:f>
        <x:v>5615663.68</x:v>
      </x:c>
      <x:c r="H797" s="70" t="n">
        <x:f>F797-G797</x:f>
        <x:v>-53408.79000000004</x:v>
      </x:c>
      <x:c r="I797" t="str">
        <x:v>USD</x:v>
      </x:c>
    </x:row>
    <x:row r="798">
      <x:c r="C798" s="45" t="n">
        <x:v>46203</x:v>
      </x:c>
      <x:c r="D798" t="str">
        <x:v>CAOT-2024-2</x:v>
      </x:c>
      <x:c r="E798" t="str">
        <x:v>gross_chargeoffs_raw</x:v>
      </x:c>
      <x:c r="F798" s="70" t="n">
        <x:f>'Loan tape'!F193</x:f>
        <x:v>3638555.73</x:v>
      </x:c>
      <x:c r="G798" s="70" t="n">
        <x:f>'Loan tape'!G193</x:f>
        <x:v>2781029.92</x:v>
      </x:c>
      <x:c r="H798" s="70" t="n">
        <x:f>F798-G798</x:f>
        <x:v>857525.81</x:v>
      </x:c>
      <x:c r="I798" t="str">
        <x:v>USD</x:v>
      </x:c>
    </x:row>
    <x:row r="799">
      <x:c r="C799" s="45" t="n">
        <x:v>46203</x:v>
      </x:c>
      <x:c r="D799" t="str">
        <x:v>CAOT-2024-2</x:v>
      </x:c>
      <x:c r="E799" t="str">
        <x:v>recoveries</x:v>
      </x:c>
      <x:c r="F799" s="70" t="n">
        <x:f>'Loan tape'!F194</x:f>
        <x:v>875766.35</x:v>
      </x:c>
      <x:c r="G799" s="70" t="n">
        <x:f>'Loan tape'!G194</x:f>
        <x:v>762066.07</x:v>
      </x:c>
      <x:c r="H799" s="70" t="n">
        <x:f>F799-G799</x:f>
        <x:v>113700.28000000003</x:v>
      </x:c>
      <x:c r="I799" t="str">
        <x:v>USD</x:v>
      </x:c>
    </x:row>
    <x:row r="800">
      <x:c r="C800" s="45" t="n">
        <x:v>46234</x:v>
      </x:c>
      <x:c r="D800" t="str">
        <x:v>CAOT-2024-2</x:v>
      </x:c>
      <x:c r="E800" t="str">
        <x:v>outstanding_loan_count</x:v>
      </x:c>
      <x:c r="F800" s="77" t="n">
        <x:f>'Loan tape'!F195</x:f>
        <x:v>39147</x:v>
      </x:c>
      <x:c r="G800" s="77" t="n">
        <x:f>'Loan tape'!G195</x:f>
        <x:v>39145</x:v>
      </x:c>
      <x:c r="H800" s="77" t="n">
        <x:f>F800-G800</x:f>
        <x:v>2</x:v>
      </x:c>
      <x:c r="I800" t="str">
        <x:v>loans</x:v>
      </x:c>
    </x:row>
    <x:row r="801">
      <x:c r="C801" s="45" t="n">
        <x:v>46234</x:v>
      </x:c>
      <x:c r="D801" t="str">
        <x:v>CAOT-2024-2</x:v>
      </x:c>
      <x:c r="E801" t="str">
        <x:v>pool_begin</x:v>
      </x:c>
      <x:c r="F801" s="70" t="n">
        <x:f>'Loan tape'!F196</x:f>
        <x:v>570515924.01</x:v>
      </x:c>
      <x:c r="G801" s="70" t="n">
        <x:f>'Loan tape'!G196</x:f>
        <x:v>570514123.18</x:v>
      </x:c>
      <x:c r="H801" s="70" t="n">
        <x:f>F801-G801</x:f>
        <x:v>1800.8300000429153</x:v>
      </x:c>
      <x:c r="I801" t="str">
        <x:v>USD</x:v>
      </x:c>
    </x:row>
    <x:row r="802">
      <x:c r="C802" s="45" t="n">
        <x:v>46234</x:v>
      </x:c>
      <x:c r="D802" t="str">
        <x:v>CAOT-2024-2</x:v>
      </x:c>
      <x:c r="E802" t="str">
        <x:v>pool_end</x:v>
      </x:c>
      <x:c r="F802" s="70" t="n">
        <x:f>'Loan tape'!F197</x:f>
        <x:v>543596668.82</x:v>
      </x:c>
      <x:c r="G802" s="70" t="n">
        <x:f>'Loan tape'!G197</x:f>
        <x:v>543595358.83</x:v>
      </x:c>
      <x:c r="H802" s="70" t="n">
        <x:f>F802-G802</x:f>
        <x:v>1309.9900000095367</x:v>
      </x:c>
      <x:c r="I802" t="str">
        <x:v>USD</x:v>
      </x:c>
    </x:row>
    <x:row r="803">
      <x:c r="C803" s="45" t="n">
        <x:v>46234</x:v>
      </x:c>
      <x:c r="D803" t="str">
        <x:v>CAOT-2024-2</x:v>
      </x:c>
      <x:c r="E803" t="str">
        <x:v>principal_collected</x:v>
      </x:c>
      <x:c r="F803" s="70" t="n">
        <x:f>'Loan tape'!F198</x:f>
        <x:v>24624136.97</x:v>
      </x:c>
      <x:c r="G803" s="70" t="n">
        <x:f>'Loan tape'!G198</x:f>
        <x:v>24642845.71</x:v>
      </x:c>
      <x:c r="H803" s="70" t="n">
        <x:f>F803-G803</x:f>
        <x:v>-18708.740000002086</x:v>
      </x:c>
      <x:c r="I803" t="str">
        <x:v>USD</x:v>
      </x:c>
    </x:row>
    <x:row r="804">
      <x:c r="C804" s="45" t="n">
        <x:v>46234</x:v>
      </x:c>
      <x:c r="D804" t="str">
        <x:v>CAOT-2024-2</x:v>
      </x:c>
      <x:c r="E804" t="str">
        <x:v>interest_collected</x:v>
      </x:c>
      <x:c r="F804" s="70" t="n">
        <x:f>'Loan tape'!F199</x:f>
        <x:v>5545796.45</x:v>
      </x:c>
      <x:c r="G804" s="70" t="n">
        <x:f>'Loan tape'!G199</x:f>
        <x:v>5607844.35</x:v>
      </x:c>
      <x:c r="H804" s="70" t="n">
        <x:f>F804-G804</x:f>
        <x:v>-62047.89999999944</x:v>
      </x:c>
      <x:c r="I804" t="str">
        <x:v>USD</x:v>
      </x:c>
    </x:row>
    <x:row r="805">
      <x:c r="C805" s="45" t="n">
        <x:v>46234</x:v>
      </x:c>
      <x:c r="D805" t="str">
        <x:v>CAOT-2024-2</x:v>
      </x:c>
      <x:c r="E805" t="str">
        <x:v>gross_chargeoffs_raw</x:v>
      </x:c>
      <x:c r="F805" s="70" t="n">
        <x:f>'Loan tape'!F200</x:f>
        <x:v>3149254.82</x:v>
      </x:c>
      <x:c r="G805" s="70" t="n">
        <x:f>'Loan tape'!G200</x:f>
        <x:v>2275918.64</x:v>
      </x:c>
      <x:c r="H805" s="70" t="n">
        <x:f>F805-G805</x:f>
        <x:v>873336.1799999997</x:v>
      </x:c>
      <x:c r="I805" t="str">
        <x:v>USD</x:v>
      </x:c>
    </x:row>
    <x:row r="806">
      <x:c r="C806" s="45" t="n">
        <x:v>46234</x:v>
      </x:c>
      <x:c r="D806" t="str">
        <x:v>CAOT-2024-2</x:v>
      </x:c>
      <x:c r="E806" t="str">
        <x:v>recoveries</x:v>
      </x:c>
      <x:c r="F806" s="70" t="n">
        <x:f>'Loan tape'!F201</x:f>
        <x:v>760168.83</x:v>
      </x:c>
      <x:c r="G806" s="70" t="n">
        <x:f>'Loan tape'!G201</x:f>
        <x:v>869668.34</x:v>
      </x:c>
      <x:c r="H806" s="70" t="n">
        <x:f>F806-G806</x:f>
        <x:v>-109499.51000000001</x:v>
      </x:c>
      <x:c r="I806" t="str">
        <x:v>USD</x:v>
      </x:c>
    </x:row>
    <x:row r="807">
      <x:c r="C807" s="45" t="n">
        <x:v>46265</x:v>
      </x:c>
      <x:c r="D807" t="str">
        <x:v>CAOT-2024-2</x:v>
      </x:c>
      <x:c r="E807" t="str">
        <x:v>outstanding_loan_count</x:v>
      </x:c>
      <x:c r="F807" s="77" t="n">
        <x:f>'Loan tape'!F202</x:f>
        <x:v>38216</x:v>
      </x:c>
      <x:c r="G807" s="77" t="n">
        <x:f>'Loan tape'!G202</x:f>
        <x:v>38216</x:v>
      </x:c>
      <x:c r="H807" s="77" t="n">
        <x:f>F807-G807</x:f>
        <x:v>0</x:v>
      </x:c>
      <x:c r="I807" t="str">
        <x:v>loans</x:v>
      </x:c>
    </x:row>
    <x:row r="808">
      <x:c r="C808" s="45" t="n">
        <x:v>46265</x:v>
      </x:c>
      <x:c r="D808" t="str">
        <x:v>CAOT-2024-2</x:v>
      </x:c>
      <x:c r="E808" t="str">
        <x:v>pool_begin</x:v>
      </x:c>
      <x:c r="F808" s="70" t="n">
        <x:f>'Loan tape'!F203</x:f>
        <x:v>543596668.82</x:v>
      </x:c>
      <x:c r="G808" s="70" t="n">
        <x:f>'Loan tape'!G203</x:f>
        <x:v>543595358.83</x:v>
      </x:c>
      <x:c r="H808" s="70" t="n">
        <x:f>F808-G808</x:f>
        <x:v>1309.9900000095367</x:v>
      </x:c>
      <x:c r="I808" t="str">
        <x:v>USD</x:v>
      </x:c>
    </x:row>
    <x:row r="809">
      <x:c r="C809" s="45" t="n">
        <x:v>46265</x:v>
      </x:c>
      <x:c r="D809" t="str">
        <x:v>CAOT-2024-2</x:v>
      </x:c>
      <x:c r="E809" t="str">
        <x:v>pool_end</x:v>
      </x:c>
      <x:c r="F809" s="70" t="n">
        <x:f>'Loan tape'!F204</x:f>
        <x:v>517977271.97</x:v>
      </x:c>
      <x:c r="G809" s="70" t="n">
        <x:f>'Loan tape'!G204</x:f>
        <x:v>517974636.32</x:v>
      </x:c>
      <x:c r="H809" s="70" t="n">
        <x:f>F809-G809</x:f>
        <x:v>2635.650000035763</x:v>
      </x:c>
      <x:c r="I809" t="str">
        <x:v>USD</x:v>
      </x:c>
    </x:row>
    <x:row r="810">
      <x:c r="C810" s="45" t="n">
        <x:v>46265</x:v>
      </x:c>
      <x:c r="D810" t="str">
        <x:v>CAOT-2024-2</x:v>
      </x:c>
      <x:c r="E810" t="str">
        <x:v>principal_collected</x:v>
      </x:c>
      <x:c r="F810" s="70" t="n">
        <x:f>'Loan tape'!F205</x:f>
        <x:v>23530015.61</x:v>
      </x:c>
      <x:c r="G810" s="70" t="n">
        <x:f>'Loan tape'!G205</x:f>
        <x:v>23559695.44</x:v>
      </x:c>
      <x:c r="H810" s="70" t="n">
        <x:f>F810-G810</x:f>
        <x:v>-29679.830000001937</x:v>
      </x:c>
      <x:c r="I810" t="str">
        <x:v>USD</x:v>
      </x:c>
    </x:row>
    <x:row r="811">
      <x:c r="C811" s="45" t="n">
        <x:v>46265</x:v>
      </x:c>
      <x:c r="D811" t="str">
        <x:v>CAOT-2024-2</x:v>
      </x:c>
      <x:c r="E811" t="str">
        <x:v>interest_collected</x:v>
      </x:c>
      <x:c r="F811" s="70" t="n">
        <x:f>'Loan tape'!F206</x:f>
        <x:v>5162521.59</x:v>
      </x:c>
      <x:c r="G811" s="70" t="n">
        <x:f>'Loan tape'!G206</x:f>
        <x:v>5225787.15</x:v>
      </x:c>
      <x:c r="H811" s="70" t="n">
        <x:f>F811-G811</x:f>
        <x:v>-63265.56000000052</x:v>
      </x:c>
      <x:c r="I811" t="str">
        <x:v>USD</x:v>
      </x:c>
    </x:row>
    <x:row r="812">
      <x:c r="C812" s="45" t="n">
        <x:v>46265</x:v>
      </x:c>
      <x:c r="D812" t="str">
        <x:v>CAOT-2024-2</x:v>
      </x:c>
      <x:c r="E812" t="str">
        <x:v>gross_chargeoffs_raw</x:v>
      </x:c>
      <x:c r="F812" s="70" t="n">
        <x:f>'Loan tape'!F207</x:f>
        <x:v>3178607.53</x:v>
      </x:c>
      <x:c r="G812" s="70" t="n">
        <x:f>'Loan tape'!G207</x:f>
        <x:v>2061027.07</x:v>
      </x:c>
      <x:c r="H812" s="70" t="n">
        <x:f>F812-G812</x:f>
        <x:v>1117580.4599999997</x:v>
      </x:c>
      <x:c r="I812" t="str">
        <x:v>USD</x:v>
      </x:c>
    </x:row>
    <x:row r="813">
      <x:c r="C813" s="45" t="n">
        <x:v>46265</x:v>
      </x:c>
      <x:c r="D813" t="str">
        <x:v>CAOT-2024-2</x:v>
      </x:c>
      <x:c r="E813" t="str">
        <x:v>recoveries</x:v>
      </x:c>
      <x:c r="F813" s="70" t="n">
        <x:f>'Loan tape'!F208</x:f>
        <x:v>886770.58</x:v>
      </x:c>
      <x:c r="G813" s="70" t="n">
        <x:f>'Loan tape'!G208</x:f>
        <x:v>883580.39</x:v>
      </x:c>
      <x:c r="H813" s="70" t="n">
        <x:f>F813-G813</x:f>
        <x:v>3190.189999999944</x:v>
      </x:c>
      <x:c r="I813" t="str">
        <x:v>USD</x:v>
      </x:c>
    </x:row>
    <x:row r="814">
      <x:c r="C814" s="45" t="n">
        <x:v>45777</x:v>
      </x:c>
      <x:c r="D814" t="str">
        <x:v>CAOT-2025-2</x:v>
      </x:c>
      <x:c r="E814" t="str">
        <x:v>outstanding_loan_count</x:v>
      </x:c>
      <x:c r="F814" s="77" t="n">
        <x:f>'Loan tape'!F209</x:f>
        <x:v>77605</x:v>
      </x:c>
      <x:c r="G814" s="77" t="n">
        <x:f>'Loan tape'!G209</x:f>
        <x:v>77605</x:v>
      </x:c>
      <x:c r="H814" s="77" t="n">
        <x:f>F814-G814</x:f>
        <x:v>0</x:v>
      </x:c>
      <x:c r="I814" t="str">
        <x:v>loans</x:v>
      </x:c>
    </x:row>
    <x:row r="815">
      <x:c r="C815" s="45" t="n">
        <x:v>45777</x:v>
      </x:c>
      <x:c r="D815" t="str">
        <x:v>CAOT-2025-2</x:v>
      </x:c>
      <x:c r="E815" t="str">
        <x:v>pool_begin</x:v>
      </x:c>
      <x:c r="F815" s="70" t="n">
        <x:f>'Loan tape'!F210</x:f>
        <x:v>1410579421.74</x:v>
      </x:c>
      <x:c r="G815" s="70" t="n">
        <x:f>'Loan tape'!G210</x:f>
        <x:v>1410579421.74</x:v>
      </x:c>
      <x:c r="H815" s="70" t="n">
        <x:f>F815-G815</x:f>
        <x:v>0</x:v>
      </x:c>
      <x:c r="I815" t="str">
        <x:v>USD</x:v>
      </x:c>
    </x:row>
    <x:row r="816">
      <x:c r="C816" s="45" t="n">
        <x:v>45777</x:v>
      </x:c>
      <x:c r="D816" t="str">
        <x:v>CAOT-2025-2</x:v>
      </x:c>
      <x:c r="E816" t="str">
        <x:v>pool_end</x:v>
      </x:c>
      <x:c r="F816" s="70" t="n">
        <x:f>'Loan tape'!F211</x:f>
        <x:v>1360667830.77</x:v>
      </x:c>
      <x:c r="G816" s="70" t="n">
        <x:f>'Loan tape'!G211</x:f>
        <x:v>1360662923.91</x:v>
      </x:c>
      <x:c r="H816" s="70" t="n">
        <x:f>F816-G816</x:f>
        <x:v>4906.859999895096</x:v>
      </x:c>
      <x:c r="I816" t="str">
        <x:v>USD</x:v>
      </x:c>
    </x:row>
    <x:row r="817">
      <x:c r="C817" s="45" t="n">
        <x:v>45777</x:v>
      </x:c>
      <x:c r="D817" t="str">
        <x:v>CAOT-2025-2</x:v>
      </x:c>
      <x:c r="E817" t="str">
        <x:v>principal_collected</x:v>
      </x:c>
      <x:c r="F817" s="70" t="n">
        <x:f>'Loan tape'!F212</x:f>
        <x:v>49935562.97</x:v>
      </x:c>
      <x:c r="G817" s="70" t="n">
        <x:f>'Loan tape'!G212</x:f>
        <x:v>49916497.83</x:v>
      </x:c>
      <x:c r="H817" s="70" t="n">
        <x:f>F817-G817</x:f>
        <x:v>19065.140000000596</x:v>
      </x:c>
      <x:c r="I817" t="str">
        <x:v>USD</x:v>
      </x:c>
    </x:row>
    <x:row r="818">
      <x:c r="C818" s="45" t="n">
        <x:v>45777</x:v>
      </x:c>
      <x:c r="D818" t="str">
        <x:v>CAOT-2025-2</x:v>
      </x:c>
      <x:c r="E818" t="str">
        <x:v>interest_collected</x:v>
      </x:c>
      <x:c r="F818" s="70" t="n">
        <x:f>'Loan tape'!F213</x:f>
        <x:v>9986948.1</x:v>
      </x:c>
      <x:c r="G818" s="70" t="n">
        <x:f>'Loan tape'!G213</x:f>
        <x:v>10684948.18</x:v>
      </x:c>
      <x:c r="H818" s="70" t="n">
        <x:f>F818-G818</x:f>
        <x:v>-698000.0800000001</x:v>
      </x:c>
      <x:c r="I818" t="str">
        <x:v>USD</x:v>
      </x:c>
    </x:row>
    <x:row r="819">
      <x:c r="C819" s="45" t="n">
        <x:v>45777</x:v>
      </x:c>
      <x:c r="D819" t="str">
        <x:v>CAOT-2025-2</x:v>
      </x:c>
      <x:c r="E819" t="str">
        <x:v>gross_chargeoffs_raw</x:v>
      </x:c>
      <x:c r="F819" s="70" t="n">
        <x:f>'Loan tape'!F214</x:f>
        <x:v>0</x:v>
      </x:c>
      <x:c r="G819" s="70" t="n">
        <x:f>'Loan tape'!G214</x:f>
        <x:v>0</x:v>
      </x:c>
      <x:c r="H819" s="70" t="n">
        <x:f>F819-G819</x:f>
        <x:v>0</x:v>
      </x:c>
      <x:c r="I819" t="str">
        <x:v>USD</x:v>
      </x:c>
    </x:row>
    <x:row r="820">
      <x:c r="C820" s="45" t="n">
        <x:v>45777</x:v>
      </x:c>
      <x:c r="D820" t="str">
        <x:v>CAOT-2025-2</x:v>
      </x:c>
      <x:c r="E820" t="str">
        <x:v>recoveries</x:v>
      </x:c>
      <x:c r="F820" s="70" t="n">
        <x:f>'Loan tape'!F215</x:f>
        <x:v>0</x:v>
      </x:c>
      <x:c r="G820" s="70" t="n">
        <x:f>'Loan tape'!G215</x:f>
        <x:v>0</x:v>
      </x:c>
      <x:c r="H820" s="70" t="n">
        <x:f>F820-G820</x:f>
        <x:v>0</x:v>
      </x:c>
      <x:c r="I820" t="str">
        <x:v>USD</x:v>
      </x:c>
    </x:row>
    <x:row r="821">
      <x:c r="C821" s="45" t="n">
        <x:v>45808</x:v>
      </x:c>
      <x:c r="D821" t="str">
        <x:v>CAOT-2025-2</x:v>
      </x:c>
      <x:c r="E821" t="str">
        <x:v>outstanding_loan_count</x:v>
      </x:c>
      <x:c r="F821" s="77" t="n">
        <x:f>'Loan tape'!F216</x:f>
        <x:v>76108</x:v>
      </x:c>
      <x:c r="G821" s="77" t="n">
        <x:f>'Loan tape'!G216</x:f>
        <x:v>76107</x:v>
      </x:c>
      <x:c r="H821" s="77" t="n">
        <x:f>F821-G821</x:f>
        <x:v>1</x:v>
      </x:c>
      <x:c r="I821" t="str">
        <x:v>loans</x:v>
      </x:c>
    </x:row>
    <x:row r="822">
      <x:c r="C822" s="45" t="n">
        <x:v>45808</x:v>
      </x:c>
      <x:c r="D822" t="str">
        <x:v>CAOT-2025-2</x:v>
      </x:c>
      <x:c r="E822" t="str">
        <x:v>pool_begin</x:v>
      </x:c>
      <x:c r="F822" s="70" t="n">
        <x:f>'Loan tape'!F217</x:f>
        <x:v>1360667830.77</x:v>
      </x:c>
      <x:c r="G822" s="70" t="n">
        <x:f>'Loan tape'!G217</x:f>
        <x:v>1360662923.91</x:v>
      </x:c>
      <x:c r="H822" s="70" t="n">
        <x:f>F822-G822</x:f>
        <x:v>4906.859999895096</x:v>
      </x:c>
      <x:c r="I822" t="str">
        <x:v>USD</x:v>
      </x:c>
    </x:row>
    <x:row r="823">
      <x:c r="C823" s="45" t="n">
        <x:v>45808</x:v>
      </x:c>
      <x:c r="D823" t="str">
        <x:v>CAOT-2025-2</x:v>
      </x:c>
      <x:c r="E823" t="str">
        <x:v>pool_end</x:v>
      </x:c>
      <x:c r="F823" s="70" t="n">
        <x:f>'Loan tape'!F218</x:f>
        <x:v>1314239922.35</x:v>
      </x:c>
      <x:c r="G823" s="70" t="n">
        <x:f>'Loan tape'!G218</x:f>
        <x:v>1314235191.47</x:v>
      </x:c>
      <x:c r="H823" s="70" t="n">
        <x:f>F823-G823</x:f>
        <x:v>4730.879999876022</x:v>
      </x:c>
      <x:c r="I823" t="str">
        <x:v>USD</x:v>
      </x:c>
    </x:row>
    <x:row r="824">
      <x:c r="C824" s="45" t="n">
        <x:v>45808</x:v>
      </x:c>
      <x:c r="D824" t="str">
        <x:v>CAOT-2025-2</x:v>
      </x:c>
      <x:c r="E824" t="str">
        <x:v>principal_collected</x:v>
      </x:c>
      <x:c r="F824" s="70" t="n">
        <x:f>'Loan tape'!F219</x:f>
        <x:v>46492987.5</x:v>
      </x:c>
      <x:c r="G824" s="70" t="n">
        <x:f>'Loan tape'!G219</x:f>
        <x:v>46404008.83</x:v>
      </x:c>
      <x:c r="H824" s="70" t="n">
        <x:f>F824-G824</x:f>
        <x:v>88978.67000000179</x:v>
      </x:c>
      <x:c r="I824" t="str">
        <x:v>USD</x:v>
      </x:c>
    </x:row>
    <x:row r="825">
      <x:c r="C825" s="45" t="n">
        <x:v>45808</x:v>
      </x:c>
      <x:c r="D825" t="str">
        <x:v>CAOT-2025-2</x:v>
      </x:c>
      <x:c r="E825" t="str">
        <x:v>interest_collected</x:v>
      </x:c>
      <x:c r="F825" s="70" t="n">
        <x:f>'Loan tape'!F220</x:f>
        <x:v>9796012.4</x:v>
      </x:c>
      <x:c r="G825" s="70" t="n">
        <x:f>'Loan tape'!G220</x:f>
        <x:v>10506541.29</x:v>
      </x:c>
      <x:c r="H825" s="70" t="n">
        <x:f>F825-G825</x:f>
        <x:v>-710528.8899999987</x:v>
      </x:c>
      <x:c r="I825" t="str">
        <x:v>USD</x:v>
      </x:c>
    </x:row>
    <x:row r="826">
      <x:c r="C826" s="45" t="n">
        <x:v>45808</x:v>
      </x:c>
      <x:c r="D826" t="str">
        <x:v>CAOT-2025-2</x:v>
      </x:c>
      <x:c r="E826" t="str">
        <x:v>gross_chargeoffs_raw</x:v>
      </x:c>
      <x:c r="F826" s="70" t="n">
        <x:f>'Loan tape'!F221</x:f>
        <x:v>23723.61</x:v>
      </x:c>
      <x:c r="G826" s="70" t="n">
        <x:f>'Loan tape'!G221</x:f>
        <x:v>23723.61</x:v>
      </x:c>
      <x:c r="H826" s="70" t="n">
        <x:f>F826-G826</x:f>
        <x:v>0</x:v>
      </x:c>
      <x:c r="I826" t="str">
        <x:v>USD</x:v>
      </x:c>
    </x:row>
    <x:row r="827">
      <x:c r="C827" s="45" t="n">
        <x:v>45808</x:v>
      </x:c>
      <x:c r="D827" t="str">
        <x:v>CAOT-2025-2</x:v>
      </x:c>
      <x:c r="E827" t="str">
        <x:v>recoveries</x:v>
      </x:c>
      <x:c r="F827" s="70" t="n">
        <x:f>'Loan tape'!F222</x:f>
        <x:v>0</x:v>
      </x:c>
      <x:c r="G827" s="70" t="n">
        <x:f>'Loan tape'!G222</x:f>
        <x:v>0</x:v>
      </x:c>
      <x:c r="H827" s="70" t="n">
        <x:f>F827-G827</x:f>
        <x:v>0</x:v>
      </x:c>
      <x:c r="I827" t="str">
        <x:v>USD</x:v>
      </x:c>
    </x:row>
    <x:row r="828">
      <x:c r="C828" s="45" t="n">
        <x:v>45838</x:v>
      </x:c>
      <x:c r="D828" t="str">
        <x:v>CAOT-2025-2</x:v>
      </x:c>
      <x:c r="E828" t="str">
        <x:v>outstanding_loan_count</x:v>
      </x:c>
      <x:c r="F828" s="77" t="n">
        <x:f>'Loan tape'!F223</x:f>
        <x:v>74232</x:v>
      </x:c>
      <x:c r="G828" s="77" t="n">
        <x:f>'Loan tape'!G223</x:f>
        <x:v>74231</x:v>
      </x:c>
      <x:c r="H828" s="77" t="n">
        <x:f>F828-G828</x:f>
        <x:v>1</x:v>
      </x:c>
      <x:c r="I828" t="str">
        <x:v>loans</x:v>
      </x:c>
    </x:row>
    <x:row r="829">
      <x:c r="C829" s="45" t="n">
        <x:v>45838</x:v>
      </x:c>
      <x:c r="D829" t="str">
        <x:v>CAOT-2025-2</x:v>
      </x:c>
      <x:c r="E829" t="str">
        <x:v>pool_begin</x:v>
      </x:c>
      <x:c r="F829" s="70" t="n">
        <x:f>'Loan tape'!F224</x:f>
        <x:v>1314239922.35</x:v>
      </x:c>
      <x:c r="G829" s="70" t="n">
        <x:f>'Loan tape'!G224</x:f>
        <x:v>1314235191.47</x:v>
      </x:c>
      <x:c r="H829" s="70" t="n">
        <x:f>F829-G829</x:f>
        <x:v>4730.879999876022</x:v>
      </x:c>
      <x:c r="I829" t="str">
        <x:v>USD</x:v>
      </x:c>
    </x:row>
    <x:row r="830">
      <x:c r="C830" s="45" t="n">
        <x:v>45838</x:v>
      </x:c>
      <x:c r="D830" t="str">
        <x:v>CAOT-2025-2</x:v>
      </x:c>
      <x:c r="E830" t="str">
        <x:v>pool_end</x:v>
      </x:c>
      <x:c r="F830" s="70" t="n">
        <x:f>'Loan tape'!F225</x:f>
        <x:v>1270524650.03</x:v>
      </x:c>
      <x:c r="G830" s="70" t="n">
        <x:f>'Loan tape'!G225</x:f>
        <x:v>1270520288.28</x:v>
      </x:c>
      <x:c r="H830" s="70" t="n">
        <x:f>F830-G830</x:f>
        <x:v>4361.75</x:v>
      </x:c>
      <x:c r="I830" t="str">
        <x:v>USD</x:v>
      </x:c>
    </x:row>
    <x:row r="831">
      <x:c r="C831" s="45" t="n">
        <x:v>45838</x:v>
      </x:c>
      <x:c r="D831" t="str">
        <x:v>CAOT-2025-2</x:v>
      </x:c>
      <x:c r="E831" t="str">
        <x:v>principal_collected</x:v>
      </x:c>
      <x:c r="F831" s="70" t="n">
        <x:f>'Loan tape'!F226</x:f>
        <x:v>43583819.86</x:v>
      </x:c>
      <x:c r="G831" s="70" t="n">
        <x:f>'Loan tape'!G226</x:f>
        <x:v>43494912.8</x:v>
      </x:c>
      <x:c r="H831" s="70" t="n">
        <x:f>F831-G831</x:f>
        <x:v>88907.06000000238</x:v>
      </x:c>
      <x:c r="I831" t="str">
        <x:v>USD</x:v>
      </x:c>
    </x:row>
    <x:row r="832">
      <x:c r="C832" s="45" t="n">
        <x:v>45838</x:v>
      </x:c>
      <x:c r="D832" t="str">
        <x:v>CAOT-2025-2</x:v>
      </x:c>
      <x:c r="E832" t="str">
        <x:v>interest_collected</x:v>
      </x:c>
      <x:c r="F832" s="70" t="n">
        <x:f>'Loan tape'!F227</x:f>
        <x:v>9585116.5</x:v>
      </x:c>
      <x:c r="G832" s="70" t="n">
        <x:f>'Loan tape'!G227</x:f>
        <x:v>10233180.33</x:v>
      </x:c>
      <x:c r="H832" s="70" t="n">
        <x:f>F832-G832</x:f>
        <x:v>-648063.8300000001</x:v>
      </x:c>
      <x:c r="I832" t="str">
        <x:v>USD</x:v>
      </x:c>
    </x:row>
    <x:row r="833">
      <x:c r="C833" s="45" t="n">
        <x:v>45838</x:v>
      </x:c>
      <x:c r="D833" t="str">
        <x:v>CAOT-2025-2</x:v>
      </x:c>
      <x:c r="E833" t="str">
        <x:v>gross_chargeoffs_raw</x:v>
      </x:c>
      <x:c r="F833" s="70" t="n">
        <x:f>'Loan tape'!F228</x:f>
        <x:v>219990.39</x:v>
      </x:c>
      <x:c r="G833" s="70" t="n">
        <x:f>'Loan tape'!G228</x:f>
        <x:v>219990.39</x:v>
      </x:c>
      <x:c r="H833" s="70" t="n">
        <x:f>F833-G833</x:f>
        <x:v>0</x:v>
      </x:c>
      <x:c r="I833" t="str">
        <x:v>USD</x:v>
      </x:c>
    </x:row>
    <x:row r="834">
      <x:c r="C834" s="45" t="n">
        <x:v>45838</x:v>
      </x:c>
      <x:c r="D834" t="str">
        <x:v>CAOT-2025-2</x:v>
      </x:c>
      <x:c r="E834" t="str">
        <x:v>recoveries</x:v>
      </x:c>
      <x:c r="F834" s="70" t="n">
        <x:f>'Loan tape'!F229</x:f>
        <x:v>67836.77</x:v>
      </x:c>
      <x:c r="G834" s="70" t="n">
        <x:f>'Loan tape'!G229</x:f>
        <x:v>67516.63</x:v>
      </x:c>
      <x:c r="H834" s="70" t="n">
        <x:f>F834-G834</x:f>
        <x:v>320.1399999999994</x:v>
      </x:c>
      <x:c r="I834" t="str">
        <x:v>USD</x:v>
      </x:c>
    </x:row>
    <x:row r="835">
      <x:c r="C835" s="45" t="n">
        <x:v>45869</x:v>
      </x:c>
      <x:c r="D835" t="str">
        <x:v>CAOT-2025-2</x:v>
      </x:c>
      <x:c r="E835" t="str">
        <x:v>outstanding_loan_count</x:v>
      </x:c>
      <x:c r="F835" s="77" t="n">
        <x:f>'Loan tape'!F230</x:f>
        <x:v>71895</x:v>
      </x:c>
      <x:c r="G835" s="77" t="n">
        <x:f>'Loan tape'!G230</x:f>
        <x:v>71894</x:v>
      </x:c>
      <x:c r="H835" s="77" t="n">
        <x:f>F835-G835</x:f>
        <x:v>1</x:v>
      </x:c>
      <x:c r="I835" t="str">
        <x:v>loans</x:v>
      </x:c>
    </x:row>
    <x:row r="836">
      <x:c r="C836" s="45" t="n">
        <x:v>45869</x:v>
      </x:c>
      <x:c r="D836" t="str">
        <x:v>CAOT-2025-2</x:v>
      </x:c>
      <x:c r="E836" t="str">
        <x:v>pool_begin</x:v>
      </x:c>
      <x:c r="F836" s="70" t="n">
        <x:f>'Loan tape'!F231</x:f>
        <x:v>1270524650.03</x:v>
      </x:c>
      <x:c r="G836" s="70" t="n">
        <x:f>'Loan tape'!G231</x:f>
        <x:v>1270520288.28</x:v>
      </x:c>
      <x:c r="H836" s="70" t="n">
        <x:f>F836-G836</x:f>
        <x:v>4361.75</x:v>
      </x:c>
      <x:c r="I836" t="str">
        <x:v>USD</x:v>
      </x:c>
    </x:row>
    <x:row r="837">
      <x:c r="C837" s="45" t="n">
        <x:v>45869</x:v>
      </x:c>
      <x:c r="D837" t="str">
        <x:v>CAOT-2025-2</x:v>
      </x:c>
      <x:c r="E837" t="str">
        <x:v>pool_end</x:v>
      </x:c>
      <x:c r="F837" s="70" t="n">
        <x:f>'Loan tape'!F232</x:f>
        <x:v>1221050231.76</x:v>
      </x:c>
      <x:c r="G837" s="70" t="n">
        <x:f>'Loan tape'!G232</x:f>
        <x:v>1221045205.24</x:v>
      </x:c>
      <x:c r="H837" s="70" t="n">
        <x:f>F837-G837</x:f>
        <x:v>5026.5199999809265</x:v>
      </x:c>
      <x:c r="I837" t="str">
        <x:v>USD</x:v>
      </x:c>
    </x:row>
    <x:row r="838">
      <x:c r="C838" s="45" t="n">
        <x:v>45869</x:v>
      </x:c>
      <x:c r="D838" t="str">
        <x:v>CAOT-2025-2</x:v>
      </x:c>
      <x:c r="E838" t="str">
        <x:v>principal_collected</x:v>
      </x:c>
      <x:c r="F838" s="70" t="n">
        <x:f>'Loan tape'!F233</x:f>
        <x:v>48605376.57</x:v>
      </x:c>
      <x:c r="G838" s="70" t="n">
        <x:f>'Loan tape'!G233</x:f>
        <x:v>48571255.96</x:v>
      </x:c>
      <x:c r="H838" s="70" t="n">
        <x:f>F838-G838</x:f>
        <x:v>34120.609999999404</x:v>
      </x:c>
      <x:c r="I838" t="str">
        <x:v>USD</x:v>
      </x:c>
    </x:row>
    <x:row r="839">
      <x:c r="C839" s="45" t="n">
        <x:v>45869</x:v>
      </x:c>
      <x:c r="D839" t="str">
        <x:v>CAOT-2025-2</x:v>
      </x:c>
      <x:c r="E839" t="str">
        <x:v>interest_collected</x:v>
      </x:c>
      <x:c r="F839" s="70" t="n">
        <x:f>'Loan tape'!F234</x:f>
        <x:v>9220819.06</x:v>
      </x:c>
      <x:c r="G839" s="70" t="n">
        <x:f>'Loan tape'!G234</x:f>
        <x:v>9883123.88</x:v>
      </x:c>
      <x:c r="H839" s="70" t="n">
        <x:f>F839-G839</x:f>
        <x:v>-662304.8200000003</x:v>
      </x:c>
      <x:c r="I839" t="str">
        <x:v>USD</x:v>
      </x:c>
    </x:row>
    <x:row r="840">
      <x:c r="C840" s="45" t="n">
        <x:v>45869</x:v>
      </x:c>
      <x:c r="D840" t="str">
        <x:v>CAOT-2025-2</x:v>
      </x:c>
      <x:c r="E840" t="str">
        <x:v>gross_chargeoffs_raw</x:v>
      </x:c>
      <x:c r="F840" s="70" t="n">
        <x:f>'Loan tape'!F235</x:f>
        <x:v>918644.12</x:v>
      </x:c>
      <x:c r="G840" s="70" t="n">
        <x:f>'Loan tape'!G235</x:f>
        <x:v>903827.08</x:v>
      </x:c>
      <x:c r="H840" s="70" t="n">
        <x:f>F840-G840</x:f>
        <x:v>14817.040000000037</x:v>
      </x:c>
      <x:c r="I840" t="str">
        <x:v>USD</x:v>
      </x:c>
    </x:row>
    <x:row r="841">
      <x:c r="C841" s="45" t="n">
        <x:v>45869</x:v>
      </x:c>
      <x:c r="D841" t="str">
        <x:v>CAOT-2025-2</x:v>
      </x:c>
      <x:c r="E841" t="str">
        <x:v>recoveries</x:v>
      </x:c>
      <x:c r="F841" s="70" t="n">
        <x:f>'Loan tape'!F236</x:f>
        <x:v>168203.11</x:v>
      </x:c>
      <x:c r="G841" s="70" t="n">
        <x:f>'Loan tape'!G236</x:f>
        <x:v>168203.11</x:v>
      </x:c>
      <x:c r="H841" s="70" t="n">
        <x:f>F841-G841</x:f>
        <x:v>0</x:v>
      </x:c>
      <x:c r="I841" t="str">
        <x:v>USD</x:v>
      </x:c>
    </x:row>
    <x:row r="842">
      <x:c r="C842" s="45" t="n">
        <x:v>45900</x:v>
      </x:c>
      <x:c r="D842" t="str">
        <x:v>CAOT-2025-2</x:v>
      </x:c>
      <x:c r="E842" t="str">
        <x:v>outstanding_loan_count</x:v>
      </x:c>
      <x:c r="F842" s="77" t="n">
        <x:f>'Loan tape'!F237</x:f>
        <x:v>69559</x:v>
      </x:c>
      <x:c r="G842" s="77" t="n">
        <x:f>'Loan tape'!G237</x:f>
        <x:v>69558</x:v>
      </x:c>
      <x:c r="H842" s="77" t="n">
        <x:f>F842-G842</x:f>
        <x:v>1</x:v>
      </x:c>
      <x:c r="I842" t="str">
        <x:v>loans</x:v>
      </x:c>
    </x:row>
    <x:row r="843">
      <x:c r="C843" s="45" t="n">
        <x:v>45900</x:v>
      </x:c>
      <x:c r="D843" t="str">
        <x:v>CAOT-2025-2</x:v>
      </x:c>
      <x:c r="E843" t="str">
        <x:v>pool_begin</x:v>
      </x:c>
      <x:c r="F843" s="70" t="n">
        <x:f>'Loan tape'!F238</x:f>
        <x:v>1221050231.76</x:v>
      </x:c>
      <x:c r="G843" s="70" t="n">
        <x:f>'Loan tape'!G238</x:f>
        <x:v>1221045205.24</x:v>
      </x:c>
      <x:c r="H843" s="70" t="n">
        <x:f>F843-G843</x:f>
        <x:v>5026.5199999809265</x:v>
      </x:c>
      <x:c r="I843" t="str">
        <x:v>USD</x:v>
      </x:c>
    </x:row>
    <x:row r="844">
      <x:c r="C844" s="45" t="n">
        <x:v>45900</x:v>
      </x:c>
      <x:c r="D844" t="str">
        <x:v>CAOT-2025-2</x:v>
      </x:c>
      <x:c r="E844" t="str">
        <x:v>pool_end</x:v>
      </x:c>
      <x:c r="F844" s="70" t="n">
        <x:f>'Loan tape'!F239</x:f>
        <x:v>1176071989.14</x:v>
      </x:c>
      <x:c r="G844" s="70" t="n">
        <x:f>'Loan tape'!G239</x:f>
        <x:v>1176063647.34</x:v>
      </x:c>
      <x:c r="H844" s="70" t="n">
        <x:f>F844-G844</x:f>
        <x:v>8341.800000190735</x:v>
      </x:c>
      <x:c r="I844" t="str">
        <x:v>USD</x:v>
      </x:c>
    </x:row>
    <x:row r="845">
      <x:c r="C845" s="45" t="n">
        <x:v>45900</x:v>
      </x:c>
      <x:c r="D845" t="str">
        <x:v>CAOT-2025-2</x:v>
      </x:c>
      <x:c r="E845" t="str">
        <x:v>principal_collected</x:v>
      </x:c>
      <x:c r="F845" s="70" t="n">
        <x:f>'Loan tape'!F240</x:f>
        <x:v>43979796.38</x:v>
      </x:c>
      <x:c r="G845" s="70" t="n">
        <x:f>'Loan tape'!G240</x:f>
        <x:v>43923264.86</x:v>
      </x:c>
      <x:c r="H845" s="70" t="n">
        <x:f>F845-G845</x:f>
        <x:v>56531.52000000328</x:v>
      </x:c>
      <x:c r="I845" t="str">
        <x:v>USD</x:v>
      </x:c>
    </x:row>
    <x:row r="846">
      <x:c r="C846" s="45" t="n">
        <x:v>45900</x:v>
      </x:c>
      <x:c r="D846" t="str">
        <x:v>CAOT-2025-2</x:v>
      </x:c>
      <x:c r="E846" t="str">
        <x:v>interest_collected</x:v>
      </x:c>
      <x:c r="F846" s="70" t="n">
        <x:f>'Loan tape'!F241</x:f>
        <x:v>9074690.64</x:v>
      </x:c>
      <x:c r="G846" s="70" t="n">
        <x:f>'Loan tape'!G241</x:f>
        <x:v>9737951.69</x:v>
      </x:c>
      <x:c r="H846" s="70" t="n">
        <x:f>F846-G846</x:f>
        <x:v>-663261.0499999989</x:v>
      </x:c>
      <x:c r="I846" t="str">
        <x:v>USD</x:v>
      </x:c>
    </x:row>
    <x:row r="847">
      <x:c r="C847" s="45" t="n">
        <x:v>45900</x:v>
      </x:c>
      <x:c r="D847" t="str">
        <x:v>CAOT-2025-2</x:v>
      </x:c>
      <x:c r="E847" t="str">
        <x:v>gross_chargeoffs_raw</x:v>
      </x:c>
      <x:c r="F847" s="70" t="n">
        <x:f>'Loan tape'!F242</x:f>
        <x:v>1166778</x:v>
      </x:c>
      <x:c r="G847" s="70" t="n">
        <x:f>'Loan tape'!G242</x:f>
        <x:v>1058293.04</x:v>
      </x:c>
      <x:c r="H847" s="70" t="n">
        <x:f>F847-G847</x:f>
        <x:v>108484.95999999996</x:v>
      </x:c>
      <x:c r="I847" t="str">
        <x:v>USD</x:v>
      </x:c>
    </x:row>
    <x:row r="848">
      <x:c r="C848" s="45" t="n">
        <x:v>45900</x:v>
      </x:c>
      <x:c r="D848" t="str">
        <x:v>CAOT-2025-2</x:v>
      </x:c>
      <x:c r="E848" t="str">
        <x:v>recoveries</x:v>
      </x:c>
      <x:c r="F848" s="70" t="n">
        <x:f>'Loan tape'!F243</x:f>
        <x:v>281752.77</x:v>
      </x:c>
      <x:c r="G848" s="70" t="n">
        <x:f>'Loan tape'!G243</x:f>
        <x:v>281159.54</x:v>
      </x:c>
      <x:c r="H848" s="70" t="n">
        <x:f>F848-G848</x:f>
        <x:v>593.2300000000396</x:v>
      </x:c>
      <x:c r="I848" t="str">
        <x:v>USD</x:v>
      </x:c>
    </x:row>
    <x:row r="849">
      <x:c r="C849" s="45" t="n">
        <x:v>45930</x:v>
      </x:c>
      <x:c r="D849" t="str">
        <x:v>CAOT-2025-2</x:v>
      </x:c>
      <x:c r="E849" t="str">
        <x:v>outstanding_loan_count</x:v>
      </x:c>
      <x:c r="F849" s="77" t="n">
        <x:f>'Loan tape'!F244</x:f>
        <x:v>66964</x:v>
      </x:c>
      <x:c r="G849" s="77" t="n">
        <x:f>'Loan tape'!G244</x:f>
        <x:v>66964</x:v>
      </x:c>
      <x:c r="H849" s="77" t="n">
        <x:f>F849-G849</x:f>
        <x:v>0</x:v>
      </x:c>
      <x:c r="I849" t="str">
        <x:v>loans</x:v>
      </x:c>
    </x:row>
    <x:row r="850">
      <x:c r="C850" s="45" t="n">
        <x:v>45930</x:v>
      </x:c>
      <x:c r="D850" t="str">
        <x:v>CAOT-2025-2</x:v>
      </x:c>
      <x:c r="E850" t="str">
        <x:v>pool_begin</x:v>
      </x:c>
      <x:c r="F850" s="70" t="n">
        <x:f>'Loan tape'!F245</x:f>
        <x:v>1176071989.14</x:v>
      </x:c>
      <x:c r="G850" s="70" t="n">
        <x:f>'Loan tape'!G245</x:f>
        <x:v>1176063647.34</x:v>
      </x:c>
      <x:c r="H850" s="70" t="n">
        <x:f>F850-G850</x:f>
        <x:v>8341.800000190735</x:v>
      </x:c>
      <x:c r="I850" t="str">
        <x:v>USD</x:v>
      </x:c>
    </x:row>
    <x:row r="851">
      <x:c r="C851" s="45" t="n">
        <x:v>45930</x:v>
      </x:c>
      <x:c r="D851" t="str">
        <x:v>CAOT-2025-2</x:v>
      </x:c>
      <x:c r="E851" t="str">
        <x:v>pool_end</x:v>
      </x:c>
      <x:c r="F851" s="70" t="n">
        <x:f>'Loan tape'!F246</x:f>
        <x:v>1134927219.1</x:v>
      </x:c>
      <x:c r="G851" s="70" t="n">
        <x:f>'Loan tape'!G246</x:f>
        <x:v>1134924295.51</x:v>
      </x:c>
      <x:c r="H851" s="70" t="n">
        <x:f>F851-G851</x:f>
        <x:v>2923.5899999141693</x:v>
      </x:c>
      <x:c r="I851" t="str">
        <x:v>USD</x:v>
      </x:c>
    </x:row>
    <x:row r="852">
      <x:c r="C852" s="45" t="n">
        <x:v>45930</x:v>
      </x:c>
      <x:c r="D852" t="str">
        <x:v>CAOT-2025-2</x:v>
      </x:c>
      <x:c r="E852" t="str">
        <x:v>principal_collected</x:v>
      </x:c>
      <x:c r="F852" s="70" t="n">
        <x:f>'Loan tape'!F247</x:f>
        <x:v>39882897.64</x:v>
      </x:c>
      <x:c r="G852" s="70" t="n">
        <x:f>'Loan tape'!G247</x:f>
        <x:v>39883218.35</x:v>
      </x:c>
      <x:c r="H852" s="70" t="n">
        <x:f>F852-G852</x:f>
        <x:v>-320.71000000089407</x:v>
      </x:c>
      <x:c r="I852" t="str">
        <x:v>USD</x:v>
      </x:c>
    </x:row>
    <x:row r="853">
      <x:c r="C853" s="45" t="n">
        <x:v>45930</x:v>
      </x:c>
      <x:c r="D853" t="str">
        <x:v>CAOT-2025-2</x:v>
      </x:c>
      <x:c r="E853" t="str">
        <x:v>interest_collected</x:v>
      </x:c>
      <x:c r="F853" s="70" t="n">
        <x:f>'Loan tape'!F248</x:f>
        <x:v>8500510.82</x:v>
      </x:c>
      <x:c r="G853" s="70" t="n">
        <x:f>'Loan tape'!G248</x:f>
        <x:v>9163793.75</x:v>
      </x:c>
      <x:c r="H853" s="70" t="n">
        <x:f>F853-G853</x:f>
        <x:v>-663282.9299999997</x:v>
      </x:c>
      <x:c r="I853" t="str">
        <x:v>USD</x:v>
      </x:c>
    </x:row>
    <x:row r="854">
      <x:c r="C854" s="45" t="n">
        <x:v>45930</x:v>
      </x:c>
      <x:c r="D854" t="str">
        <x:v>CAOT-2025-2</x:v>
      </x:c>
      <x:c r="E854" t="str">
        <x:v>gross_chargeoffs_raw</x:v>
      </x:c>
      <x:c r="F854" s="70" t="n">
        <x:f>'Loan tape'!F249</x:f>
        <x:v>1479422.98</x:v>
      </x:c>
      <x:c r="G854" s="70" t="n">
        <x:f>'Loan tape'!G249</x:f>
        <x:v>1256133.48</x:v>
      </x:c>
      <x:c r="H854" s="70" t="n">
        <x:f>F854-G854</x:f>
        <x:v>223289.5</x:v>
      </x:c>
      <x:c r="I854" t="str">
        <x:v>USD</x:v>
      </x:c>
    </x:row>
    <x:row r="855">
      <x:c r="C855" s="45" t="n">
        <x:v>45930</x:v>
      </x:c>
      <x:c r="D855" t="str">
        <x:v>CAOT-2025-2</x:v>
      </x:c>
      <x:c r="E855" t="str">
        <x:v>recoveries</x:v>
      </x:c>
      <x:c r="F855" s="70" t="n">
        <x:f>'Loan tape'!F250</x:f>
        <x:v>304850.42</x:v>
      </x:c>
      <x:c r="G855" s="70" t="n">
        <x:f>'Loan tape'!G250</x:f>
        <x:v>296843.25</x:v>
      </x:c>
      <x:c r="H855" s="70" t="n">
        <x:f>F855-G855</x:f>
        <x:v>8007.169999999984</x:v>
      </x:c>
      <x:c r="I855" t="str">
        <x:v>USD</x:v>
      </x:c>
    </x:row>
    <x:row r="856">
      <x:c r="C856" s="45" t="n">
        <x:v>45961</x:v>
      </x:c>
      <x:c r="D856" t="str">
        <x:v>CAOT-2025-2</x:v>
      </x:c>
      <x:c r="E856" t="str">
        <x:v>outstanding_loan_count</x:v>
      </x:c>
      <x:c r="F856" s="77" t="n">
        <x:f>'Loan tape'!F251</x:f>
        <x:v>64347</x:v>
      </x:c>
      <x:c r="G856" s="77" t="n">
        <x:f>'Loan tape'!G251</x:f>
        <x:v>64346</x:v>
      </x:c>
      <x:c r="H856" s="77" t="n">
        <x:f>F856-G856</x:f>
        <x:v>1</x:v>
      </x:c>
      <x:c r="I856" t="str">
        <x:v>loans</x:v>
      </x:c>
    </x:row>
    <x:row r="857">
      <x:c r="C857" s="45" t="n">
        <x:v>45961</x:v>
      </x:c>
      <x:c r="D857" t="str">
        <x:v>CAOT-2025-2</x:v>
      </x:c>
      <x:c r="E857" t="str">
        <x:v>pool_begin</x:v>
      </x:c>
      <x:c r="F857" s="70" t="n">
        <x:f>'Loan tape'!F252</x:f>
        <x:v>1134927219.1</x:v>
      </x:c>
      <x:c r="G857" s="70" t="n">
        <x:f>'Loan tape'!G252</x:f>
        <x:v>1134924295.51</x:v>
      </x:c>
      <x:c r="H857" s="70" t="n">
        <x:f>F857-G857</x:f>
        <x:v>2923.5899999141693</x:v>
      </x:c>
      <x:c r="I857" t="str">
        <x:v>USD</x:v>
      </x:c>
    </x:row>
    <x:row r="858">
      <x:c r="C858" s="45" t="n">
        <x:v>45961</x:v>
      </x:c>
      <x:c r="D858" t="str">
        <x:v>CAOT-2025-2</x:v>
      </x:c>
      <x:c r="E858" t="str">
        <x:v>pool_end</x:v>
      </x:c>
      <x:c r="F858" s="70" t="n">
        <x:f>'Loan tape'!F253</x:f>
        <x:v>1094001701.47</x:v>
      </x:c>
      <x:c r="G858" s="70" t="n">
        <x:f>'Loan tape'!G253</x:f>
        <x:v>1094001264.6</x:v>
      </x:c>
      <x:c r="H858" s="70" t="n">
        <x:f>F858-G858</x:f>
        <x:v>436.87000012397766</x:v>
      </x:c>
      <x:c r="I858" t="str">
        <x:v>USD</x:v>
      </x:c>
    </x:row>
    <x:row r="859">
      <x:c r="C859" s="45" t="n">
        <x:v>45961</x:v>
      </x:c>
      <x:c r="D859" t="str">
        <x:v>CAOT-2025-2</x:v>
      </x:c>
      <x:c r="E859" t="str">
        <x:v>principal_collected</x:v>
      </x:c>
      <x:c r="F859" s="70" t="n">
        <x:f>'Loan tape'!F254</x:f>
        <x:v>39760381.11</x:v>
      </x:c>
      <x:c r="G859" s="70" t="n">
        <x:f>'Loan tape'!G254</x:f>
        <x:v>39758783.45</x:v>
      </x:c>
      <x:c r="H859" s="70" t="n">
        <x:f>F859-G859</x:f>
        <x:v>1597.6599999964237</x:v>
      </x:c>
      <x:c r="I859" t="str">
        <x:v>USD</x:v>
      </x:c>
    </x:row>
    <x:row r="860">
      <x:c r="C860" s="45" t="n">
        <x:v>45961</x:v>
      </x:c>
      <x:c r="D860" t="str">
        <x:v>CAOT-2025-2</x:v>
      </x:c>
      <x:c r="E860" t="str">
        <x:v>interest_collected</x:v>
      </x:c>
      <x:c r="F860" s="70" t="n">
        <x:f>'Loan tape'!F255</x:f>
        <x:v>8640147.01</x:v>
      </x:c>
      <x:c r="G860" s="70" t="n">
        <x:f>'Loan tape'!G255</x:f>
        <x:v>8690827.56</x:v>
      </x:c>
      <x:c r="H860" s="70" t="n">
        <x:f>F860-G860</x:f>
        <x:v>-50680.550000000745</x:v>
      </x:c>
      <x:c r="I860" t="str">
        <x:v>USD</x:v>
      </x:c>
    </x:row>
    <x:row r="861">
      <x:c r="C861" s="45" t="n">
        <x:v>45961</x:v>
      </x:c>
      <x:c r="D861" t="str">
        <x:v>CAOT-2025-2</x:v>
      </x:c>
      <x:c r="E861" t="str">
        <x:v>gross_chargeoffs_raw</x:v>
      </x:c>
      <x:c r="F861" s="70" t="n">
        <x:f>'Loan tape'!F256</x:f>
        <x:v>1546643.33</x:v>
      </x:c>
      <x:c r="G861" s="70" t="n">
        <x:f>'Loan tape'!G256</x:f>
        <x:v>1164247.46</x:v>
      </x:c>
      <x:c r="H861" s="70" t="n">
        <x:f>F861-G861</x:f>
        <x:v>382395.8700000001</x:v>
      </x:c>
      <x:c r="I861" t="str">
        <x:v>USD</x:v>
      </x:c>
    </x:row>
    <x:row r="862">
      <x:c r="C862" s="45" t="n">
        <x:v>45961</x:v>
      </x:c>
      <x:c r="D862" t="str">
        <x:v>CAOT-2025-2</x:v>
      </x:c>
      <x:c r="E862" t="str">
        <x:v>recoveries</x:v>
      </x:c>
      <x:c r="F862" s="70" t="n">
        <x:f>'Loan tape'!F257</x:f>
        <x:v>460025.53</x:v>
      </x:c>
      <x:c r="G862" s="70" t="n">
        <x:f>'Loan tape'!G257</x:f>
        <x:v>463595.18</x:v>
      </x:c>
      <x:c r="H862" s="70" t="n">
        <x:f>F862-G862</x:f>
        <x:v>-3569.649999999965</x:v>
      </x:c>
      <x:c r="I862" t="str">
        <x:v>USD</x:v>
      </x:c>
    </x:row>
    <x:row r="863">
      <x:c r="C863" s="45" t="n">
        <x:v>45991</x:v>
      </x:c>
      <x:c r="D863" t="str">
        <x:v>CAOT-2025-2</x:v>
      </x:c>
      <x:c r="E863" t="str">
        <x:v>outstanding_loan_count</x:v>
      </x:c>
      <x:c r="F863" s="77" t="n">
        <x:f>'Loan tape'!F258</x:f>
        <x:v>62052</x:v>
      </x:c>
      <x:c r="G863" s="77" t="n">
        <x:f>'Loan tape'!G258</x:f>
        <x:v>62052</x:v>
      </x:c>
      <x:c r="H863" s="77" t="n">
        <x:f>F863-G863</x:f>
        <x:v>0</x:v>
      </x:c>
      <x:c r="I863" t="str">
        <x:v>loans</x:v>
      </x:c>
    </x:row>
    <x:row r="864">
      <x:c r="C864" s="45" t="n">
        <x:v>45991</x:v>
      </x:c>
      <x:c r="D864" t="str">
        <x:v>CAOT-2025-2</x:v>
      </x:c>
      <x:c r="E864" t="str">
        <x:v>pool_begin</x:v>
      </x:c>
      <x:c r="F864" s="70" t="n">
        <x:f>'Loan tape'!F259</x:f>
        <x:v>1094001701.47</x:v>
      </x:c>
      <x:c r="G864" s="70" t="n">
        <x:f>'Loan tape'!G259</x:f>
        <x:v>1094001264.6</x:v>
      </x:c>
      <x:c r="H864" s="70" t="n">
        <x:f>F864-G864</x:f>
        <x:v>436.87000012397766</x:v>
      </x:c>
      <x:c r="I864" t="str">
        <x:v>USD</x:v>
      </x:c>
    </x:row>
    <x:row r="865">
      <x:c r="C865" s="45" t="n">
        <x:v>45991</x:v>
      </x:c>
      <x:c r="D865" t="str">
        <x:v>CAOT-2025-2</x:v>
      </x:c>
      <x:c r="E865" t="str">
        <x:v>pool_end</x:v>
      </x:c>
      <x:c r="F865" s="70" t="n">
        <x:f>'Loan tape'!F260</x:f>
        <x:v>1056172038</x:v>
      </x:c>
      <x:c r="G865" s="70" t="n">
        <x:f>'Loan tape'!G260</x:f>
        <x:v>1056172777.56</x:v>
      </x:c>
      <x:c r="H865" s="70" t="n">
        <x:f>F865-G865</x:f>
        <x:v>-739.5599999427795</x:v>
      </x:c>
      <x:c r="I865" t="str">
        <x:v>USD</x:v>
      </x:c>
    </x:row>
    <x:row r="866">
      <x:c r="C866" s="45" t="n">
        <x:v>45991</x:v>
      </x:c>
      <x:c r="D866" t="str">
        <x:v>CAOT-2025-2</x:v>
      </x:c>
      <x:c r="E866" t="str">
        <x:v>principal_collected</x:v>
      </x:c>
      <x:c r="F866" s="70" t="n">
        <x:f>'Loan tape'!F261</x:f>
        <x:v>36778374.2</x:v>
      </x:c>
      <x:c r="G866" s="70" t="n">
        <x:f>'Loan tape'!G261</x:f>
        <x:v>36764876.33</x:v>
      </x:c>
      <x:c r="H866" s="70" t="n">
        <x:f>F866-G866</x:f>
        <x:v>13497.870000004768</x:v>
      </x:c>
      <x:c r="I866" t="str">
        <x:v>USD</x:v>
      </x:c>
    </x:row>
    <x:row r="867">
      <x:c r="C867" s="45" t="n">
        <x:v>45991</x:v>
      </x:c>
      <x:c r="D867" t="str">
        <x:v>CAOT-2025-2</x:v>
      </x:c>
      <x:c r="E867" t="str">
        <x:v>interest_collected</x:v>
      </x:c>
      <x:c r="F867" s="70" t="n">
        <x:f>'Loan tape'!F262</x:f>
        <x:v>8615270.73</x:v>
      </x:c>
      <x:c r="G867" s="70" t="n">
        <x:f>'Loan tape'!G262</x:f>
        <x:v>8667364.1</x:v>
      </x:c>
      <x:c r="H867" s="70" t="n">
        <x:f>F867-G867</x:f>
        <x:v>-52093.36999999918</x:v>
      </x:c>
      <x:c r="I867" t="str">
        <x:v>USD</x:v>
      </x:c>
    </x:row>
    <x:row r="868">
      <x:c r="C868" s="45" t="n">
        <x:v>45991</x:v>
      </x:c>
      <x:c r="D868" t="str">
        <x:v>CAOT-2025-2</x:v>
      </x:c>
      <x:c r="E868" t="str">
        <x:v>gross_chargeoffs_raw</x:v>
      </x:c>
      <x:c r="F868" s="70" t="n">
        <x:f>'Loan tape'!F263</x:f>
        <x:v>1494989.74</x:v>
      </x:c>
      <x:c r="G868" s="70" t="n">
        <x:f>'Loan tape'!G263</x:f>
        <x:v>1063610.71</x:v>
      </x:c>
      <x:c r="H868" s="70" t="n">
        <x:f>F868-G868</x:f>
        <x:v>431379.03</x:v>
      </x:c>
      <x:c r="I868" t="str">
        <x:v>USD</x:v>
      </x:c>
    </x:row>
    <x:row r="869">
      <x:c r="C869" s="45" t="n">
        <x:v>45991</x:v>
      </x:c>
      <x:c r="D869" t="str">
        <x:v>CAOT-2025-2</x:v>
      </x:c>
      <x:c r="E869" t="str">
        <x:v>recoveries</x:v>
      </x:c>
      <x:c r="F869" s="70" t="n">
        <x:f>'Loan tape'!F264</x:f>
        <x:v>578387.2</x:v>
      </x:c>
      <x:c r="G869" s="70" t="n">
        <x:f>'Loan tape'!G264</x:f>
        <x:v>573351.62</x:v>
      </x:c>
      <x:c r="H869" s="70" t="n">
        <x:f>F869-G869</x:f>
        <x:v>5035.579999999958</x:v>
      </x:c>
      <x:c r="I869" t="str">
        <x:v>USD</x:v>
      </x:c>
    </x:row>
    <x:row r="870">
      <x:c r="C870" s="45" t="n">
        <x:v>46022</x:v>
      </x:c>
      <x:c r="D870" t="str">
        <x:v>CAOT-2025-2</x:v>
      </x:c>
      <x:c r="E870" t="str">
        <x:v>outstanding_loan_count</x:v>
      </x:c>
      <x:c r="F870" s="77" t="n">
        <x:f>'Loan tape'!F265</x:f>
        <x:v>60442</x:v>
      </x:c>
      <x:c r="G870" s="77" t="n">
        <x:f>'Loan tape'!G265</x:f>
        <x:v>60442</x:v>
      </x:c>
      <x:c r="H870" s="77" t="n">
        <x:f>F870-G870</x:f>
        <x:v>0</x:v>
      </x:c>
      <x:c r="I870" t="str">
        <x:v>loans</x:v>
      </x:c>
    </x:row>
    <x:row r="871">
      <x:c r="C871" s="45" t="n">
        <x:v>46022</x:v>
      </x:c>
      <x:c r="D871" t="str">
        <x:v>CAOT-2025-2</x:v>
      </x:c>
      <x:c r="E871" t="str">
        <x:v>pool_begin</x:v>
      </x:c>
      <x:c r="F871" s="70" t="n">
        <x:f>'Loan tape'!F266</x:f>
        <x:v>1056172038</x:v>
      </x:c>
      <x:c r="G871" s="70" t="n">
        <x:f>'Loan tape'!G266</x:f>
        <x:v>1056172777.56</x:v>
      </x:c>
      <x:c r="H871" s="70" t="n">
        <x:f>F871-G871</x:f>
        <x:v>-739.5599999427795</x:v>
      </x:c>
      <x:c r="I871" t="str">
        <x:v>USD</x:v>
      </x:c>
    </x:row>
    <x:row r="872">
      <x:c r="C872" s="45" t="n">
        <x:v>46022</x:v>
      </x:c>
      <x:c r="D872" t="str">
        <x:v>CAOT-2025-2</x:v>
      </x:c>
      <x:c r="E872" t="str">
        <x:v>pool_end</x:v>
      </x:c>
      <x:c r="F872" s="70" t="n">
        <x:f>'Loan tape'!F267</x:f>
        <x:v>1018617161.61</x:v>
      </x:c>
      <x:c r="G872" s="70" t="n">
        <x:f>'Loan tape'!G267</x:f>
        <x:v>1018617555.03</x:v>
      </x:c>
      <x:c r="H872" s="70" t="n">
        <x:f>F872-G872</x:f>
        <x:v>-393.41999995708466</x:v>
      </x:c>
      <x:c r="I872" t="str">
        <x:v>USD</x:v>
      </x:c>
    </x:row>
    <x:row r="873">
      <x:c r="C873" s="45" t="n">
        <x:v>46022</x:v>
      </x:c>
      <x:c r="D873" t="str">
        <x:v>CAOT-2025-2</x:v>
      </x:c>
      <x:c r="E873" t="str">
        <x:v>principal_collected</x:v>
      </x:c>
      <x:c r="F873" s="70" t="n">
        <x:f>'Loan tape'!F268</x:f>
        <x:v>36554309.42</x:v>
      </x:c>
      <x:c r="G873" s="70" t="n">
        <x:f>'Loan tape'!G268</x:f>
        <x:v>36549408.38</x:v>
      </x:c>
      <x:c r="H873" s="70" t="n">
        <x:f>F873-G873</x:f>
        <x:v>4901.039999999106</x:v>
      </x:c>
      <x:c r="I873" t="str">
        <x:v>USD</x:v>
      </x:c>
    </x:row>
    <x:row r="874">
      <x:c r="C874" s="45" t="n">
        <x:v>46022</x:v>
      </x:c>
      <x:c r="D874" t="str">
        <x:v>CAOT-2025-2</x:v>
      </x:c>
      <x:c r="E874" t="str">
        <x:v>interest_collected</x:v>
      </x:c>
      <x:c r="F874" s="70" t="n">
        <x:f>'Loan tape'!F269</x:f>
        <x:v>8178514.42</x:v>
      </x:c>
      <x:c r="G874" s="70" t="n">
        <x:f>'Loan tape'!G269</x:f>
        <x:v>8223189.17</x:v>
      </x:c>
      <x:c r="H874" s="70" t="n">
        <x:f>F874-G874</x:f>
        <x:v>-44674.75</x:v>
      </x:c>
      <x:c r="I874" t="str">
        <x:v>USD</x:v>
      </x:c>
    </x:row>
    <x:row r="875">
      <x:c r="C875" s="45" t="n">
        <x:v>46022</x:v>
      </x:c>
      <x:c r="D875" t="str">
        <x:v>CAOT-2025-2</x:v>
      </x:c>
      <x:c r="E875" t="str">
        <x:v>gross_chargeoffs_raw</x:v>
      </x:c>
      <x:c r="F875" s="70" t="n">
        <x:f>'Loan tape'!F270</x:f>
        <x:v>1350649.3</x:v>
      </x:c>
      <x:c r="G875" s="70" t="n">
        <x:f>'Loan tape'!G270</x:f>
        <x:v>1005814.15</x:v>
      </x:c>
      <x:c r="H875" s="70" t="n">
        <x:f>F875-G875</x:f>
        <x:v>344835.15</x:v>
      </x:c>
      <x:c r="I875" t="str">
        <x:v>USD</x:v>
      </x:c>
    </x:row>
    <x:row r="876">
      <x:c r="C876" s="45" t="n">
        <x:v>46022</x:v>
      </x:c>
      <x:c r="D876" t="str">
        <x:v>CAOT-2025-2</x:v>
      </x:c>
      <x:c r="E876" t="str">
        <x:v>recoveries</x:v>
      </x:c>
      <x:c r="F876" s="70" t="n">
        <x:f>'Loan tape'!F271</x:f>
        <x:v>370365.47</x:v>
      </x:c>
      <x:c r="G876" s="70" t="n">
        <x:f>'Loan tape'!G271</x:f>
        <x:v>363781.84</x:v>
      </x:c>
      <x:c r="H876" s="70" t="n">
        <x:f>F876-G876</x:f>
        <x:v>6583.629999999946</x:v>
      </x:c>
      <x:c r="I876" t="str">
        <x:v>USD</x:v>
      </x:c>
    </x:row>
    <x:row r="877">
      <x:c r="C877" s="45" t="n">
        <x:v>46053</x:v>
      </x:c>
      <x:c r="D877" t="str">
        <x:v>CAOT-2025-2</x:v>
      </x:c>
      <x:c r="E877" t="str">
        <x:v>outstanding_loan_count</x:v>
      </x:c>
      <x:c r="F877" s="77" t="n">
        <x:f>'Loan tape'!F272</x:f>
        <x:v>58881</x:v>
      </x:c>
      <x:c r="G877" s="77" t="n">
        <x:f>'Loan tape'!G272</x:f>
        <x:v>58880</x:v>
      </x:c>
      <x:c r="H877" s="77" t="n">
        <x:f>F877-G877</x:f>
        <x:v>1</x:v>
      </x:c>
      <x:c r="I877" t="str">
        <x:v>loans</x:v>
      </x:c>
    </x:row>
    <x:row r="878">
      <x:c r="C878" s="45" t="n">
        <x:v>46053</x:v>
      </x:c>
      <x:c r="D878" t="str">
        <x:v>CAOT-2025-2</x:v>
      </x:c>
      <x:c r="E878" t="str">
        <x:v>pool_begin</x:v>
      </x:c>
      <x:c r="F878" s="70" t="n">
        <x:f>'Loan tape'!F273</x:f>
        <x:v>1018617161.61</x:v>
      </x:c>
      <x:c r="G878" s="70" t="n">
        <x:f>'Loan tape'!G273</x:f>
        <x:v>1018617555.03</x:v>
      </x:c>
      <x:c r="H878" s="70" t="n">
        <x:f>F878-G878</x:f>
        <x:v>-393.41999995708466</x:v>
      </x:c>
      <x:c r="I878" t="str">
        <x:v>USD</x:v>
      </x:c>
    </x:row>
    <x:row r="879">
      <x:c r="C879" s="45" t="n">
        <x:v>46053</x:v>
      </x:c>
      <x:c r="D879" t="str">
        <x:v>CAOT-2025-2</x:v>
      </x:c>
      <x:c r="E879" t="str">
        <x:v>pool_end</x:v>
      </x:c>
      <x:c r="F879" s="70" t="n">
        <x:f>'Loan tape'!F274</x:f>
        <x:v>981252980.82</x:v>
      </x:c>
      <x:c r="G879" s="70" t="n">
        <x:f>'Loan tape'!G274</x:f>
        <x:v>981253680.14</x:v>
      </x:c>
      <x:c r="H879" s="70" t="n">
        <x:f>F879-G879</x:f>
        <x:v>-699.3199999332428</x:v>
      </x:c>
      <x:c r="I879" t="str">
        <x:v>USD</x:v>
      </x:c>
    </x:row>
    <x:row r="880">
      <x:c r="C880" s="45" t="n">
        <x:v>46053</x:v>
      </x:c>
      <x:c r="D880" t="str">
        <x:v>CAOT-2025-2</x:v>
      </x:c>
      <x:c r="E880" t="str">
        <x:v>principal_collected</x:v>
      </x:c>
      <x:c r="F880" s="70" t="n">
        <x:f>'Loan tape'!F275</x:f>
        <x:v>36177722.88</x:v>
      </x:c>
      <x:c r="G880" s="70" t="n">
        <x:f>'Loan tape'!G275</x:f>
        <x:v>36164137.03</x:v>
      </x:c>
      <x:c r="H880" s="70" t="n">
        <x:f>F880-G880</x:f>
        <x:v>13585.85000000149</x:v>
      </x:c>
      <x:c r="I880" t="str">
        <x:v>USD</x:v>
      </x:c>
    </x:row>
    <x:row r="881">
      <x:c r="C881" s="45" t="n">
        <x:v>46053</x:v>
      </x:c>
      <x:c r="D881" t="str">
        <x:v>CAOT-2025-2</x:v>
      </x:c>
      <x:c r="E881" t="str">
        <x:v>interest_collected</x:v>
      </x:c>
      <x:c r="F881" s="70" t="n">
        <x:f>'Loan tape'!F276</x:f>
        <x:v>8142714.1</x:v>
      </x:c>
      <x:c r="G881" s="70" t="n">
        <x:f>'Loan tape'!G276</x:f>
        <x:v>8196960.49</x:v>
      </x:c>
      <x:c r="H881" s="70" t="n">
        <x:f>F881-G881</x:f>
        <x:v>-54246.390000000596</x:v>
      </x:c>
      <x:c r="I881" t="str">
        <x:v>USD</x:v>
      </x:c>
    </x:row>
    <x:row r="882">
      <x:c r="C882" s="45" t="n">
        <x:v>46053</x:v>
      </x:c>
      <x:c r="D882" t="str">
        <x:v>CAOT-2025-2</x:v>
      </x:c>
      <x:c r="E882" t="str">
        <x:v>gross_chargeoffs_raw</x:v>
      </x:c>
      <x:c r="F882" s="70" t="n">
        <x:f>'Loan tape'!F277</x:f>
        <x:v>1581373.48</x:v>
      </x:c>
      <x:c r="G882" s="70" t="n">
        <x:f>'Loan tape'!G277</x:f>
        <x:v>1199737.86</x:v>
      </x:c>
      <x:c r="H882" s="70" t="n">
        <x:f>F882-G882</x:f>
        <x:v>381635.6199999999</x:v>
      </x:c>
      <x:c r="I882" t="str">
        <x:v>USD</x:v>
      </x:c>
    </x:row>
    <x:row r="883">
      <x:c r="C883" s="45" t="n">
        <x:v>46053</x:v>
      </x:c>
      <x:c r="D883" t="str">
        <x:v>CAOT-2025-2</x:v>
      </x:c>
      <x:c r="E883" t="str">
        <x:v>recoveries</x:v>
      </x:c>
      <x:c r="F883" s="70" t="n">
        <x:f>'Loan tape'!F278</x:f>
        <x:v>461076.13</x:v>
      </x:c>
      <x:c r="G883" s="70" t="n">
        <x:f>'Loan tape'!G278</x:f>
        <x:v>458545.93</x:v>
      </x:c>
      <x:c r="H883" s="70" t="n">
        <x:f>F883-G883</x:f>
        <x:v>2530.2000000000116</x:v>
      </x:c>
      <x:c r="I883" t="str">
        <x:v>USD</x:v>
      </x:c>
    </x:row>
    <x:row r="884">
      <x:c r="C884" s="45" t="n">
        <x:v>46081</x:v>
      </x:c>
      <x:c r="D884" t="str">
        <x:v>CAOT-2025-2</x:v>
      </x:c>
      <x:c r="E884" t="str">
        <x:v>outstanding_loan_count</x:v>
      </x:c>
      <x:c r="F884" s="77" t="n">
        <x:f>'Loan tape'!F279</x:f>
        <x:v>57334</x:v>
      </x:c>
      <x:c r="G884" s="77" t="n">
        <x:f>'Loan tape'!G279</x:f>
        <x:v>57334</x:v>
      </x:c>
      <x:c r="H884" s="77" t="n">
        <x:f>F884-G884</x:f>
        <x:v>0</x:v>
      </x:c>
      <x:c r="I884" t="str">
        <x:v>loans</x:v>
      </x:c>
    </x:row>
    <x:row r="885">
      <x:c r="C885" s="45" t="n">
        <x:v>46081</x:v>
      </x:c>
      <x:c r="D885" t="str">
        <x:v>CAOT-2025-2</x:v>
      </x:c>
      <x:c r="E885" t="str">
        <x:v>pool_begin</x:v>
      </x:c>
      <x:c r="F885" s="70" t="n">
        <x:f>'Loan tape'!F280</x:f>
        <x:v>981252980.82</x:v>
      </x:c>
      <x:c r="G885" s="70" t="n">
        <x:f>'Loan tape'!G280</x:f>
        <x:v>981253680.14</x:v>
      </x:c>
      <x:c r="H885" s="70" t="n">
        <x:f>F885-G885</x:f>
        <x:v>-699.3199999332428</x:v>
      </x:c>
      <x:c r="I885" t="str">
        <x:v>USD</x:v>
      </x:c>
    </x:row>
    <x:row r="886">
      <x:c r="C886" s="45" t="n">
        <x:v>46081</x:v>
      </x:c>
      <x:c r="D886" t="str">
        <x:v>CAOT-2025-2</x:v>
      </x:c>
      <x:c r="E886" t="str">
        <x:v>pool_end</x:v>
      </x:c>
      <x:c r="F886" s="70" t="n">
        <x:f>'Loan tape'!F281</x:f>
        <x:v>947533105.06</x:v>
      </x:c>
      <x:c r="G886" s="70" t="n">
        <x:f>'Loan tape'!G281</x:f>
        <x:v>947534363.5</x:v>
      </x:c>
      <x:c r="H886" s="70" t="n">
        <x:f>F886-G886</x:f>
        <x:v>-1258.4400000572205</x:v>
      </x:c>
      <x:c r="I886" t="str">
        <x:v>USD</x:v>
      </x:c>
    </x:row>
    <x:row r="887">
      <x:c r="C887" s="45" t="n">
        <x:v>46081</x:v>
      </x:c>
      <x:c r="D887" t="str">
        <x:v>CAOT-2025-2</x:v>
      </x:c>
      <x:c r="E887" t="str">
        <x:v>principal_collected</x:v>
      </x:c>
      <x:c r="F887" s="70" t="n">
        <x:f>'Loan tape'!F282</x:f>
        <x:v>33006386.97</x:v>
      </x:c>
      <x:c r="G887" s="70" t="n">
        <x:f>'Loan tape'!G282</x:f>
        <x:v>32975926.59</x:v>
      </x:c>
      <x:c r="H887" s="70" t="n">
        <x:f>F887-G887</x:f>
        <x:v>30460.379999998957</x:v>
      </x:c>
      <x:c r="I887" t="str">
        <x:v>USD</x:v>
      </x:c>
    </x:row>
    <x:row r="888">
      <x:c r="C888" s="45" t="n">
        <x:v>46081</x:v>
      </x:c>
      <x:c r="D888" t="str">
        <x:v>CAOT-2025-2</x:v>
      </x:c>
      <x:c r="E888" t="str">
        <x:v>interest_collected</x:v>
      </x:c>
      <x:c r="F888" s="70" t="n">
        <x:f>'Loan tape'!F283</x:f>
        <x:v>7337246.94</x:v>
      </x:c>
      <x:c r="G888" s="70" t="n">
        <x:f>'Loan tape'!G283</x:f>
        <x:v>7385567.25</x:v>
      </x:c>
      <x:c r="H888" s="70" t="n">
        <x:f>F888-G888</x:f>
        <x:v>-48320.30999999959</x:v>
      </x:c>
      <x:c r="I888" t="str">
        <x:v>USD</x:v>
      </x:c>
    </x:row>
    <x:row r="889">
      <x:c r="C889" s="45" t="n">
        <x:v>46081</x:v>
      </x:c>
      <x:c r="D889" t="str">
        <x:v>CAOT-2025-2</x:v>
      </x:c>
      <x:c r="E889" t="str">
        <x:v>gross_chargeoffs_raw</x:v>
      </x:c>
      <x:c r="F889" s="70" t="n">
        <x:f>'Loan tape'!F284</x:f>
        <x:v>1437003.46</x:v>
      </x:c>
      <x:c r="G889" s="70" t="n">
        <x:f>'Loan tape'!G284</x:f>
        <x:v>743390.05</x:v>
      </x:c>
      <x:c r="H889" s="70" t="n">
        <x:f>F889-G889</x:f>
        <x:v>693613.4099999999</x:v>
      </x:c>
      <x:c r="I889" t="str">
        <x:v>USD</x:v>
      </x:c>
    </x:row>
    <x:row r="890">
      <x:c r="C890" s="45" t="n">
        <x:v>46081</x:v>
      </x:c>
      <x:c r="D890" t="str">
        <x:v>CAOT-2025-2</x:v>
      </x:c>
      <x:c r="E890" t="str">
        <x:v>recoveries</x:v>
      </x:c>
      <x:c r="F890" s="70" t="n">
        <x:f>'Loan tape'!F285</x:f>
        <x:v>490833.95</x:v>
      </x:c>
      <x:c r="G890" s="70" t="n">
        <x:f>'Loan tape'!G285</x:f>
        <x:v>480921.94</x:v>
      </x:c>
      <x:c r="H890" s="70" t="n">
        <x:f>F890-G890</x:f>
        <x:v>9912.01000000001</x:v>
      </x:c>
      <x:c r="I890" t="str">
        <x:v>USD</x:v>
      </x:c>
    </x:row>
    <x:row r="891">
      <x:c r="C891" s="45" t="n">
        <x:v>46112</x:v>
      </x:c>
      <x:c r="D891" t="str">
        <x:v>CAOT-2025-2</x:v>
      </x:c>
      <x:c r="E891" t="str">
        <x:v>outstanding_loan_count</x:v>
      </x:c>
      <x:c r="F891" s="77" t="n">
        <x:f>'Loan tape'!F286</x:f>
        <x:v>55500</x:v>
      </x:c>
      <x:c r="G891" s="77" t="n">
        <x:f>'Loan tape'!G286</x:f>
        <x:v>55496</x:v>
      </x:c>
      <x:c r="H891" s="77" t="n">
        <x:f>F891-G891</x:f>
        <x:v>4</x:v>
      </x:c>
      <x:c r="I891" t="str">
        <x:v>loans</x:v>
      </x:c>
    </x:row>
    <x:row r="892">
      <x:c r="C892" s="45" t="n">
        <x:v>46112</x:v>
      </x:c>
      <x:c r="D892" t="str">
        <x:v>CAOT-2025-2</x:v>
      </x:c>
      <x:c r="E892" t="str">
        <x:v>pool_begin</x:v>
      </x:c>
      <x:c r="F892" s="70" t="n">
        <x:f>'Loan tape'!F287</x:f>
        <x:v>947533105.06</x:v>
      </x:c>
      <x:c r="G892" s="70" t="n">
        <x:f>'Loan tape'!G287</x:f>
        <x:v>947534363.5</x:v>
      </x:c>
      <x:c r="H892" s="70" t="n">
        <x:f>F892-G892</x:f>
        <x:v>-1258.4400000572205</x:v>
      </x:c>
      <x:c r="I892" t="str">
        <x:v>USD</x:v>
      </x:c>
    </x:row>
    <x:row r="893">
      <x:c r="C893" s="45" t="n">
        <x:v>46112</x:v>
      </x:c>
      <x:c r="D893" t="str">
        <x:v>CAOT-2025-2</x:v>
      </x:c>
      <x:c r="E893" t="str">
        <x:v>pool_end</x:v>
      </x:c>
      <x:c r="F893" s="70" t="n">
        <x:f>'Loan tape'!F288</x:f>
        <x:v>909211122.63</x:v>
      </x:c>
      <x:c r="G893" s="70" t="n">
        <x:f>'Loan tape'!G288</x:f>
        <x:v>909212474.15</x:v>
      </x:c>
      <x:c r="H893" s="70" t="n">
        <x:f>F893-G893</x:f>
        <x:v>-1351.5199999809265</x:v>
      </x:c>
      <x:c r="I893" t="str">
        <x:v>USD</x:v>
      </x:c>
    </x:row>
    <x:row r="894">
      <x:c r="C894" s="45" t="n">
        <x:v>46112</x:v>
      </x:c>
      <x:c r="D894" t="str">
        <x:v>CAOT-2025-2</x:v>
      </x:c>
      <x:c r="E894" t="str">
        <x:v>principal_collected</x:v>
      </x:c>
      <x:c r="F894" s="70" t="n">
        <x:f>'Loan tape'!F289</x:f>
        <x:v>37513256.53</x:v>
      </x:c>
      <x:c r="G894" s="70" t="n">
        <x:f>'Loan tape'!G289</x:f>
        <x:v>37506867.82</x:v>
      </x:c>
      <x:c r="H894" s="70" t="n">
        <x:f>F894-G894</x:f>
        <x:v>6388.710000000894</x:v>
      </x:c>
      <x:c r="I894" t="str">
        <x:v>USD</x:v>
      </x:c>
    </x:row>
    <x:row r="895">
      <x:c r="C895" s="45" t="n">
        <x:v>46112</x:v>
      </x:c>
      <x:c r="D895" t="str">
        <x:v>CAOT-2025-2</x:v>
      </x:c>
      <x:c r="E895" t="str">
        <x:v>interest_collected</x:v>
      </x:c>
      <x:c r="F895" s="70" t="n">
        <x:f>'Loan tape'!F290</x:f>
        <x:v>7375600.59</x:v>
      </x:c>
      <x:c r="G895" s="70" t="n">
        <x:f>'Loan tape'!G290</x:f>
        <x:v>7434858.89</x:v>
      </x:c>
      <x:c r="H895" s="70" t="n">
        <x:f>F895-G895</x:f>
        <x:v>-59258.299999999814</x:v>
      </x:c>
      <x:c r="I895" t="str">
        <x:v>USD</x:v>
      </x:c>
    </x:row>
    <x:row r="896">
      <x:c r="C896" s="45" t="n">
        <x:v>46112</x:v>
      </x:c>
      <x:c r="D896" t="str">
        <x:v>CAOT-2025-2</x:v>
      </x:c>
      <x:c r="E896" t="str">
        <x:v>gross_chargeoffs_raw</x:v>
      </x:c>
      <x:c r="F896" s="70" t="n">
        <x:f>'Loan tape'!F291</x:f>
        <x:v>1191992.95</x:v>
      </x:c>
      <x:c r="G896" s="70" t="n">
        <x:f>'Loan tape'!G291</x:f>
        <x:v>815021.53</x:v>
      </x:c>
      <x:c r="H896" s="70" t="n">
        <x:f>F896-G896</x:f>
        <x:v>376971.4199999999</x:v>
      </x:c>
      <x:c r="I896" t="str">
        <x:v>USD</x:v>
      </x:c>
    </x:row>
    <x:row r="897">
      <x:c r="C897" s="45" t="n">
        <x:v>46112</x:v>
      </x:c>
      <x:c r="D897" t="str">
        <x:v>CAOT-2025-2</x:v>
      </x:c>
      <x:c r="E897" t="str">
        <x:v>recoveries</x:v>
      </x:c>
      <x:c r="F897" s="70" t="n">
        <x:f>'Loan tape'!F292</x:f>
        <x:v>459731.63</x:v>
      </x:c>
      <x:c r="G897" s="70" t="n">
        <x:f>'Loan tape'!G292</x:f>
        <x:v>422564.43</x:v>
      </x:c>
      <x:c r="H897" s="70" t="n">
        <x:f>F897-G897</x:f>
        <x:v>37167.20000000001</x:v>
      </x:c>
      <x:c r="I897" t="str">
        <x:v>USD</x:v>
      </x:c>
    </x:row>
    <x:row r="898">
      <x:c r="C898" s="45" t="n">
        <x:v>46142</x:v>
      </x:c>
      <x:c r="D898" t="str">
        <x:v>CAOT-2025-2</x:v>
      </x:c>
      <x:c r="E898" t="str">
        <x:v>outstanding_loan_count</x:v>
      </x:c>
      <x:c r="F898" s="77" t="n">
        <x:f>'Loan tape'!F293</x:f>
        <x:v>53727</x:v>
      </x:c>
      <x:c r="G898" s="77" t="n">
        <x:f>'Loan tape'!G293</x:f>
        <x:v>53726</x:v>
      </x:c>
      <x:c r="H898" s="77" t="n">
        <x:f>F898-G898</x:f>
        <x:v>1</x:v>
      </x:c>
      <x:c r="I898" t="str">
        <x:v>loans</x:v>
      </x:c>
    </x:row>
    <x:row r="899">
      <x:c r="C899" s="45" t="n">
        <x:v>46142</x:v>
      </x:c>
      <x:c r="D899" t="str">
        <x:v>CAOT-2025-2</x:v>
      </x:c>
      <x:c r="E899" t="str">
        <x:v>pool_begin</x:v>
      </x:c>
      <x:c r="F899" s="70" t="n">
        <x:f>'Loan tape'!F294</x:f>
        <x:v>909211122.63</x:v>
      </x:c>
      <x:c r="G899" s="70" t="n">
        <x:f>'Loan tape'!G294</x:f>
        <x:v>909212474.15</x:v>
      </x:c>
      <x:c r="H899" s="70" t="n">
        <x:f>F899-G899</x:f>
        <x:v>-1351.5199999809265</x:v>
      </x:c>
      <x:c r="I899" t="str">
        <x:v>USD</x:v>
      </x:c>
    </x:row>
    <x:row r="900">
      <x:c r="C900" s="45" t="n">
        <x:v>46142</x:v>
      </x:c>
      <x:c r="D900" t="str">
        <x:v>CAOT-2025-2</x:v>
      </x:c>
      <x:c r="E900" t="str">
        <x:v>pool_end</x:v>
      </x:c>
      <x:c r="F900" s="70" t="n">
        <x:f>'Loan tape'!F295</x:f>
        <x:v>874307339.14</x:v>
      </x:c>
      <x:c r="G900" s="70" t="n">
        <x:f>'Loan tape'!G295</x:f>
        <x:v>874308308.34</x:v>
      </x:c>
      <x:c r="H900" s="70" t="n">
        <x:f>F900-G900</x:f>
        <x:v>-969.2000000476837</x:v>
      </x:c>
      <x:c r="I900" t="str">
        <x:v>USD</x:v>
      </x:c>
    </x:row>
    <x:row r="901">
      <x:c r="C901" s="45" t="n">
        <x:v>46142</x:v>
      </x:c>
      <x:c r="D901" t="str">
        <x:v>CAOT-2025-2</x:v>
      </x:c>
      <x:c r="E901" t="str">
        <x:v>principal_collected</x:v>
      </x:c>
      <x:c r="F901" s="70" t="n">
        <x:f>'Loan tape'!F296</x:f>
        <x:v>34020398.71</x:v>
      </x:c>
      <x:c r="G901" s="70" t="n">
        <x:f>'Loan tape'!G296</x:f>
        <x:v>34028300.93</x:v>
      </x:c>
      <x:c r="H901" s="70" t="n">
        <x:f>F901-G901</x:f>
        <x:v>-7902.219999998808</x:v>
      </x:c>
      <x:c r="I901" t="str">
        <x:v>USD</x:v>
      </x:c>
    </x:row>
    <x:row r="902">
      <x:c r="C902" s="45" t="n">
        <x:v>46142</x:v>
      </x:c>
      <x:c r="D902" t="str">
        <x:v>CAOT-2025-2</x:v>
      </x:c>
      <x:c r="E902" t="str">
        <x:v>interest_collected</x:v>
      </x:c>
      <x:c r="F902" s="70" t="n">
        <x:f>'Loan tape'!F297</x:f>
        <x:v>7116671.43</x:v>
      </x:c>
      <x:c r="G902" s="70" t="n">
        <x:f>'Loan tape'!G297</x:f>
        <x:v>7171217.53</x:v>
      </x:c>
      <x:c r="H902" s="70" t="n">
        <x:f>F902-G902</x:f>
        <x:v>-54546.10000000056</x:v>
      </x:c>
      <x:c r="I902" t="str">
        <x:v>USD</x:v>
      </x:c>
    </x:row>
    <x:row r="903">
      <x:c r="C903" s="45" t="n">
        <x:v>46142</x:v>
      </x:c>
      <x:c r="D903" t="str">
        <x:v>CAOT-2025-2</x:v>
      </x:c>
      <x:c r="E903" t="str">
        <x:v>gross_chargeoffs_raw</x:v>
      </x:c>
      <x:c r="F903" s="70" t="n">
        <x:f>'Loan tape'!F298</x:f>
        <x:v>1197983.06</x:v>
      </x:c>
      <x:c r="G903" s="70" t="n">
        <x:f>'Loan tape'!G298</x:f>
        <x:v>875864.88</x:v>
      </x:c>
      <x:c r="H903" s="70" t="n">
        <x:f>F903-G903</x:f>
        <x:v>322118.18000000005</x:v>
      </x:c>
      <x:c r="I903" t="str">
        <x:v>USD</x:v>
      </x:c>
    </x:row>
    <x:row r="904">
      <x:c r="C904" s="45" t="n">
        <x:v>46142</x:v>
      </x:c>
      <x:c r="D904" t="str">
        <x:v>CAOT-2025-2</x:v>
      </x:c>
      <x:c r="E904" t="str">
        <x:v>recoveries</x:v>
      </x:c>
      <x:c r="F904" s="70" t="n">
        <x:f>'Loan tape'!F299</x:f>
        <x:v>494024.42</x:v>
      </x:c>
      <x:c r="G904" s="70" t="n">
        <x:f>'Loan tape'!G299</x:f>
        <x:v>520083.93</x:v>
      </x:c>
      <x:c r="H904" s="70" t="n">
        <x:f>F904-G904</x:f>
        <x:v>-26059.51000000001</x:v>
      </x:c>
      <x:c r="I904" t="str">
        <x:v>USD</x:v>
      </x:c>
    </x:row>
    <x:row r="905">
      <x:c r="C905" s="45" t="n">
        <x:v>46173</x:v>
      </x:c>
      <x:c r="D905" t="str">
        <x:v>CAOT-2025-2</x:v>
      </x:c>
      <x:c r="E905" t="str">
        <x:v>outstanding_loan_count</x:v>
      </x:c>
      <x:c r="F905" s="77" t="n">
        <x:f>'Loan tape'!F300</x:f>
        <x:v>52114</x:v>
      </x:c>
      <x:c r="G905" s="77" t="n">
        <x:f>'Loan tape'!G300</x:f>
        <x:v>52114</x:v>
      </x:c>
      <x:c r="H905" s="77" t="n">
        <x:f>F905-G905</x:f>
        <x:v>0</x:v>
      </x:c>
      <x:c r="I905" t="str">
        <x:v>loans</x:v>
      </x:c>
    </x:row>
    <x:row r="906">
      <x:c r="C906" s="45" t="n">
        <x:v>46173</x:v>
      </x:c>
      <x:c r="D906" t="str">
        <x:v>CAOT-2025-2</x:v>
      </x:c>
      <x:c r="E906" t="str">
        <x:v>pool_begin</x:v>
      </x:c>
      <x:c r="F906" s="70" t="n">
        <x:f>'Loan tape'!F301</x:f>
        <x:v>874307339.14</x:v>
      </x:c>
      <x:c r="G906" s="70" t="n">
        <x:f>'Loan tape'!G301</x:f>
        <x:v>874308308.34</x:v>
      </x:c>
      <x:c r="H906" s="70" t="n">
        <x:f>F906-G906</x:f>
        <x:v>-969.2000000476837</x:v>
      </x:c>
      <x:c r="I906" t="str">
        <x:v>USD</x:v>
      </x:c>
    </x:row>
    <x:row r="907">
      <x:c r="C907" s="45" t="n">
        <x:v>46173</x:v>
      </x:c>
      <x:c r="D907" t="str">
        <x:v>CAOT-2025-2</x:v>
      </x:c>
      <x:c r="E907" t="str">
        <x:v>pool_end</x:v>
      </x:c>
      <x:c r="F907" s="70" t="n">
        <x:f>'Loan tape'!F302</x:f>
        <x:v>840679643.24</x:v>
      </x:c>
      <x:c r="G907" s="70" t="n">
        <x:f>'Loan tape'!G302</x:f>
        <x:v>840680619.38</x:v>
      </x:c>
      <x:c r="H907" s="70" t="n">
        <x:f>F907-G907</x:f>
        <x:v>-976.1399999856949</x:v>
      </x:c>
      <x:c r="I907" t="str">
        <x:v>USD</x:v>
      </x:c>
    </x:row>
    <x:row r="908">
      <x:c r="C908" s="45" t="n">
        <x:v>46173</x:v>
      </x:c>
      <x:c r="D908" t="str">
        <x:v>CAOT-2025-2</x:v>
      </x:c>
      <x:c r="E908" t="str">
        <x:v>principal_collected</x:v>
      </x:c>
      <x:c r="F908" s="70" t="n">
        <x:f>'Loan tape'!F303</x:f>
        <x:v>32845023.03</x:v>
      </x:c>
      <x:c r="G908" s="70" t="n">
        <x:f>'Loan tape'!G303</x:f>
        <x:v>32832207.16</x:v>
      </x:c>
      <x:c r="H908" s="70" t="n">
        <x:f>F908-G908</x:f>
        <x:v>12815.870000001043</x:v>
      </x:c>
      <x:c r="I908" t="str">
        <x:v>USD</x:v>
      </x:c>
    </x:row>
    <x:row r="909">
      <x:c r="C909" s="45" t="n">
        <x:v>46173</x:v>
      </x:c>
      <x:c r="D909" t="str">
        <x:v>CAOT-2025-2</x:v>
      </x:c>
      <x:c r="E909" t="str">
        <x:v>interest_collected</x:v>
      </x:c>
      <x:c r="F909" s="70" t="n">
        <x:f>'Loan tape'!F304</x:f>
        <x:v>6817006.11</x:v>
      </x:c>
      <x:c r="G909" s="70" t="n">
        <x:f>'Loan tape'!G304</x:f>
        <x:v>6875545.14</x:v>
      </x:c>
      <x:c r="H909" s="70" t="n">
        <x:f>F909-G909</x:f>
        <x:v>-58539.02999999933</x:v>
      </x:c>
      <x:c r="I909" t="str">
        <x:v>USD</x:v>
      </x:c>
    </x:row>
    <x:row r="910">
      <x:c r="C910" s="45" t="n">
        <x:v>46173</x:v>
      </x:c>
      <x:c r="D910" t="str">
        <x:v>CAOT-2025-2</x:v>
      </x:c>
      <x:c r="E910" t="str">
        <x:v>gross_chargeoffs_raw</x:v>
      </x:c>
      <x:c r="F910" s="70" t="n">
        <x:f>'Loan tape'!F305</x:f>
        <x:v>941818.84</x:v>
      </x:c>
      <x:c r="G910" s="70" t="n">
        <x:f>'Loan tape'!G305</x:f>
        <x:v>795481.8</x:v>
      </x:c>
      <x:c r="H910" s="70" t="n">
        <x:f>F910-G910</x:f>
        <x:v>146337.03999999992</x:v>
      </x:c>
      <x:c r="I910" t="str">
        <x:v>USD</x:v>
      </x:c>
    </x:row>
    <x:row r="911">
      <x:c r="C911" s="45" t="n">
        <x:v>46173</x:v>
      </x:c>
      <x:c r="D911" t="str">
        <x:v>CAOT-2025-2</x:v>
      </x:c>
      <x:c r="E911" t="str">
        <x:v>recoveries</x:v>
      </x:c>
      <x:c r="F911" s="70" t="n">
        <x:f>'Loan tape'!F306</x:f>
        <x:v>370162.67</x:v>
      </x:c>
      <x:c r="G911" s="70" t="n">
        <x:f>'Loan tape'!G306</x:f>
        <x:v>368561.39</x:v>
      </x:c>
      <x:c r="H911" s="70" t="n">
        <x:f>F911-G911</x:f>
        <x:v>1601.2799999999697</x:v>
      </x:c>
      <x:c r="I911" t="str">
        <x:v>USD</x:v>
      </x:c>
    </x:row>
    <x:row r="912">
      <x:c r="C912" s="45" t="n">
        <x:v>46203</x:v>
      </x:c>
      <x:c r="D912" t="str">
        <x:v>CAOT-2025-2</x:v>
      </x:c>
      <x:c r="E912" t="str">
        <x:v>outstanding_loan_count</x:v>
      </x:c>
      <x:c r="F912" s="77" t="n">
        <x:f>'Loan tape'!F307</x:f>
        <x:v>50695</x:v>
      </x:c>
      <x:c r="G912" s="77" t="n">
        <x:f>'Loan tape'!G307</x:f>
        <x:v>50694</x:v>
      </x:c>
      <x:c r="H912" s="77" t="n">
        <x:f>F912-G912</x:f>
        <x:v>1</x:v>
      </x:c>
      <x:c r="I912" t="str">
        <x:v>loans</x:v>
      </x:c>
    </x:row>
    <x:row r="913">
      <x:c r="C913" s="45" t="n">
        <x:v>46203</x:v>
      </x:c>
      <x:c r="D913" t="str">
        <x:v>CAOT-2025-2</x:v>
      </x:c>
      <x:c r="E913" t="str">
        <x:v>pool_begin</x:v>
      </x:c>
      <x:c r="F913" s="70" t="n">
        <x:f>'Loan tape'!F308</x:f>
        <x:v>840679643.24</x:v>
      </x:c>
      <x:c r="G913" s="70" t="n">
        <x:f>'Loan tape'!G308</x:f>
        <x:v>840680619.38</x:v>
      </x:c>
      <x:c r="H913" s="70" t="n">
        <x:f>F913-G913</x:f>
        <x:v>-976.1399999856949</x:v>
      </x:c>
      <x:c r="I913" t="str">
        <x:v>USD</x:v>
      </x:c>
    </x:row>
    <x:row r="914">
      <x:c r="C914" s="45" t="n">
        <x:v>46203</x:v>
      </x:c>
      <x:c r="D914" t="str">
        <x:v>CAOT-2025-2</x:v>
      </x:c>
      <x:c r="E914" t="str">
        <x:v>pool_end</x:v>
      </x:c>
      <x:c r="F914" s="70" t="n">
        <x:f>'Loan tape'!F309</x:f>
        <x:v>808816820.89</x:v>
      </x:c>
      <x:c r="G914" s="70" t="n">
        <x:f>'Loan tape'!G309</x:f>
        <x:v>808817927.2</x:v>
      </x:c>
      <x:c r="H914" s="70" t="n">
        <x:f>F914-G914</x:f>
        <x:v>-1106.3100000619888</x:v>
      </x:c>
      <x:c r="I914" t="str">
        <x:v>USD</x:v>
      </x:c>
    </x:row>
    <x:row r="915">
      <x:c r="C915" s="45" t="n">
        <x:v>46203</x:v>
      </x:c>
      <x:c r="D915" t="str">
        <x:v>CAOT-2025-2</x:v>
      </x:c>
      <x:c r="E915" t="str">
        <x:v>principal_collected</x:v>
      </x:c>
      <x:c r="F915" s="70" t="n">
        <x:f>'Loan tape'!F310</x:f>
        <x:v>30943271.42</x:v>
      </x:c>
      <x:c r="G915" s="70" t="n">
        <x:f>'Loan tape'!G310</x:f>
        <x:v>30897990.1</x:v>
      </x:c>
      <x:c r="H915" s="70" t="n">
        <x:f>F915-G915</x:f>
        <x:v>45281.3200000003</x:v>
      </x:c>
      <x:c r="I915" t="str">
        <x:v>USD</x:v>
      </x:c>
    </x:row>
    <x:row r="916">
      <x:c r="C916" s="45" t="n">
        <x:v>46203</x:v>
      </x:c>
      <x:c r="D916" t="str">
        <x:v>CAOT-2025-2</x:v>
      </x:c>
      <x:c r="E916" t="str">
        <x:v>interest_collected</x:v>
      </x:c>
      <x:c r="F916" s="70" t="n">
        <x:f>'Loan tape'!F311</x:f>
        <x:v>6546028.7</x:v>
      </x:c>
      <x:c r="G916" s="70" t="n">
        <x:f>'Loan tape'!G311</x:f>
        <x:v>6594217.54</x:v>
      </x:c>
      <x:c r="H916" s="70" t="n">
        <x:f>F916-G916</x:f>
        <x:v>-48188.83999999985</x:v>
      </x:c>
      <x:c r="I916" t="str">
        <x:v>USD</x:v>
      </x:c>
    </x:row>
    <x:row r="917">
      <x:c r="C917" s="45" t="n">
        <x:v>46203</x:v>
      </x:c>
      <x:c r="D917" t="str">
        <x:v>CAOT-2025-2</x:v>
      </x:c>
      <x:c r="E917" t="str">
        <x:v>gross_chargeoffs_raw</x:v>
      </x:c>
      <x:c r="F917" s="70" t="n">
        <x:f>'Loan tape'!F312</x:f>
        <x:v>1242952.21</x:v>
      </x:c>
      <x:c r="G917" s="70" t="n">
        <x:f>'Loan tape'!G312</x:f>
        <x:v>964702.08</x:v>
      </x:c>
      <x:c r="H917" s="70" t="n">
        <x:f>F917-G917</x:f>
        <x:v>278250.13</x:v>
      </x:c>
      <x:c r="I917" t="str">
        <x:v>USD</x:v>
      </x:c>
    </x:row>
    <x:row r="918">
      <x:c r="C918" s="45" t="n">
        <x:v>46203</x:v>
      </x:c>
      <x:c r="D918" t="str">
        <x:v>CAOT-2025-2</x:v>
      </x:c>
      <x:c r="E918" t="str">
        <x:v>recoveries</x:v>
      </x:c>
      <x:c r="F918" s="70" t="n">
        <x:f>'Loan tape'!F313</x:f>
        <x:v>368550.23</x:v>
      </x:c>
      <x:c r="G918" s="70" t="n">
        <x:f>'Loan tape'!G313</x:f>
        <x:v>330743.35</x:v>
      </x:c>
      <x:c r="H918" s="70" t="n">
        <x:f>F918-G918</x:f>
        <x:v>37806.880000000005</x:v>
      </x:c>
      <x:c r="I918" t="str">
        <x:v>USD</x:v>
      </x:c>
    </x:row>
    <x:row r="919">
      <x:c r="C919" s="45" t="n">
        <x:v>46234</x:v>
      </x:c>
      <x:c r="D919" t="str">
        <x:v>CAOT-2025-2</x:v>
      </x:c>
      <x:c r="E919" t="str">
        <x:v>outstanding_loan_count</x:v>
      </x:c>
      <x:c r="F919" s="77" t="n">
        <x:f>'Loan tape'!F314</x:f>
        <x:v>49190</x:v>
      </x:c>
      <x:c r="G919" s="77" t="n">
        <x:f>'Loan tape'!G314</x:f>
        <x:v>49189</x:v>
      </x:c>
      <x:c r="H919" s="77" t="n">
        <x:f>F919-G919</x:f>
        <x:v>1</x:v>
      </x:c>
      <x:c r="I919" t="str">
        <x:v>loans</x:v>
      </x:c>
    </x:row>
    <x:row r="920">
      <x:c r="C920" s="45" t="n">
        <x:v>46234</x:v>
      </x:c>
      <x:c r="D920" t="str">
        <x:v>CAOT-2025-2</x:v>
      </x:c>
      <x:c r="E920" t="str">
        <x:v>pool_begin</x:v>
      </x:c>
      <x:c r="F920" s="70" t="n">
        <x:f>'Loan tape'!F315</x:f>
        <x:v>808816820.89</x:v>
      </x:c>
      <x:c r="G920" s="70" t="n">
        <x:f>'Loan tape'!G315</x:f>
        <x:v>808817927.2</x:v>
      </x:c>
      <x:c r="H920" s="70" t="n">
        <x:f>F920-G920</x:f>
        <x:v>-1106.3100000619888</x:v>
      </x:c>
      <x:c r="I920" t="str">
        <x:v>USD</x:v>
      </x:c>
    </x:row>
    <x:row r="921">
      <x:c r="C921" s="45" t="n">
        <x:v>46234</x:v>
      </x:c>
      <x:c r="D921" t="str">
        <x:v>CAOT-2025-2</x:v>
      </x:c>
      <x:c r="E921" t="str">
        <x:v>pool_end</x:v>
      </x:c>
      <x:c r="F921" s="70" t="n">
        <x:f>'Loan tape'!F316</x:f>
        <x:v>775781740.46</x:v>
      </x:c>
      <x:c r="G921" s="70" t="n">
        <x:f>'Loan tape'!G316</x:f>
        <x:v>775782240.33</x:v>
      </x:c>
      <x:c r="H921" s="70" t="n">
        <x:f>F921-G921</x:f>
        <x:v>-499.8700000047684</x:v>
      </x:c>
      <x:c r="I921" t="str">
        <x:v>USD</x:v>
      </x:c>
    </x:row>
    <x:row r="922">
      <x:c r="C922" s="45" t="n">
        <x:v>46234</x:v>
      </x:c>
      <x:c r="D922" t="str">
        <x:v>CAOT-2025-2</x:v>
      </x:c>
      <x:c r="E922" t="str">
        <x:v>principal_collected</x:v>
      </x:c>
      <x:c r="F922" s="70" t="n">
        <x:f>'Loan tape'!F317</x:f>
        <x:v>32112711.1</x:v>
      </x:c>
      <x:c r="G922" s="70" t="n">
        <x:f>'Loan tape'!G317</x:f>
        <x:v>32102073.27</x:v>
      </x:c>
      <x:c r="H922" s="70" t="n">
        <x:f>F922-G922</x:f>
        <x:v>10637.830000001937</x:v>
      </x:c>
      <x:c r="I922" t="str">
        <x:v>USD</x:v>
      </x:c>
    </x:row>
    <x:row r="923">
      <x:c r="C923" s="45" t="n">
        <x:v>46234</x:v>
      </x:c>
      <x:c r="D923" t="str">
        <x:v>CAOT-2025-2</x:v>
      </x:c>
      <x:c r="E923" t="str">
        <x:v>interest_collected</x:v>
      </x:c>
      <x:c r="F923" s="70" t="n">
        <x:f>'Loan tape'!F318</x:f>
        <x:v>6412480.77</x:v>
      </x:c>
      <x:c r="G923" s="70" t="n">
        <x:f>'Loan tape'!G318</x:f>
        <x:v>6463742.57</x:v>
      </x:c>
      <x:c r="H923" s="70" t="n">
        <x:f>F923-G923</x:f>
        <x:v>-51261.800000000745</x:v>
      </x:c>
      <x:c r="I923" t="str">
        <x:v>USD</x:v>
      </x:c>
    </x:row>
    <x:row r="924">
      <x:c r="C924" s="45" t="n">
        <x:v>46234</x:v>
      </x:c>
      <x:c r="D924" t="str">
        <x:v>CAOT-2025-2</x:v>
      </x:c>
      <x:c r="E924" t="str">
        <x:v>gross_chargeoffs_raw</x:v>
      </x:c>
      <x:c r="F924" s="70" t="n">
        <x:f>'Loan tape'!F319</x:f>
        <x:v>1263990.59</x:v>
      </x:c>
      <x:c r="G924" s="70" t="n">
        <x:f>'Loan tape'!G319</x:f>
        <x:v>933613.6</x:v>
      </x:c>
      <x:c r="H924" s="70" t="n">
        <x:f>F924-G924</x:f>
        <x:v>330376.9900000001</x:v>
      </x:c>
      <x:c r="I924" t="str">
        <x:v>USD</x:v>
      </x:c>
    </x:row>
    <x:row r="925">
      <x:c r="C925" s="45" t="n">
        <x:v>46234</x:v>
      </x:c>
      <x:c r="D925" t="str">
        <x:v>CAOT-2025-2</x:v>
      </x:c>
      <x:c r="E925" t="str">
        <x:v>recoveries</x:v>
      </x:c>
      <x:c r="F925" s="70" t="n">
        <x:f>'Loan tape'!F320</x:f>
        <x:v>458772.73</x:v>
      </x:c>
      <x:c r="G925" s="70" t="n">
        <x:f>'Loan tape'!G320</x:f>
        <x:v>487034.25</x:v>
      </x:c>
      <x:c r="H925" s="70" t="n">
        <x:f>F925-G925</x:f>
        <x:v>-28261.52000000002</x:v>
      </x:c>
      <x:c r="I925" t="str">
        <x:v>USD</x:v>
      </x:c>
    </x:row>
    <x:row r="926">
      <x:c r="C926" s="45" t="n">
        <x:v>46265</x:v>
      </x:c>
      <x:c r="D926" t="str">
        <x:v>CAOT-2025-2</x:v>
      </x:c>
      <x:c r="E926" t="str">
        <x:v>outstanding_loan_count</x:v>
      </x:c>
      <x:c r="F926" s="77" t="n">
        <x:f>'Loan tape'!F321</x:f>
        <x:v>47562</x:v>
      </x:c>
      <x:c r="G926" s="77" t="n">
        <x:f>'Loan tape'!G321</x:f>
        <x:v>47562</x:v>
      </x:c>
      <x:c r="H926" s="77" t="n">
        <x:f>F926-G926</x:f>
        <x:v>0</x:v>
      </x:c>
      <x:c r="I926" t="str">
        <x:v>loans</x:v>
      </x:c>
    </x:row>
    <x:row r="927">
      <x:c r="C927" s="45" t="n">
        <x:v>46265</x:v>
      </x:c>
      <x:c r="D927" t="str">
        <x:v>CAOT-2025-2</x:v>
      </x:c>
      <x:c r="E927" t="str">
        <x:v>pool_begin</x:v>
      </x:c>
      <x:c r="F927" s="70" t="n">
        <x:f>'Loan tape'!F322</x:f>
        <x:v>775781740.46</x:v>
      </x:c>
      <x:c r="G927" s="70" t="n">
        <x:f>'Loan tape'!G322</x:f>
        <x:v>775782240.33</x:v>
      </x:c>
      <x:c r="H927" s="70" t="n">
        <x:f>F927-G927</x:f>
        <x:v>-499.8700000047684</x:v>
      </x:c>
      <x:c r="I927" t="str">
        <x:v>USD</x:v>
      </x:c>
    </x:row>
    <x:row r="928">
      <x:c r="C928" s="45" t="n">
        <x:v>46265</x:v>
      </x:c>
      <x:c r="D928" t="str">
        <x:v>CAOT-2025-2</x:v>
      </x:c>
      <x:c r="E928" t="str">
        <x:v>pool_end</x:v>
      </x:c>
      <x:c r="F928" s="70" t="n">
        <x:f>'Loan tape'!F323</x:f>
        <x:v>744970252.15</x:v>
      </x:c>
      <x:c r="G928" s="70" t="n">
        <x:f>'Loan tape'!G323</x:f>
        <x:v>744970764.16</x:v>
      </x:c>
      <x:c r="H928" s="70" t="n">
        <x:f>F928-G928</x:f>
        <x:v>-512.0099999904633</x:v>
      </x:c>
      <x:c r="I928" t="str">
        <x:v>USD</x:v>
      </x:c>
    </x:row>
    <x:row r="929">
      <x:c r="C929" s="45" t="n">
        <x:v>46265</x:v>
      </x:c>
      <x:c r="D929" t="str">
        <x:v>CAOT-2025-2</x:v>
      </x:c>
      <x:c r="E929" t="str">
        <x:v>principal_collected</x:v>
      </x:c>
      <x:c r="F929" s="70" t="n">
        <x:f>'Loan tape'!F324</x:f>
        <x:v>29509614.88</x:v>
      </x:c>
      <x:c r="G929" s="70" t="n">
        <x:f>'Loan tape'!G324</x:f>
        <x:v>29502058.28</x:v>
      </x:c>
      <x:c r="H929" s="70" t="n">
        <x:f>F929-G929</x:f>
        <x:v>7556.599999997765</x:v>
      </x:c>
      <x:c r="I929" t="str">
        <x:v>USD</x:v>
      </x:c>
    </x:row>
    <x:row r="930">
      <x:c r="C930" s="45" t="n">
        <x:v>46265</x:v>
      </x:c>
      <x:c r="D930" t="str">
        <x:v>CAOT-2025-2</x:v>
      </x:c>
      <x:c r="E930" t="str">
        <x:v>interest_collected</x:v>
      </x:c>
      <x:c r="F930" s="70" t="n">
        <x:f>'Loan tape'!F325</x:f>
        <x:v>6124232.81</x:v>
      </x:c>
      <x:c r="G930" s="70" t="n">
        <x:f>'Loan tape'!G325</x:f>
        <x:v>6173785.69</x:v>
      </x:c>
      <x:c r="H930" s="70" t="n">
        <x:f>F930-G930</x:f>
        <x:v>-49552.88000000082</x:v>
      </x:c>
      <x:c r="I930" t="str">
        <x:v>USD</x:v>
      </x:c>
    </x:row>
    <x:row r="931">
      <x:c r="C931" s="45" t="n">
        <x:v>46265</x:v>
      </x:c>
      <x:c r="D931" t="str">
        <x:v>CAOT-2025-2</x:v>
      </x:c>
      <x:c r="E931" t="str">
        <x:v>gross_chargeoffs_raw</x:v>
      </x:c>
      <x:c r="F931" s="70" t="n">
        <x:f>'Loan tape'!F326</x:f>
        <x:v>1659526.54</x:v>
      </x:c>
      <x:c r="G931" s="70" t="n">
        <x:f>'Loan tape'!G326</x:f>
        <x:v>1309417.89</x:v>
      </x:c>
      <x:c r="H931" s="70" t="n">
        <x:f>F931-G931</x:f>
        <x:v>350108.65000000014</x:v>
      </x:c>
      <x:c r="I931" t="str">
        <x:v>USD</x:v>
      </x:c>
    </x:row>
    <x:row r="932">
      <x:c r="C932" s="45" t="n">
        <x:v>46265</x:v>
      </x:c>
      <x:c r="D932" t="str">
        <x:v>CAOT-2025-2</x:v>
      </x:c>
      <x:c r="E932" t="str">
        <x:v>recoveries</x:v>
      </x:c>
      <x:c r="F932" s="70" t="n">
        <x:f>'Loan tape'!F327</x:f>
        <x:v>350666.99</x:v>
      </x:c>
      <x:c r="G932" s="70" t="n">
        <x:f>'Loan tape'!G327</x:f>
        <x:v>345715.96</x:v>
      </x:c>
      <x:c r="H932" s="70" t="n">
        <x:f>F932-G932</x:f>
        <x:v>4951.02999999997</x:v>
      </x:c>
      <x:c r="I932" t="str">
        <x:v>USD</x:v>
      </x:c>
    </x:row>
  </x:sheetData>
  <x:conditionalFormatting sqref="F8:F11">
    <x:cfRule type="expression" dxfId="1" priority="1">
      <x:formula>ABS(F8)&gt;0.01</x:formula>
    </x:cfRule>
  </x:conditionalFormatting>
  <x:conditionalFormatting sqref="G15:G606">
    <x:cfRule type="expression" dxfId="2" priority="2">
      <x:formula>ABS(G15)&gt;0.01</x:formula>
    </x:cfRule>
  </x:conditionalFormatting>
  <x:conditionalFormatting sqref="H611:H932">
    <x:cfRule type="expression" dxfId="3" priority="3">
      <x:formula>ABS(H611)&gt;0.001</x:formula>
    </x:cfRule>
  </x:conditionalFormatting>
  <x:pageMargins left="0.7" right="0.7" top="0.75" bottom="0.75" header="0.3" footer="0.3"/>
</x:worksheet>
</file>